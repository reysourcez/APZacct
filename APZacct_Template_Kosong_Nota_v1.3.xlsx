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comments15.xml" ContentType="application/vnd.openxmlformats-officedocument.spreadsheetml.comments+xml"/>
  <Override PartName="/xl/styles.xml" ContentType="application/vnd.openxmlformats-officedocument.spreadsheetml.styles+xml"/>
  <Override PartName="/xl/worksheets/_rels/sheet15.xml.rels" ContentType="application/vnd.openxmlformats-package.relationships+xml"/>
  <Override PartName="/xl/worksheets/_rels/sheet2.xml.rels" ContentType="application/vnd.openxmlformats-package.relationships+xml"/>
  <Override PartName="/xl/worksheets/_rels/sheet4.xml.rels" ContentType="application/vnd.openxmlformats-package.relationships+xml"/>
  <Override PartName="/xl/worksheets/_rels/sheet10.xml.rels" ContentType="application/vnd.openxmlformats-package.relationships+xml"/>
  <Override PartName="/xl/worksheets/_rels/sheet8.xml.rels" ContentType="application/vnd.openxmlformats-package.relationships+xml"/>
  <Override PartName="/xl/worksheets/_rels/sheet14.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xl/comments10.xml" ContentType="application/vnd.openxmlformats-officedocument.spreadsheetml.comments+xml"/>
  <Override PartName="/xl/comments2.xml" ContentType="application/vnd.openxmlformats-officedocument.spreadsheetml.comments+xml"/>
  <Override PartName="/xl/comments14.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drawings/vmlDrawing5.vml" ContentType="application/vnd.openxmlformats-officedocument.vmlDrawing"/>
  <Override PartName="/xl/drawings/vmlDrawing6.vml" ContentType="application/vnd.openxmlformats-officedocument.vmlDrawing"/>
  <Override PartName="/xl/_rels/workbook.xml.rels" ContentType="application/vnd.openxmlformats-package.relationships+xml"/>
  <Override PartName="/xl/comments4.xml" ContentType="application/vnd.openxmlformats-officedocument.spreadsheetml.comments+xml"/>
  <Override PartName="/xl/comments8.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anduan" sheetId="1" state="visible" r:id="rId3"/>
    <sheet name="Tetapan" sheetId="2" state="visible" r:id="rId4"/>
    <sheet name="Kamus_Istilah" sheetId="3" state="visible" r:id="rId5"/>
    <sheet name="Akaun" sheetId="4" state="visible" r:id="rId6"/>
    <sheet name="Baki_Pembukaan" sheetId="5" state="visible" r:id="rId7"/>
    <sheet name="Daftar_Aset_Tetap" sheetId="6" state="visible" r:id="rId8"/>
    <sheet name="Transaksi" sheetId="7" state="visible" r:id="rId9"/>
    <sheet name="Baris_Transaksi" sheetId="8" state="visible" r:id="rId10"/>
    <sheet name="Log_Perubahan" sheetId="9" state="visible" r:id="rId11"/>
    <sheet name="Imbangan_Duga" sheetId="10" state="visible" r:id="rId12"/>
    <sheet name="UR" sheetId="11" state="visible" r:id="rId13"/>
    <sheet name="APK" sheetId="12" state="visible" r:id="rId14"/>
    <sheet name="KKK" sheetId="13" state="visible" r:id="rId15"/>
    <sheet name="AT" sheetId="14" state="visible" r:id="rId16"/>
    <sheet name="Wang_Runcit" sheetId="15" state="visible" r:id="rId17"/>
    <sheet name="Cetak" sheetId="16" state="visible" r:id="rId18"/>
    <sheet name="Nota" sheetId="17" state="visible" r:id="rId19"/>
    <sheet name="Sejarah_Baki" sheetId="18" state="visible" r:id="rId20"/>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C15" authorId="0">
      <text>
        <r>
          <rPr>
            <sz val="10"/>
            <rFont val="Arial"/>
            <family val="2"/>
          </rPr>
          <t xml:space="preserve">Kadar Rizab Statutori BUKAN pemalar tetap. Akta s.57(1) sendiri berperingkat (25% jika Rizab &lt; 50% Modal Syer+Yuran, 15% selepas itu), dan SKM pernah kurangkan sementara ke 13% (tamat 30 Nov 2025) dan ke 8% sebelum itu. SAHKAN kadar semasa yang berkuat kuasa dengan SKM/juruaudit anda sebelum agihan pertama -- jangan andaikan 25% di sini automatik betul. Selepas sediakan helaian ini di Google Sheets, jalankan sediakanSenaraiKadarStatutori() (APZacct_KadarStatutori.gs) untuk dapatkan senarai lungsur 25/15/13/8 -- anda masih boleh taip kadar lain terus.</t>
        </r>
      </text>
    </comment>
    <comment ref="C21" authorId="0">
      <text>
        <r>
          <rPr>
            <sz val="10"/>
            <rFont val="Arial"/>
            <family val="2"/>
          </rPr>
          <t xml:space="preserve">Taip tarikh sebagai YYYY-MM-DD (cth. 2026-12-31). Sel ini berformat Teks supaya Sheets tidak menukarnya kepada tarikh sebenar.</t>
        </r>
      </text>
    </comment>
    <comment ref="C23" authorId="0">
      <text>
        <r>
          <rPr>
            <sz val="10"/>
            <rFont val="Arial"/>
            <family val="2"/>
          </rPr>
          <t xml:space="preserve">Nama zon masa IANA (cth. Asia/Kuala_Lumpur untuk UTC+8). Digunakan oleh wizard dan skrip untuk tarikh 'hari ini'. Jika nama tidak sah, sistem guna Asia/Kuala_Lumpur. Tetapkan juga zon masa Sheets (Fail &gt; Tetapan) dan Apps Script (Project Settings) kepada nilai yang sama.</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F4" authorId="0">
      <text>
        <r>
          <rPr>
            <sz val="10"/>
            <rFont val="Arial"/>
            <family val="2"/>
          </rPr>
          <t xml:space="preserve">Kumpulan Aliran Tunai. Operasi = urusan harian (hasil, perbelanjaan, penghutang, prabayar, terakru, pemiutang, susut nilai terkumpul). Pelaburan = aset tetap, deposit tetap. Pembiayaan = modal syer, pinjaman, simpanan ahli. Berkanun = bayaran berkanun. Tidak Berkaitan = akaun WANG (bank/tunai/runcit) dan rizab. Akaun bank/tunai MESTI 'Tidak Berkaitan'.</t>
        </r>
      </text>
    </comment>
  </commentList>
</comments>
</file>

<file path=xl/comments8.xml><?xml version="1.0" encoding="utf-8"?>
<comments xmlns="http://schemas.openxmlformats.org/spreadsheetml/2006/main" xmlns:xdr="http://schemas.openxmlformats.org/drawingml/2006/spreadsheetDrawing">
  <authors>
    <author>Unknown Author</author>
  </authors>
  <commentList>
    <comment ref="G4" authorId="0">
      <text>
        <r>
          <rPr>
            <sz val="10"/>
            <rFont val="Arial"/>
            <family val="2"/>
          </rPr>
          <t xml:space="preserve">AUTO - diambil daripada Akaun lajur F mengikut Kod Akaun baris ini. Jangan taip. Digunakan oleh AT.</t>
        </r>
      </text>
    </comment>
    <comment ref="H4" authorId="0">
      <text>
        <r>
          <rPr>
            <sz val="10"/>
            <rFont val="Arial"/>
            <family val="2"/>
          </rPr>
          <t xml:space="preserve">AUTO - Jenis akaun (Aset/Liabiliti/Ekuiti/Hasil/Perbelanjaan) daripada Akaun lajur D. Jangan taip. Digunakan oleh AT untuk mengira perubahan modal kerja dan tunai.</t>
        </r>
      </text>
    </comment>
  </commentList>
</comments>
</file>

<file path=xl/comments10.xml><?xml version="1.0" encoding="utf-8"?>
<comments xmlns="http://schemas.openxmlformats.org/spreadsheetml/2006/main" xmlns:xdr="http://schemas.openxmlformats.org/drawingml/2006/spreadsheetDrawing">
  <authors>
    <author>Unknown Author</author>
  </authors>
  <commentList>
    <comment ref="A154" authorId="0">
      <text>
        <r>
          <rPr>
            <sz val="10"/>
            <rFont val="Arial"/>
            <family val="2"/>
          </rPr>
          <t xml:space="preserve">Berapa baris lejar (Baris_Transaksi) sudah digunakan berbanding had 4,996 baris yang dibaca oleh formula penyata. Apabila melebihi 90% sistem menunjukkan HAMPIR PENUH. Baris di luar julat tidak dikira dalam penyata dan sistem menolak kemasukan baharu.</t>
        </r>
      </text>
    </comment>
  </commentList>
</comments>
</file>

<file path=xl/comments14.xml><?xml version="1.0" encoding="utf-8"?>
<comments xmlns="http://schemas.openxmlformats.org/spreadsheetml/2006/main" xmlns:xdr="http://schemas.openxmlformats.org/drawingml/2006/spreadsheetDrawing">
  <authors>
    <author>Unknown Author</author>
  </authors>
  <commentList>
    <comment ref="A6" authorId="0">
      <text>
        <r>
          <rPr>
            <sz val="10"/>
            <rFont val="Arial"/>
            <family val="2"/>
          </rPr>
          <t xml:space="preserve">Biar 0. JANGAN taip susut nilai/peruntukan di sini - sudah dikira automatik dalam baris seterusnya. Menaip di sini akan menggandakan dan Semakan jadi TIDAK SEIMBANG.</t>
        </r>
      </text>
    </comment>
    <comment ref="A7" authorId="0">
      <text>
        <r>
          <rPr>
            <sz val="10"/>
            <rFont val="Arial"/>
            <family val="2"/>
          </rPr>
          <t xml:space="preserve">AUTO. Jumlah pergerakan akaun Aset dan Liabiliti berkumpulan 'Operasi' sejak baki pembukaan (transaksi di Tetapan!C18 dikecualikan). Aset naik = wang berkurang; Liabiliti naik = wang bertambah. Merangkumi prabayar, terakru, penghutang, pemiutang, inventori, susut nilai terkumpul dan peruntukan.</t>
        </r>
      </text>
    </comment>
  </commentList>
</comments>
</file>

<file path=xl/comments15.xml><?xml version="1.0" encoding="utf-8"?>
<comments xmlns="http://schemas.openxmlformats.org/spreadsheetml/2006/main" xmlns:xdr="http://schemas.openxmlformats.org/drawingml/2006/spreadsheetDrawing">
  <authors>
    <author>Unknown Author</author>
  </authors>
  <commentList>
    <comment ref="B4" authorId="0">
      <text>
        <r>
          <rPr>
            <sz val="10"/>
            <rFont val="Arial"/>
            <family val="2"/>
          </rPr>
          <t xml:space="preserve">Float ditetapkan (imprest) - RUJUKAN SAHAJA. Tiada formula menggunakan sel ini. Isi jumlah float sebenar atau biar kosong. Baki buku (B5) datang daripada lejar (akaun Wang Runcit), bukan daripada sel ini.</t>
        </r>
      </text>
    </comment>
  </commentList>
</comments>
</file>

<file path=xl/sharedStrings.xml><?xml version="1.0" encoding="utf-8"?>
<sst xmlns="http://schemas.openxmlformats.org/spreadsheetml/2006/main" count="1132" uniqueCount="692">
  <si>
    <t xml:space="preserve">APZACCT — PANDUAN SISTEM PERAKAUNAN  (v1.3)</t>
  </si>
  <si>
    <t xml:space="preserve">Apa buku kerja ini</t>
  </si>
  <si>
    <t xml:space="preserve">Sistem perakaunan berganda (double-entry): setiap transaksi ada sekurang-kurangnya dua baris — Debit dan Kredit — dengan jumlah sama. Anda hanya merekod transaksi; Imbangan Duga, UR (Untung Rugi), KKK (Kunci Kira-Kira) dan AT (Aliran Tunai) dikira sendiri oleh formula. Jangan taip angka terus ke helaian penyata (Imbangan_Duga, UR, KKK, AT, APK, Cetak).</t>
  </si>
  <si>
    <t xml:space="preserve">Tiga cara merekod</t>
  </si>
  <si>
    <t xml:space="preserve">1) Wizard web (menu APZacct &gt; Buka APZacct) — untuk transaksi yang melibatkan wang masuk/keluar: Terimaan, Bayaran, dan Kontra (pindahan antara akaun wang sendiri).</t>
  </si>
  <si>
    <t xml:space="preserve">2) Menu APZacct dalam Sheets — untuk kemasukan khas: Pos Baki Pembukaan (baki awal), Jurnal Laras (terakru / prabayar / pelarasan tanpa pergerakan wang), Pos Susut Nilai Aset, Pos Agihan APK.</t>
  </si>
  <si>
    <t xml:space="preserve">3) Taip terus di Transaksi + Baris_Transaksi — hanya jika terpaksa. Satu transaksi = satu baris tajuk di Transaksi + sekurang-kurangnya dua baris di Baris_Transaksi dengan ID Transaksi yang sama; jumlah Debit mesti sama Kredit.</t>
  </si>
  <si>
    <t xml:space="preserve">Cara helaian berkait</t>
  </si>
  <si>
    <t xml:space="preserve">Akaun (senarai akaun: Kod, Jenis, Kumpulan Aliran Tunai) → Transaksi (tajuk: tarikh, perkara, rujukan) + Baris_Transaksi (baris Debit/Kredit = lejar sebenar) → Imbangan_Duga (jumlah setiap akaun) → UR, KKK, AT, APK → Cetak (versi cetak / PDF).</t>
  </si>
  <si>
    <t xml:space="preserve">Lajur G dan H di Baris_Transaksi ialah AUTO (Kumpulan Aliran Tunai dan Jenis akaun) — jangan taip.</t>
  </si>
  <si>
    <t xml:space="preserve">Tetapan = nama, kadar, tarikh kunci, URL web app. Baki_Pembukaan = baki awal (dipos melalui menu). Daftar_Aset_Tetap = aset dan susut nilai. Wang_Runcit = semakan kiraan tunai runcit. Log_Perubahan = rekod pindaan data yang sudah dipos (auto). Kamus_Istilah = maksud istilah.</t>
  </si>
  <si>
    <t xml:space="preserve">Kumpulan Aliran Tunai (auto) — apa maksudnya</t>
  </si>
  <si>
    <t xml:space="preserve">Setiap akaun ada satu kumpulan di Akaun lajur F. Setiap baris transaksi mengambilnya secara automatik (Baris_Transaksi lajur G). AT (Penyata Aliran Tunai) guna kumpulan ini untuk tahu wang bergerak dalam aktiviti mana.</t>
  </si>
  <si>
    <t xml:space="preserve">Tidak Berkaitan = akaun wang itu sendiri (Wang Di Tangan, Bank, Wang Runcit); wizard hanya tawar akaun berkumpulan ini sebagai "akaun wang". Operasi = urusan harian: hasil, perbelanjaan, penghutang, prabayar, terakru, pemiutang, inventori, susut nilai terkumpul. Pelaburan = aset tetap, deposit tetap, pelaburan. Pembiayaan = modal syer, pinjaman, simpanan ahli. Berkanun = bayaran berkanun dan agihan (cukai, zakat, KWA, honorarium, dividen).</t>
  </si>
  <si>
    <t xml:space="preserve">Akaun baharu: pastikan lajur F betul. Akaun BANK/TUNAI mesti "Tidak Berkaitan" — jika tidak, ia tidak muncul sebagai akaun wang dalam wizard dan AT jadi salah.</t>
  </si>
  <si>
    <t xml:space="preserve">Kontra (pindahan antara akaun wang sendiri)</t>
  </si>
  <si>
    <t xml:space="preserve">Guna Kontra — bukan Bayaran atau Terimaan — apabila wang hanya berpindah antara akaun wang milik sendiri: Bank → Wang Di Tangan (keluarkan tunai), Wang Di Tangan → Bank (deposit), Bank → Wang Runcit (isi semula float). Tiada hasil atau perbelanjaan; jumlah wang keseluruhan tidak berubah.</t>
  </si>
  <si>
    <t xml:space="preserve">Wizard: Mula → Kontra / Pindahan → Dari akaun (sumber) → Ke akaun (destinasi) → No. rujukan (cth. slip deposit) → Jumlah → Semak → Simpan.</t>
  </si>
  <si>
    <t xml:space="preserve">Tarikh, zon masa dan entri lewat (backdated)</t>
  </si>
  <si>
    <t xml:space="preserve">Wizard ada langkah Tarikh: lalai ialah hari ini mengikut zon masa di Tetapan C23 (lalai Asia/Kuala_Lumpur, UTC+8) dan boleh ditukar. Untuk memasukkan data lama, tukar kepada tarikh sebenar transaksi. Import penyata bank dan Jurnal Laras juga meminta tarikh.</t>
  </si>
  <si>
    <t xml:space="preserve">Tarikh sebelum baki pembukaan ditolak (itu tahun kewangan lepas - guna buku kerja tahun itu). Jika Tetapan C21 (Tarikh Kunci Tempoh) diisi, tarikh pada atau sebelum tarikh itu memerlukan sebab entri lewat; ia ditanda "Entri Lewat" dan direkod dalam Log_Perubahan. Biarkan C21 kosong semasa memasukkan data lama; isi selepas semuanya disemak.</t>
  </si>
  <si>
    <t xml:space="preserve">Penyata (Imbangan Duga, UR, KKK, AT) tidak melihat tarikh - semua baris dalam buku kerja dikira. Satu buku kerja = satu tahun kewangan.</t>
  </si>
  <si>
    <t xml:space="preserve">Pelarasan: terakru dan terdahulu</t>
  </si>
  <si>
    <t xml:space="preserve">Terakru = sudah berlaku, wang belum bergerak. Terdahulu = wang sudah bergerak, belum berlaku (bayar/terima awal). Empat akaun sedia ada: 1100 Perbelanjaan Prabayar (Aset), 1110 Pendapatan Terakru (Aset), 2050 Perbelanjaan Terakru (Liabiliti), 2060 Pendapatan Belum Diperoleh (Liabiliti).</t>
  </si>
  <si>
    <t xml:space="preserve">Perbelanjaan terakru — hujung tempoh: Jurnal Laras jenis 3 (Debit Perbelanjaan, Kredit 2050). Bila dibayar: wizard Bayaran, Kategori = Perbelanjaan Terakru.</t>
  </si>
  <si>
    <t xml:space="preserve">Perbelanjaan terdahulu (prabayar) — semasa bayar: wizard Bayaran, Kategori = Perbelanjaan Prabayar. Setiap bulan / hujung tempoh: Jurnal Laras jenis 4 (Debit Perbelanjaan, Kredit 1100) untuk bahagian yang sudah digunakan.</t>
  </si>
  <si>
    <t xml:space="preserve">Pendapatan terakru — hujung tempoh: Jurnal Laras jenis 1 (Debit 1110, Kredit Hasil). Bila diterima: wizard Terimaan, Kategori = Pendapatan Terakru.</t>
  </si>
  <si>
    <t xml:space="preserve">Pendapatan terdahulu — semasa terima: wizard Terimaan, Kategori = Pendapatan Belum Diperoleh. Bila sudah diperoleh: Jurnal Laras jenis 2 (Debit 2060, Kredit Hasil).</t>
  </si>
  <si>
    <t xml:space="preserve">Semakan sebelum tutup bulan</t>
  </si>
  <si>
    <t xml:space="preserve">1) Imbangan_Duga: Semakan = SEIMBANG.  2) KKK dan AT: Semakan = SEIMBANG.  3) Menu Semak Wang Runcit.  4) Rekonsiliasi Bank (web).  5) Akhir tahun: menu Pos Susut Nilai Aset.  6) Jika TIDAK SEIMBANG: menu Diagnosis Ketidakseimbangan.</t>
  </si>
  <si>
    <t xml:space="preserve">Had yang perlu diketahui</t>
  </si>
  <si>
    <t xml:space="preserve">Formula penyata membaca Baris_Transaksi hingga baris 5000 (lebih kurang 2,490 transaksi biasa, kerana setiap transaksi guna 2 baris). Lihat penunjuk Kapasiti lejar di bawah Semakan Imbangan_Duga; apabila HAMPIR PENUH, lebarkan julat formula sebelum menambah lagi.</t>
  </si>
  <si>
    <t xml:space="preserve">Rujukan pantas</t>
  </si>
  <si>
    <t xml:space="preserve">Maksud istilah: Kamus_Istilah. Nama, kadar dan tarikh kunci: Tetapan (lajur C). Panduan penuh langkah demi langkah (Kontra, terakru/terdahulu, cara baca Imbangan Duga, Nota): fail APZacct_Panduan_Penggunaan.</t>
  </si>
  <si>
    <t xml:space="preserve">TETAPAN (SETTINGS)</t>
  </si>
  <si>
    <t xml:space="preserve">Lajur kuning (Nilai Digunakan) adalah SATU-SATUNYA lajur untuk diedit. Jangan sentuh helaian lain untuk tukar nilai ini.</t>
  </si>
  <si>
    <t xml:space="preserve">Tetapan</t>
  </si>
  <si>
    <t xml:space="preserve">Nilai Lalai (rujukan)</t>
  </si>
  <si>
    <t xml:space="preserve">Nilai Digunakan (edit di sini)</t>
  </si>
  <si>
    <t xml:space="preserve">Penerangan</t>
  </si>
  <si>
    <t xml:space="preserve">Nama Koperasi</t>
  </si>
  <si>
    <t xml:space="preserve">Koperasi Contoh Berhad</t>
  </si>
  <si>
    <t xml:space="preserve">[Isi nama koperasi sebenar di sini]</t>
  </si>
  <si>
    <t xml:space="preserve">Nama penuh untuk kepala setiap penyata rasmi</t>
  </si>
  <si>
    <t xml:space="preserve">No. Pendaftaran SKM</t>
  </si>
  <si>
    <t xml:space="preserve">Nombor pendaftaran rasmi dengan Suruhanjaya Koperasi Malaysia</t>
  </si>
  <si>
    <t xml:space="preserve">Bulan Mula Tahun Kewangan</t>
  </si>
  <si>
    <t xml:space="preserve">Januari</t>
  </si>
  <si>
    <t xml:space="preserve">Bulan permulaan tahun kewangan koperasi (cth: Januari, April)</t>
  </si>
  <si>
    <t xml:space="preserve">Simbol Mata Wang</t>
  </si>
  <si>
    <t xml:space="preserve">RM</t>
  </si>
  <si>
    <t xml:space="preserve">Digunakan pada semua format nombor wang</t>
  </si>
  <si>
    <t xml:space="preserve">Bahasa Utama Aplikasi Web</t>
  </si>
  <si>
    <t xml:space="preserve">English</t>
  </si>
  <si>
    <t xml:space="preserve">Bahasa lalai antara muka wizard; istilah perakaunan tetap ada tooltip BM (lihat Kamus_Istilah)</t>
  </si>
  <si>
    <t xml:space="preserve">Kod Akaun Seterusnya — Aset</t>
  </si>
  <si>
    <t xml:space="preserve">Kod kosong seterusnya dalam julat 1000-1999</t>
  </si>
  <si>
    <t xml:space="preserve">Kod Akaun Seterusnya — Liabiliti</t>
  </si>
  <si>
    <t xml:space="preserve">Kod kosong seterusnya dalam julat 2000-2999</t>
  </si>
  <si>
    <t xml:space="preserve">Kod Akaun Seterusnya — Ekuiti</t>
  </si>
  <si>
    <t xml:space="preserve">Kod kosong seterusnya dalam julat 3000-3999</t>
  </si>
  <si>
    <t xml:space="preserve">Kod Akaun Seterusnya — Hasil</t>
  </si>
  <si>
    <t xml:space="preserve">Kod kosong seterusnya dalam julat 4000-4999</t>
  </si>
  <si>
    <t xml:space="preserve">Kod Akaun Seterusnya — Perbelanjaan</t>
  </si>
  <si>
    <t xml:space="preserve">Kod kosong seterusnya dalam julat 5000-5999</t>
  </si>
  <si>
    <t xml:space="preserve">Kadar Rizab Statutori (%)</t>
  </si>
  <si>
    <t xml:space="preserve">s.57(1) Akta Koperasi 1993: 25% selagi Rizab &lt; 50% Modal Syer+Yuran, jatuh ke 15% selepas itu - semak sendiri kedudukan semasa</t>
  </si>
  <si>
    <t xml:space="preserve">Kadar KWA Pendidikan Koperasi (%)</t>
  </si>
  <si>
    <t xml:space="preserve">Ikut arahan SKM semasa - sahkan kadar terkini</t>
  </si>
  <si>
    <t xml:space="preserve">Kadar KWA Pembangunan Koperasi (%)</t>
  </si>
  <si>
    <t xml:space="preserve">ID Transaksi Baki Pembukaan</t>
  </si>
  <si>
    <t xml:space="preserve">AT rujuk sel ini untuk kecualikan baki pembukaan daripada aliran tunai tempoh semasa. Skrip Tambah_Baki_Pembukaan.gs kemaskini ini automatik.</t>
  </si>
  <si>
    <t xml:space="preserve">Had Amaran Perbezaan Wang Runcit (RM)</t>
  </si>
  <si>
    <t xml:space="preserve">URL Web App APZacct</t>
  </si>
  <si>
    <t xml:space="preserve">Tarikh Kunci Tempoh Kewangan</t>
  </si>
  <si>
    <t xml:space="preserve">Tarikh terakhir yang sudah dibentangkan kepada Lembaga - baris bertarikh pada atau sebelum ini akan ditanda amaran dalam Import Penyata Bank &amp; Rekonsiliasi Bank. Kosongkan untuk nyahaktifkan amaran ini.</t>
  </si>
  <si>
    <t xml:space="preserve">Tahun Kewangan Susut Nilai Terakhir Dipos</t>
  </si>
  <si>
    <t xml:space="preserve">Diisi automatik oleh Pos Susut Nilai Aset selepas pos berjaya - jangan edit terus.</t>
  </si>
  <si>
    <t xml:space="preserve">Zon Masa (nama IANA, cth. Asia/Kuala_Lumpur)</t>
  </si>
  <si>
    <t xml:space="preserve">Asia/Kuala_Lumpur</t>
  </si>
  <si>
    <t xml:space="preserve">Menentukan "hari ini" bagi wizard dan skrip. UTC+8 = Asia/Kuala_Lumpur. Tukar jika perlu.</t>
  </si>
  <si>
    <t xml:space="preserve">KAMUS ISTILAH (BILINGUAL GLOSSARY)</t>
  </si>
  <si>
    <t xml:space="preserve">English = bahasa utama aplikasi web. Bahasa Malaysia = tooltip. Helaian ini boleh dibaca terus oleh wizard nanti.</t>
  </si>
  <si>
    <t xml:space="preserve">Istilah (English)</t>
  </si>
  <si>
    <t xml:space="preserve">Istilah (Bahasa Malaysia)</t>
  </si>
  <si>
    <t xml:space="preserve">Penerangan Ringkas</t>
  </si>
  <si>
    <t xml:space="preserve">Chart of Accounts</t>
  </si>
  <si>
    <t xml:space="preserve">Carta Akaun</t>
  </si>
  <si>
    <t xml:space="preserve">Senarai semua akaun yang koperasi guna, dengan jenis masing-masing</t>
  </si>
  <si>
    <t xml:space="preserve">Account</t>
  </si>
  <si>
    <t xml:space="preserve">Akaun</t>
  </si>
  <si>
    <t xml:space="preserve">Satu kategori tempat wang direkod, cth. Bank, Jualan, Perbelanjaan Pejabat</t>
  </si>
  <si>
    <t xml:space="preserve">Transaction</t>
  </si>
  <si>
    <t xml:space="preserve">Transaksi</t>
  </si>
  <si>
    <t xml:space="preserve">Satu peristiwa kewangan, cth. satu resit atau satu PV</t>
  </si>
  <si>
    <t xml:space="preserve">Debit</t>
  </si>
  <si>
    <t xml:space="preserve">Sisi kiri catatan berganda; menambah Aset/Perbelanjaan, mengurang Liabiliti/Ekuiti/Hasil</t>
  </si>
  <si>
    <t xml:space="preserve">Credit</t>
  </si>
  <si>
    <t xml:space="preserve">Kredit</t>
  </si>
  <si>
    <t xml:space="preserve">Sisi kanan catatan berganda; menambah Liabiliti/Ekuiti/Hasil, mengurang Aset/Perbelanjaan</t>
  </si>
  <si>
    <t xml:space="preserve">Trial Balance</t>
  </si>
  <si>
    <t xml:space="preserve">Imbangan Duga</t>
  </si>
  <si>
    <t xml:space="preserve">Senarai semua baki akaun; jumlah Debit mesti sama dengan jumlah Kredit</t>
  </si>
  <si>
    <t xml:space="preserve">Balance Sheet</t>
  </si>
  <si>
    <t xml:space="preserve">Kunci Kira-Kira (KKK)</t>
  </si>
  <si>
    <t xml:space="preserve">Kedudukan Aset, Liabiliti dan Ekuiti pada satu tarikh</t>
  </si>
  <si>
    <t xml:space="preserve">Income Statement</t>
  </si>
  <si>
    <t xml:space="preserve">Akaun Untung Rugi (UR)</t>
  </si>
  <si>
    <t xml:space="preserve">Hasil tolak Perbelanjaan bagi satu tempoh</t>
  </si>
  <si>
    <t xml:space="preserve">Cash Flow Statement</t>
  </si>
  <si>
    <t xml:space="preserve">Penyata Aliran Tunai (AT)</t>
  </si>
  <si>
    <t xml:space="preserve">Pergerakan tunai masuk dan keluar bagi satu tempoh</t>
  </si>
  <si>
    <t xml:space="preserve">Opening Balance</t>
  </si>
  <si>
    <t xml:space="preserve">Baki Awal / Pembukaan</t>
  </si>
  <si>
    <t xml:space="preserve">Baki setiap akaun pada permulaan tahun kewangan baharu</t>
  </si>
  <si>
    <t xml:space="preserve">Member Equity</t>
  </si>
  <si>
    <t xml:space="preserve">Ekuiti Ahli</t>
  </si>
  <si>
    <t xml:space="preserve">Modal syer, rizab dan lebihan terkumpul kepunyaan ahli koperasi</t>
  </si>
  <si>
    <t xml:space="preserve">Asset</t>
  </si>
  <si>
    <t xml:space="preserve">Aset</t>
  </si>
  <si>
    <t xml:space="preserve">Apa yang koperasi miliki atau berhak terima</t>
  </si>
  <si>
    <t xml:space="preserve">Liability</t>
  </si>
  <si>
    <t xml:space="preserve">Liabiliti</t>
  </si>
  <si>
    <t xml:space="preserve">Apa yang koperasi berhutang</t>
  </si>
  <si>
    <t xml:space="preserve">Revenue</t>
  </si>
  <si>
    <t xml:space="preserve">Hasil</t>
  </si>
  <si>
    <t xml:space="preserve">Pendapatan yang diperoleh koperasi</t>
  </si>
  <si>
    <t xml:space="preserve">Expense</t>
  </si>
  <si>
    <t xml:space="preserve">Perbelanjaan</t>
  </si>
  <si>
    <t xml:space="preserve">Kos yang ditanggung koperasi</t>
  </si>
  <si>
    <t xml:space="preserve">Payment Voucher (PV)</t>
  </si>
  <si>
    <t xml:space="preserve">Baucar Bayaran</t>
  </si>
  <si>
    <t xml:space="preserve">Dokumen rujukan untuk satu bayaran</t>
  </si>
  <si>
    <t xml:space="preserve">Cash</t>
  </si>
  <si>
    <t xml:space="preserve">Tunai</t>
  </si>
  <si>
    <t xml:space="preserve">Wang di tangan, bukan di bank</t>
  </si>
  <si>
    <t xml:space="preserve">Contra Entry</t>
  </si>
  <si>
    <t xml:space="preserve">Kontra</t>
  </si>
  <si>
    <t xml:space="preserve">Pindahan dalaman antara akaun tunai/bank sendiri, bukan pendapatan atau perbelanjaan</t>
  </si>
  <si>
    <t xml:space="preserve">Receipt</t>
  </si>
  <si>
    <t xml:space="preserve">Resit / Terimaan</t>
  </si>
  <si>
    <t xml:space="preserve">Wang yang diterima</t>
  </si>
  <si>
    <t xml:space="preserve">Payment</t>
  </si>
  <si>
    <t xml:space="preserve">Bayaran</t>
  </si>
  <si>
    <t xml:space="preserve">Wang yang dibayar keluar</t>
  </si>
  <si>
    <t xml:space="preserve">Ledger</t>
  </si>
  <si>
    <t xml:space="preserve">Lejar</t>
  </si>
  <si>
    <t xml:space="preserve">Rekod semua baris transaksi bagi satu akaun</t>
  </si>
  <si>
    <t xml:space="preserve">Dividend</t>
  </si>
  <si>
    <t xml:space="preserve">Dividen</t>
  </si>
  <si>
    <t xml:space="preserve">Bahagian lebihan yang diagihkan kepada ahli, diluluskan di AGM</t>
  </si>
  <si>
    <t xml:space="preserve">Share Capital</t>
  </si>
  <si>
    <t xml:space="preserve">Modal Syer</t>
  </si>
  <si>
    <t xml:space="preserve">Wang yang dilaburkan ahli semasa menyertai koperasi</t>
  </si>
  <si>
    <t xml:space="preserve">Reserve</t>
  </si>
  <si>
    <t xml:space="preserve">Rizab</t>
  </si>
  <si>
    <t xml:space="preserve">Peruntukan wajib atau pilihan daripada lebihan, bukan untuk diagihkan</t>
  </si>
  <si>
    <t xml:space="preserve">Member Deposit</t>
  </si>
  <si>
    <t xml:space="preserve">Simpanan Deposit Ahli</t>
  </si>
  <si>
    <t xml:space="preserve">Simpanan ahli yang boleh dikeluarkan, berbeza daripada modal syer</t>
  </si>
  <si>
    <t xml:space="preserve">Purchases (COGS)</t>
  </si>
  <si>
    <t xml:space="preserve">Belian</t>
  </si>
  <si>
    <t xml:space="preserve">Kos barangan dibeli untuk dijual semula</t>
  </si>
  <si>
    <t xml:space="preserve">Purchase Returns</t>
  </si>
  <si>
    <t xml:space="preserve">Pulangan Belian</t>
  </si>
  <si>
    <t xml:space="preserve">Kontra-perbelanjaan: barang dikembalikan kepada pembekal, tolak daripada Belian</t>
  </si>
  <si>
    <t xml:space="preserve">Sales Returns</t>
  </si>
  <si>
    <t xml:space="preserve">Pulangan Jualan</t>
  </si>
  <si>
    <t xml:space="preserve">Kontra-hasil: barang dikembalikan oleh pelanggan, tolak daripada Jualan</t>
  </si>
  <si>
    <t xml:space="preserve">Freight-in</t>
  </si>
  <si>
    <t xml:space="preserve">Angkutan Masuk</t>
  </si>
  <si>
    <t xml:space="preserve">Kos penghantaran ke atas barang dibeli, ditambah kepada kos Belian</t>
  </si>
  <si>
    <t xml:space="preserve">Contra Account</t>
  </si>
  <si>
    <t xml:space="preserve">Akaun Kontra</t>
  </si>
  <si>
    <t xml:space="preserve">Akaun dengan baki normal bertentangan dengan kumpulannya, untuk tolak (bukan tambah) daripada jumlah kumpulan itu</t>
  </si>
  <si>
    <t xml:space="preserve">Net Balance (signed)</t>
  </si>
  <si>
    <t xml:space="preserve">Baki Bersih</t>
  </si>
  <si>
    <t xml:space="preserve">Baki akaun bertanda: positif ikut baki normal, negatif bermakna kedudukan kontra</t>
  </si>
  <si>
    <t xml:space="preserve">Operating Activities</t>
  </si>
  <si>
    <t xml:space="preserve">Aktiviti Operasi</t>
  </si>
  <si>
    <t xml:space="preserve">Aliran tunai daripada perniagaan harian koperasi</t>
  </si>
  <si>
    <t xml:space="preserve">Investing Activities</t>
  </si>
  <si>
    <t xml:space="preserve">Aktiviti Pelaburan</t>
  </si>
  <si>
    <t xml:space="preserve">Aliran tunai daripada beli/jual aset tetap dan pelaburan</t>
  </si>
  <si>
    <t xml:space="preserve">Financing Activities</t>
  </si>
  <si>
    <t xml:space="preserve">Aktiviti Pembiayaan</t>
  </si>
  <si>
    <t xml:space="preserve">Aliran tunai daripada modal syer, simpanan ahli, pinjaman dan dividen</t>
  </si>
  <si>
    <t xml:space="preserve">Cooperative Trust Fund (KWA)</t>
  </si>
  <si>
    <t xml:space="preserve">Kumpulan Wang Amanah (KWA)</t>
  </si>
  <si>
    <t xml:space="preserve">Peruntukan statutori daripada lebihan untuk pendidikan/pembangunan koperasi</t>
  </si>
  <si>
    <t xml:space="preserve">Hibah (Islamic bank profit)</t>
  </si>
  <si>
    <t xml:space="preserve">Hibah</t>
  </si>
  <si>
    <t xml:space="preserve">Bonus/keuntungan bank patuh Syariah, gantian kepada faedah konvensional</t>
  </si>
  <si>
    <t xml:space="preserve">Current Asset/Liability</t>
  </si>
  <si>
    <t xml:space="preserve">Aset/Liabiliti Semasa</t>
  </si>
  <si>
    <t xml:space="preserve">Dijangka tunai/kena bayar dalam tempoh 12 bulan</t>
  </si>
  <si>
    <t xml:space="preserve">Non-current Asset/Liability</t>
  </si>
  <si>
    <t xml:space="preserve">Aset/Liabiliti Bukan Semasa</t>
  </si>
  <si>
    <t xml:space="preserve">Tempoh lebih 12 bulan — cth. Akaun Deposit Koperasi, Aset Tetap</t>
  </si>
  <si>
    <t xml:space="preserve">Halal Slaughtering</t>
  </si>
  <si>
    <t xml:space="preserve">Sembelihan Halal</t>
  </si>
  <si>
    <t xml:space="preserve">Proses sembelihan ikut hukum Syarak, selalunya perlu pensijilan JAKIM</t>
  </si>
  <si>
    <t xml:space="preserve">Cost of Goods Sold (COGS)</t>
  </si>
  <si>
    <t xml:space="preserve">Kos Barang Dijual</t>
  </si>
  <si>
    <t xml:space="preserve">Kos langsung barangan/bahan mentah untuk hasilkan jualan</t>
  </si>
  <si>
    <t xml:space="preserve">Debtors / Receivables</t>
  </si>
  <si>
    <t xml:space="preserve">Penghutang</t>
  </si>
  <si>
    <t xml:space="preserve">Wang yang orang lain berhutang kepada koperasi</t>
  </si>
  <si>
    <t xml:space="preserve">Creditors / Payables</t>
  </si>
  <si>
    <t xml:space="preserve">Pemiutang</t>
  </si>
  <si>
    <t xml:space="preserve">Wang yang koperasi berhutang kepada orang lain</t>
  </si>
  <si>
    <t xml:space="preserve">Prepaid Expense</t>
  </si>
  <si>
    <t xml:space="preserve">Perbelanjaan Prabayar</t>
  </si>
  <si>
    <t xml:space="preserve">Dibayar sekarang, meliputi tempoh akan datang</t>
  </si>
  <si>
    <t xml:space="preserve">Accrued Expense</t>
  </si>
  <si>
    <t xml:space="preserve">Perbelanjaan Terakru</t>
  </si>
  <si>
    <t xml:space="preserve">Sudah terlibat, belum dibayar</t>
  </si>
  <si>
    <t xml:space="preserve">Unearned Revenue</t>
  </si>
  <si>
    <t xml:space="preserve">Pendapatan Belum Diperoleh</t>
  </si>
  <si>
    <t xml:space="preserve">Tunai diterima dahulu, perkhidmatan belum diberi</t>
  </si>
  <si>
    <t xml:space="preserve">Accrued Revenue</t>
  </si>
  <si>
    <t xml:space="preserve">Pendapatan Terakru</t>
  </si>
  <si>
    <t xml:space="preserve">Sudah diperoleh, belum diterima tunai</t>
  </si>
  <si>
    <t xml:space="preserve">Profit Distribution Statement</t>
  </si>
  <si>
    <t xml:space="preserve">Akaun Pembahagian Keuntungan (APK)</t>
  </si>
  <si>
    <t xml:space="preserve">Cara lebihan bersih diagihkan - rizab, KWA, cukai, zakat, dividen, honorarium</t>
  </si>
  <si>
    <t xml:space="preserve">Statutory Reserve Rate</t>
  </si>
  <si>
    <t xml:space="preserve">Kadar Rizab Statutori</t>
  </si>
  <si>
    <t xml:space="preserve">s.57(1) Akta Koperasi 1993: 25% jika rizab &lt; 50% modal syer+yuran, 15% selepas itu</t>
  </si>
  <si>
    <t xml:space="preserve">Contra Entry / Transfer</t>
  </si>
  <si>
    <t xml:space="preserve">Kontra / Pindahan</t>
  </si>
  <si>
    <t xml:space="preserve">Pindahan antara dua akaun wang sendiri, cth. petty ke bank - bukan hasil atau perbelanjaan</t>
  </si>
  <si>
    <t xml:space="preserve">Cash Flow Group (auto)</t>
  </si>
  <si>
    <t xml:space="preserve">Kumpulan Aliran Tunai (auto)</t>
  </si>
  <si>
    <t xml:space="preserve">Label pada setiap akaun (Akaun lajur F): Operasi, Pelaburan, Pembiayaan, Berkanun, atau Tidak Berkaitan (= akaun wang itu sendiri). Tentukan bahagian AT mana. Diambil automatik ke Baris_Transaksi lajur G.</t>
  </si>
  <si>
    <t xml:space="preserve">Statutory Payments &amp; Distributions</t>
  </si>
  <si>
    <t xml:space="preserve">Aktiviti Berkanun</t>
  </si>
  <si>
    <t xml:space="preserve">Bahagian AT untuk bayaran cukai, zakat, KWA, honorarium dan dividen (khusus koperasi).</t>
  </si>
  <si>
    <t xml:space="preserve">Adjusting Journal</t>
  </si>
  <si>
    <t xml:space="preserve">Jurnal Laras</t>
  </si>
  <si>
    <t xml:space="preserve">Catatan tanpa pergerakan wang (cth. terakru, lepas prabayar) - menu APZacct &gt; Jurnal Laras.</t>
  </si>
  <si>
    <t xml:space="preserve">Working Capital Movement</t>
  </si>
  <si>
    <t xml:space="preserve">Perubahan Modal Kerja</t>
  </si>
  <si>
    <t xml:space="preserve">Pertambahan/pengurangan penghutang, prabayar, terakru, pemiutang dan seumpamanya dalam tempoh; dikira automatik dalam AT.</t>
  </si>
  <si>
    <t xml:space="preserve">Paid / Received in Advance</t>
  </si>
  <si>
    <t xml:space="preserve">Dibayar / Diterima Terdahulu</t>
  </si>
  <si>
    <t xml:space="preserve">Wang bergerak sebelum perbelanjaan/pendapatan berlaku: Perbelanjaan Prabayar (bayar awal), Pendapatan Belum Diperoleh (terima awal).</t>
  </si>
  <si>
    <t xml:space="preserve">Petty Cash Float (Imprest)</t>
  </si>
  <si>
    <t xml:space="preserve">Float Wang Runcit</t>
  </si>
  <si>
    <t xml:space="preserve">Jumlah tetap wang runcit yang diisi semula. Wang_Runcit!B4 hanya rujukan - tiada formula menggunakannya.</t>
  </si>
  <si>
    <t xml:space="preserve">Statutory Reserve Fund (KWRS)</t>
  </si>
  <si>
    <t xml:space="preserve">Kumpulan Wang Rizab Statutori (KWRS)</t>
  </si>
  <si>
    <t xml:space="preserve">Rizab berkanun koperasi daripada lebihan bersih; kadar ditetapkan di Tetapan (sahkan dengan SKM/juruaudit).</t>
  </si>
  <si>
    <t xml:space="preserve">Cooperative Deposit Account (ADK)</t>
  </si>
  <si>
    <t xml:space="preserve">Akaun Deposit Koperasi (ADK)</t>
  </si>
  <si>
    <t xml:space="preserve">Deposit koperasi di institusi lain; aset bukan semasa.</t>
  </si>
  <si>
    <t xml:space="preserve">Notes to the Accounts</t>
  </si>
  <si>
    <t xml:space="preserve">Nota-Nota Kepada Akaun</t>
  </si>
  <si>
    <t xml:space="preserve">Komponen kelima penyata kewangan GP23 koperasi; disediakan oleh Lembaga. Templat berasingan (helaian Nota).</t>
  </si>
  <si>
    <t xml:space="preserve">Time Zone</t>
  </si>
  <si>
    <t xml:space="preserve">Zon Masa</t>
  </si>
  <si>
    <t xml:space="preserve">Nama zon masa (IANA) di Tetapan!C23 yang menentukan "hari ini" bagi wizard dan skrip. Lalai Asia/Kuala_Lumpur (UTC+8).</t>
  </si>
  <si>
    <t xml:space="preserve">Late (Backdated) Entry</t>
  </si>
  <si>
    <t xml:space="preserve">Entri Lewat</t>
  </si>
  <si>
    <t xml:space="preserve">Transaksi bertarikh dalam tempoh yang sudah dikunci (Tetapan!C21); perlu sebab dan ditanda "Entri Lewat".</t>
  </si>
  <si>
    <t xml:space="preserve">CARTA AKAUN (CHART OF ACCOUNTS)</t>
  </si>
  <si>
    <t xml:space="preserve">Setiap baris ialah SATU akaun. Lajur I = Semasa/Bukan Semasa (Aset &amp; Liabiliti sahaja, ikut format KKK rasmi).</t>
  </si>
  <si>
    <t xml:space="preserve">Kod Akaun</t>
  </si>
  <si>
    <t xml:space="preserve">Nama Akaun (EN)</t>
  </si>
  <si>
    <t xml:space="preserve">Nama Akaun (BM)</t>
  </si>
  <si>
    <t xml:space="preserve">Jenis</t>
  </si>
  <si>
    <t xml:space="preserve">Baki Normal</t>
  </si>
  <si>
    <t xml:space="preserve">Kumpulan Aliran Tunai</t>
  </si>
  <si>
    <t xml:space="preserve">Status</t>
  </si>
  <si>
    <t xml:space="preserve">Nota</t>
  </si>
  <si>
    <t xml:space="preserve">Semasa/Bukan Semasa</t>
  </si>
  <si>
    <t xml:space="preserve">Cash in hand</t>
  </si>
  <si>
    <t xml:space="preserve">Wang Di Tangan</t>
  </si>
  <si>
    <t xml:space="preserve">Tidak Berkaitan</t>
  </si>
  <si>
    <t xml:space="preserve">Aktif</t>
  </si>
  <si>
    <t xml:space="preserve">Semasa</t>
  </si>
  <si>
    <t xml:space="preserve">Bank</t>
  </si>
  <si>
    <t xml:space="preserve">Fixed Deposit</t>
  </si>
  <si>
    <t xml:space="preserve">Deposit Tetap</t>
  </si>
  <si>
    <t xml:space="preserve">Pelaburan</t>
  </si>
  <si>
    <t xml:space="preserve">Bukan Semasa</t>
  </si>
  <si>
    <t xml:space="preserve">Fixed Assets (general)</t>
  </si>
  <si>
    <t xml:space="preserve">Aset Tetap</t>
  </si>
  <si>
    <t xml:space="preserve">Pecahkan Tanah/Bangunan/Kenderaan bila disahkan pemilikan sebenar</t>
  </si>
  <si>
    <t xml:space="preserve">Cooperative Deposit Account</t>
  </si>
  <si>
    <t xml:space="preserve">Akaun Deposit Koperasi</t>
  </si>
  <si>
    <t xml:space="preserve">DIBETULKAN: Aset Bukan Semasa ikut format KKK rasmi (bukan Liabiliti seperti anggapan asal)</t>
  </si>
  <si>
    <t xml:space="preserve">Retail Inventory</t>
  </si>
  <si>
    <t xml:space="preserve">Inventori Runcit</t>
  </si>
  <si>
    <t xml:space="preserve">Operasi</t>
  </si>
  <si>
    <t xml:space="preserve">Poultry &amp; Slaughter Product Inventory</t>
  </si>
  <si>
    <t xml:space="preserve">Inventori Ayam &amp; Produk Sembelihan</t>
  </si>
  <si>
    <t xml:space="preserve">Various Creditors</t>
  </si>
  <si>
    <t xml:space="preserve">Pelbagai Pemiutang</t>
  </si>
  <si>
    <t xml:space="preserve">Dividend Declared</t>
  </si>
  <si>
    <t xml:space="preserve">Dividen Diisytiharkan</t>
  </si>
  <si>
    <t xml:space="preserve">Berkanun</t>
  </si>
  <si>
    <t xml:space="preserve">Member Share Capital</t>
  </si>
  <si>
    <t xml:space="preserve">Modal Syer Ahli</t>
  </si>
  <si>
    <t xml:space="preserve">Ekuiti</t>
  </si>
  <si>
    <t xml:space="preserve">Pembiayaan</t>
  </si>
  <si>
    <t xml:space="preserve">Statutory Reserve</t>
  </si>
  <si>
    <t xml:space="preserve">Rizab Statutori</t>
  </si>
  <si>
    <t xml:space="preserve">Wajib di bawah Akta Koperasi 1993</t>
  </si>
  <si>
    <t xml:space="preserve">Accumulated Surplus</t>
  </si>
  <si>
    <t xml:space="preserve">Lebihan Terkumpul</t>
  </si>
  <si>
    <t xml:space="preserve">Entrance Fee</t>
  </si>
  <si>
    <t xml:space="preserve">Fi Masuk</t>
  </si>
  <si>
    <t xml:space="preserve">Bank Interest (conventional)</t>
  </si>
  <si>
    <t xml:space="preserve">Faedah Bank</t>
  </si>
  <si>
    <t xml:space="preserve">Bank Hibah (Islamic)</t>
  </si>
  <si>
    <t xml:space="preserve">Hibah Bank</t>
  </si>
  <si>
    <t xml:space="preserve">Retail Sales</t>
  </si>
  <si>
    <t xml:space="preserve">Jualan Runcit</t>
  </si>
  <si>
    <t xml:space="preserve">Service Income</t>
  </si>
  <si>
    <t xml:space="preserve">Pendapatan Perkhidmatan</t>
  </si>
  <si>
    <t xml:space="preserve">Training &amp; Course Income</t>
  </si>
  <si>
    <t xml:space="preserve">Pendapatan Latihan &amp; Kursus</t>
  </si>
  <si>
    <t xml:space="preserve">F&amp;B Sales</t>
  </si>
  <si>
    <t xml:space="preserve">Jualan Makanan &amp; Minuman</t>
  </si>
  <si>
    <t xml:space="preserve">Halal Poultry &amp; Slaughter Product Sales</t>
  </si>
  <si>
    <t xml:space="preserve">Jualan Ayam &amp; Produk Sembelihan</t>
  </si>
  <si>
    <t xml:space="preserve">Office Expenses</t>
  </si>
  <si>
    <t xml:space="preserve">Perbelanjaan Pejabat</t>
  </si>
  <si>
    <t xml:space="preserve">Board Expenses</t>
  </si>
  <si>
    <t xml:space="preserve">Perbelanjaan Lembaga</t>
  </si>
  <si>
    <t xml:space="preserve">Salaries and Allowances</t>
  </si>
  <si>
    <t xml:space="preserve">Gaji dan Elaun</t>
  </si>
  <si>
    <t xml:space="preserve">Stationery and Printing</t>
  </si>
  <si>
    <t xml:space="preserve">Alatulis dan Percetakan</t>
  </si>
  <si>
    <t xml:space="preserve">Statutory Audit Fee</t>
  </si>
  <si>
    <t xml:space="preserve">Fi Juruaudit</t>
  </si>
  <si>
    <t xml:space="preserve">Accounting Fee</t>
  </si>
  <si>
    <t xml:space="preserve">Fi Perakaunan</t>
  </si>
  <si>
    <t xml:space="preserve">Bank Charges</t>
  </si>
  <si>
    <t xml:space="preserve">Caj Bank</t>
  </si>
  <si>
    <t xml:space="preserve">AGM Expenses — Annual</t>
  </si>
  <si>
    <t xml:space="preserve">Perbelanjaan Mesyuarat Agung Tahunan</t>
  </si>
  <si>
    <t xml:space="preserve">AGM Expenses — Special/EGM</t>
  </si>
  <si>
    <t xml:space="preserve">Perbelanjaan Mesyuarat Agung Khas</t>
  </si>
  <si>
    <t xml:space="preserve">Board Honorarium</t>
  </si>
  <si>
    <t xml:space="preserve">Honorarium ALK</t>
  </si>
  <si>
    <t xml:space="preserve">Tidak Aktif</t>
  </si>
  <si>
    <t xml:space="preserve">DIPINDAH ke APK sebagai pembahagian keuntungan, bukan perbelanjaan operasi - lihat akaun liabiliti gantian</t>
  </si>
  <si>
    <t xml:space="preserve">Income Tax</t>
  </si>
  <si>
    <t xml:space="preserve">Cukai Pendapatan</t>
  </si>
  <si>
    <t xml:space="preserve">Zakat</t>
  </si>
  <si>
    <t xml:space="preserve">Cooperative Education Fund</t>
  </si>
  <si>
    <t xml:space="preserve">Bayaran KWA Pendidikan Koperasi</t>
  </si>
  <si>
    <t xml:space="preserve">Cooperative Development Fund</t>
  </si>
  <si>
    <t xml:space="preserve">Bayaran KWA Pembangunan Koperasi</t>
  </si>
  <si>
    <t xml:space="preserve">Internet and Telephone</t>
  </si>
  <si>
    <t xml:space="preserve">Internet dan Telefon</t>
  </si>
  <si>
    <t xml:space="preserve">Depreciation</t>
  </si>
  <si>
    <t xml:space="preserve">Susut Nilai Aset</t>
  </si>
  <si>
    <t xml:space="preserve">Miscellaneous Expenses</t>
  </si>
  <si>
    <t xml:space="preserve">Pelbagai Perbelanjaan</t>
  </si>
  <si>
    <t xml:space="preserve">Tangkapan am</t>
  </si>
  <si>
    <t xml:space="preserve">Retail Purchases (COGS)</t>
  </si>
  <si>
    <t xml:space="preserve">Belian Runcit</t>
  </si>
  <si>
    <t xml:space="preserve">Training &amp; Course Costs</t>
  </si>
  <si>
    <t xml:space="preserve">Kos Latihan &amp; Kursus</t>
  </si>
  <si>
    <t xml:space="preserve">F&amp;B Raw Material Cost</t>
  </si>
  <si>
    <t xml:space="preserve">Kos Bahan Mentah F&amp;B</t>
  </si>
  <si>
    <t xml:space="preserve">Live Chicken Purchases</t>
  </si>
  <si>
    <t xml:space="preserve">Belian Ayam Hidup</t>
  </si>
  <si>
    <t xml:space="preserve">Slaughtering &amp; Processing Cost</t>
  </si>
  <si>
    <t xml:space="preserve">Kos Sembelihan &amp; Pemprosesan</t>
  </si>
  <si>
    <t xml:space="preserve">Halal Certification Fee (JAKIM)</t>
  </si>
  <si>
    <t xml:space="preserve">Fi Pensijilan Halal</t>
  </si>
  <si>
    <t xml:space="preserve">Petty Cash</t>
  </si>
  <si>
    <t xml:space="preserve">Wang Runcit</t>
  </si>
  <si>
    <t xml:space="preserve">Diasingkan daripada Wang Di Tangan khas untuk sistem float/imprest - lihat helaian Wang_Runcit</t>
  </si>
  <si>
    <t xml:space="preserve">Various Debtors</t>
  </si>
  <si>
    <t xml:space="preserve">Pelbagai Penghutang</t>
  </si>
  <si>
    <t xml:space="preserve">Prepaid Expenses</t>
  </si>
  <si>
    <t xml:space="preserve">Dibayar sekarang, meliputi tempoh akan datang - cth. insurans setahun dibayar sekali</t>
  </si>
  <si>
    <t xml:space="preserve">Accrued Income</t>
  </si>
  <si>
    <t xml:space="preserve">Accrued Expenses</t>
  </si>
  <si>
    <t xml:space="preserve">Sudah terlibat, belum dibayar - cth. bil elektrik bulan ini, invois belum sampai</t>
  </si>
  <si>
    <t xml:space="preserve">Tunai diterima dahulu, perkhidmatan/barangan belum diberi - cth. yuran kursus dibayar awal</t>
  </si>
  <si>
    <t xml:space="preserve">Tax Payable</t>
  </si>
  <si>
    <t xml:space="preserve">Cukai Belum Dibayar</t>
  </si>
  <si>
    <t xml:space="preserve">Diisi di APK, disahkan Lembaga, kemudian dipos sebagai satu transaksi</t>
  </si>
  <si>
    <t xml:space="preserve">Zakat Payable</t>
  </si>
  <si>
    <t xml:space="preserve">Zakat Belum Dibayar</t>
  </si>
  <si>
    <t xml:space="preserve">Sama seperti Cukai Belum Dibayar</t>
  </si>
  <si>
    <t xml:space="preserve">Honorarium Payable</t>
  </si>
  <si>
    <t xml:space="preserve">Honorarium Belum Dibayar</t>
  </si>
  <si>
    <t xml:space="preserve">Diluluskan di Mesyuarat Agung sebelum dipos</t>
  </si>
  <si>
    <t xml:space="preserve">Cooperative Education Fund Payable</t>
  </si>
  <si>
    <t xml:space="preserve">KWA Pendidikan Koperasi Belum Dibayar</t>
  </si>
  <si>
    <t xml:space="preserve">Dikira automatik di APK ikut kadar Tetapan</t>
  </si>
  <si>
    <t xml:space="preserve">Cooperative Development Fund Payable</t>
  </si>
  <si>
    <t xml:space="preserve">KWA Pembangunan Koperasi Belum Dibayar</t>
  </si>
  <si>
    <t xml:space="preserve">Accumulated Depreciation - Fixed Assets</t>
  </si>
  <si>
    <t xml:space="preserve">Susut Nilai Terkumpul - Aset Tetap</t>
  </si>
  <si>
    <t xml:space="preserve">KONTRA-ASET: terkumpul via kredit, akan tunjuk Baki Bersih negatif - betul, ia tolak daripada Aset Tetap kasar</t>
  </si>
  <si>
    <t xml:space="preserve">Allowance for Doubtful Debts</t>
  </si>
  <si>
    <t xml:space="preserve">Peruntukan Hutang Ragu</t>
  </si>
  <si>
    <t xml:space="preserve">KONTRA-ASET (sama seperti Susut Nilai Terkumpul). GP23 wajibkan ini khusus untuk pinjaman &gt;6 bulan tak berbayar; amalan baik untuk Penghutang am juga</t>
  </si>
  <si>
    <t xml:space="preserve">BAKI PEMBUKAAN (OPENING BALANCES)</t>
  </si>
  <si>
    <t xml:space="preserve">Guna angka daripada penyata kewangan TERAUDIT tahun lepas SAHAJA. Hanya untuk akaun Aset/Liabiliti/Ekuiti - Hasil dan Perbelanjaan tidak patut ada baki pembukaan (ia bermula sifar setiap tahun kewangan baharu). Isi Kod Akaun dan SATU sahaja daripada Debit/Kredit setiap baris ikut baki normal akaun itu, kemudian jalankan menu APZacct &gt; Pos Baki Pembukaan.</t>
  </si>
  <si>
    <t xml:space="preserve">Nama Akaun (auto)</t>
  </si>
  <si>
    <t xml:space="preserve">Jenis (auto)</t>
  </si>
  <si>
    <t xml:space="preserve">Jumlah</t>
  </si>
  <si>
    <t xml:space="preserve">Semakan (mesti sepadan sebelum pos)</t>
  </si>
  <si>
    <t xml:space="preserve">DAFTAR ASET TETAP (FIXED ASSET REGISTER)</t>
  </si>
  <si>
    <t xml:space="preserve">Sub-lejar terperinci di sebalik akaun kawalan "Aset Tetap" (1040) dalam Akaun. Jumlah Nilai Buku Bersih di sini SEPATUTNYA sepadan dengan baki 1040 tolak 1045 di Imbangan_Duga - jika tidak, ada aset didaftar di sini tanpa dipos ke lejar, atau sebaliknya.</t>
  </si>
  <si>
    <t xml:space="preserve">Nama Aset</t>
  </si>
  <si>
    <t xml:space="preserve">Kategori</t>
  </si>
  <si>
    <t xml:space="preserve">Tarikh Perolehan</t>
  </si>
  <si>
    <t xml:space="preserve">Kos Asal (RM)</t>
  </si>
  <si>
    <t xml:space="preserve">Nilai Baki (RM)</t>
  </si>
  <si>
    <t xml:space="preserve">Jangka Hayat (tahun)</t>
  </si>
  <si>
    <t xml:space="preserve">Kaedah</t>
  </si>
  <si>
    <t xml:space="preserve">Kadar Baki Berkurangan (%)</t>
  </si>
  <si>
    <t xml:space="preserve">Susut Nilai Terkumpul (RM)</t>
  </si>
  <si>
    <t xml:space="preserve">Nilai Buku Bersih (RM)</t>
  </si>
  <si>
    <t xml:space="preserve">Susut Nilai Tahun Ini (RM)</t>
  </si>
  <si>
    <t xml:space="preserve">JUMLAH</t>
  </si>
  <si>
    <t xml:space="preserve">Semakan lawan Akaun (1040 - 1045):</t>
  </si>
  <si>
    <t xml:space="preserve">Nilai Buku Bersih ikut Daftar (di atas)</t>
  </si>
  <si>
    <t xml:space="preserve">Nilai Buku Bersih ikut Lejar (Akaun 1040 - 1045)</t>
  </si>
  <si>
    <t xml:space="preserve">Semakan:</t>
  </si>
  <si>
    <t xml:space="preserve">Nota ketepatan: "Susut Nilai Tahun Ini" (lajur K) disahkan tepat kepada sen untuk kedua-dua kaedah. "Susut Nilai Terkumpul" (lajur I, angka kumulatif sejak tarikh perolehan) mungkin berbeza beberapa ringgit sahaja daripada pengiraan manual disebabkan cara YEARFRAC kira bilangan hari - bukan ralat logik, hanya ketidaktepatan kecil pada angka kumulatif jangka panjang. Angka yang benar-benar dipos setiap tahun (lajur K) tidak terjejas.</t>
  </si>
  <si>
    <t xml:space="preserve">TRANSAKSI (TRANSACTION HEADERS)</t>
  </si>
  <si>
    <t xml:space="preserve">Satu baris = satu transaksi/resit/PV. Helaian ini kosong - transaksi masuk melalui wizard web APZacct atau menu APZacct.</t>
  </si>
  <si>
    <t xml:space="preserve">ID Transaksi</t>
  </si>
  <si>
    <t xml:space="preserve">Tarikh</t>
  </si>
  <si>
    <t xml:space="preserve">Perkara</t>
  </si>
  <si>
    <t xml:space="preserve">No. PV / Rujukan</t>
  </si>
  <si>
    <t xml:space="preserve">URL Resit / Baucar</t>
  </si>
  <si>
    <t xml:space="preserve">BARIS TRANSAKSI (LEDGER LINES)</t>
  </si>
  <si>
    <t xml:space="preserve">Setiap transaksi ada 2+ baris. Jumlah Debit mesti sama dengan Jumlah Kredit bagi SETIAP ID Transaksi.</t>
  </si>
  <si>
    <t xml:space="preserve">ID Baris</t>
  </si>
  <si>
    <t xml:space="preserve">Memo</t>
  </si>
  <si>
    <t xml:space="preserve">Jenis Akaun (auto)</t>
  </si>
  <si>
    <t xml:space="preserve">Tarikh &amp; Masa</t>
  </si>
  <si>
    <t xml:space="preserve">Pengguna</t>
  </si>
  <si>
    <t xml:space="preserve">Helaian</t>
  </si>
  <si>
    <t xml:space="preserve">Sel</t>
  </si>
  <si>
    <t xml:space="preserve">Nilai Lama</t>
  </si>
  <si>
    <t xml:space="preserve">Nilai Baharu</t>
  </si>
  <si>
    <t xml:space="preserve">Sebab</t>
  </si>
  <si>
    <t xml:space="preserve">IMBANGAN DUGA (TRIAL BALANCE)</t>
  </si>
  <si>
    <t xml:space="preserve">Formula pra-isi sampai baris 150 supaya akaun baharu (Tambah Akaun) automatik terpakai tanpa ubah julat.</t>
  </si>
  <si>
    <t xml:space="preserve">Nama Akaun</t>
  </si>
  <si>
    <t xml:space="preserve">Jumlah Debit</t>
  </si>
  <si>
    <t xml:space="preserve">Jumlah Kredit</t>
  </si>
  <si>
    <t xml:space="preserve">Baki Debit</t>
  </si>
  <si>
    <t xml:space="preserve">Baki Kredit</t>
  </si>
  <si>
    <t xml:space="preserve">Baki Bersih (bertanda)</t>
  </si>
  <si>
    <t xml:space="preserve">Kapasiti lejar (baris digunakan):</t>
  </si>
  <si>
    <t xml:space="preserve">AKAUN UNTUNG RUGI (INCOME STATEMENT)</t>
  </si>
  <si>
    <t xml:space="preserve">Bagi tempoh [isi tarikh mula] hingga [isi tarikh akhir]. Cukai, Zakat, Honorarium dan KWA kini di APK, bukan di sini.</t>
  </si>
  <si>
    <t xml:space="preserve">HASIL</t>
  </si>
  <si>
    <t xml:space="preserve">JUMLAH HASIL</t>
  </si>
  <si>
    <t xml:space="preserve">PERBELANJAAN OPERASI</t>
  </si>
  <si>
    <t xml:space="preserve">Mesyuarat Agung Tahunan</t>
  </si>
  <si>
    <t xml:space="preserve">Mesyuarat Agung Khas</t>
  </si>
  <si>
    <t xml:space="preserve">JUMLAH PERBELANJAAN OPERASI</t>
  </si>
  <si>
    <t xml:space="preserve">LEBIHAN BERSIH (SURPLUS) - SEBELUM PEMBAHAGIAN</t>
  </si>
  <si>
    <t xml:space="preserve">AKAUN PEMBAHAGIAN KEUNTUNGAN (APK)</t>
  </si>
  <si>
    <t xml:space="preserve">Bagi tempoh [isi tarikh mula] hingga [isi tarikh akhir]. Lajur kuning = keputusan Lembaga, isi semasa mesyuarat.</t>
  </si>
  <si>
    <t xml:space="preserve">Lebihan Bersih Tahun Semasa (daripada UR)</t>
  </si>
  <si>
    <t xml:space="preserve">TOLAK: PEMBAHAGIAN BERKANUN</t>
  </si>
  <si>
    <t xml:space="preserve">Kumpulan Wang Rizab Statutori (Tetapan!C15)</t>
  </si>
  <si>
    <t xml:space="preserve">Kumpulan Wang Amanah Pendidikan Koperasi (Tetapan!C16)</t>
  </si>
  <si>
    <t xml:space="preserve">Kumpulan Wang Amanah Pembangunan Koperasi (Tetapan!C17)</t>
  </si>
  <si>
    <t xml:space="preserve">JUMLAH PEMBAHAGIAN BERKANUN</t>
  </si>
  <si>
    <t xml:space="preserve">LEBIHAN SELEPAS PEMBAHAGIAN BERKANUN</t>
  </si>
  <si>
    <t xml:space="preserve">TOLAK: PERUNTUKAN</t>
  </si>
  <si>
    <t xml:space="preserve">Peruntukan Cukai Pendapatan (isi anggaran Lembaga)</t>
  </si>
  <si>
    <t xml:space="preserve">Peruntukan Zakat (isi anggaran Lembaga)</t>
  </si>
  <si>
    <t xml:space="preserve">JUMLAH PERUNTUKAN</t>
  </si>
  <si>
    <t xml:space="preserve">TOLAK: LAIN-LAIN PEMBAHAGIAN (cadangan Lembaga)</t>
  </si>
  <si>
    <t xml:space="preserve">Dividen Atas Modal Syer (isi cadangan)</t>
  </si>
  <si>
    <t xml:space="preserve">Dividen Atas Modal Yuran (isi cadangan)</t>
  </si>
  <si>
    <t xml:space="preserve">Honorarium Lembaga (isi cadangan)</t>
  </si>
  <si>
    <t xml:space="preserve">JUMLAH LAIN-LAIN PEMBAHAGIAN</t>
  </si>
  <si>
    <t xml:space="preserve">BAKI KEUNTUNGAN BELUM DIBAHAGI-BAHAGIKAN</t>
  </si>
  <si>
    <t xml:space="preserve">Tambah: Lebihan Terkumpul Pada Awal Tahun</t>
  </si>
  <si>
    <t xml:space="preserve">LEBIHAN TERKUMPUL PADA AKHIR TAHUN (unjuran)</t>
  </si>
  <si>
    <t xml:space="preserve">Baris B28 ialah UNJURAN untuk keputusan Lembaga, bukan baki sebenar KKK - KKK kekal tunjuk baki sebenar lejar. Selepas Lembaga luluskan angka di atas, pos SATU transaksi seimbang: Debit Lebihan Terkumpul (3030) sebanyak jumlah yang diluluskan, Kredit setiap akaun liabiliti berkaitan (Rizab Statutori 3020, KWA Pendidikan Belum Dibayar 2100, KWA Pembangunan Belum Dibayar 2110, Cukai Belum Dibayar 2070, Zakat Belum Dibayar 2080, Dividen Diisytiharkan 2020, Honorarium Belum Dibayar 2090). Selepas itu KKK automatik betul.</t>
  </si>
  <si>
    <t xml:space="preserve">KUNCI KIRA-KIRA (BALANCE SHEET)</t>
  </si>
  <si>
    <t xml:space="preserve">Setakat [isi tarikh penyata]</t>
  </si>
  <si>
    <t xml:space="preserve">ASET</t>
  </si>
  <si>
    <t xml:space="preserve">JUMLAH ASET</t>
  </si>
  <si>
    <t xml:space="preserve">LIABILITI</t>
  </si>
  <si>
    <t xml:space="preserve">JUMLAH LIABILITI</t>
  </si>
  <si>
    <t xml:space="preserve">EKUITI AHLI</t>
  </si>
  <si>
    <t xml:space="preserve">Lebihan Terkumpul (Tahun Lepas)</t>
  </si>
  <si>
    <t xml:space="preserve">Lebihan Tahun Semasa</t>
  </si>
  <si>
    <t xml:space="preserve">JUMLAH EKUITI AHLI</t>
  </si>
  <si>
    <t xml:space="preserve">JUMLAH LIABILITI + EKUITI</t>
  </si>
  <si>
    <t xml:space="preserve">PENYATA ALIRAN TUNAI (CASH FLOW STATEMENT)</t>
  </si>
  <si>
    <t xml:space="preserve">Bagi tempoh [isi tarikh mula] hingga [isi tarikh akhir] — kaedah tidak langsung (indirect method)</t>
  </si>
  <si>
    <t xml:space="preserve">AKTIVITI OPERASI</t>
  </si>
  <si>
    <t xml:space="preserve">Lebihan bersih (daripada UR)</t>
  </si>
  <si>
    <t xml:space="preserve">Pelarasan lain (pilihan - biar 0)</t>
  </si>
  <si>
    <t xml:space="preserve">Modal kerja &amp; pelarasan bukan tunai (AUTO)</t>
  </si>
  <si>
    <t xml:space="preserve">TUNAI BERSIH DARIPADA OPERASI</t>
  </si>
  <si>
    <t xml:space="preserve">AKTIVITI PELABURAN</t>
  </si>
  <si>
    <t xml:space="preserve">Pergerakan bersih akaun pelaburan/aset tetap (cth. Deposit Tetap, Tanah, Bangunan)</t>
  </si>
  <si>
    <t xml:space="preserve">TUNAI BERSIH DARIPADA PELABURAN</t>
  </si>
  <si>
    <t xml:space="preserve">AKTIVITI PEMBIAYAAN</t>
  </si>
  <si>
    <t xml:space="preserve">Pergerakan bersih modal syer, simpanan ahli, pinjaman &amp; dividen dibayar</t>
  </si>
  <si>
    <t xml:space="preserve">TUNAI BERSIH DARIPADA PEMBIAYAAN</t>
  </si>
  <si>
    <t xml:space="preserve">AKTIVITI BERKANUN (Bayaran Berkanun &amp; Agihan)</t>
  </si>
  <si>
    <t xml:space="preserve">Bayaran kepada KWRS/KWA Pendidikan/Pembangunan/Cukai/Zakat/Honorarium/Dividen (hanya bahagian dibayar)</t>
  </si>
  <si>
    <t xml:space="preserve">TUNAI BERSIH DARIPADA AKTIVITI BERKANUN</t>
  </si>
  <si>
    <t xml:space="preserve">PERUBAHAN BERSIH TUNAI (B8+B12+B16+B19)</t>
  </si>
  <si>
    <t xml:space="preserve">Tunai &amp; bank pada awal tempoh (semua akaun wang)</t>
  </si>
  <si>
    <t xml:space="preserve">TUNAI &amp; BANK PADA AKHIR TEMPOH (dikira)</t>
  </si>
  <si>
    <t xml:space="preserve">Tunai &amp; bank pada akhir tempoh (semakan bebas, dari Imbangan_Duga)</t>
  </si>
  <si>
    <t xml:space="preserve">WANG RUNCIT (PETTY CASH) — SEMAKAN</t>
  </si>
  <si>
    <t xml:space="preserve">Setiap perbelanjaan runcit dicatat terus: Debit akaun perbelanjaan, Kredit Wang Runcit (1080). Isi semula (float top-up): Debit Wang Runcit, Kredit Bank.</t>
  </si>
  <si>
    <t xml:space="preserve">Float ditetapkan / diisytiharkan (RM) - rujukan sahaja</t>
  </si>
  <si>
    <t xml:space="preserve">Baki mengikut buku (Wang Runcit, kod 1080)</t>
  </si>
  <si>
    <t xml:space="preserve">Tarikh pengiraan fizikal terakhir</t>
  </si>
  <si>
    <t xml:space="preserve">Baki dikira semasa pengiraan fizikal (kira duit sebenar dalam tin/peti)</t>
  </si>
  <si>
    <t xml:space="preserve">PERBEZAAN (Baki Buku - Baki Fizikal)</t>
  </si>
  <si>
    <t xml:space="preserve">Baki Buku di atas ialah baki SEBENAR akaun 1080 dalam lejar - bukan dikira daripada float. Sebelum guna helaian ini, catat SATU transaksi "wujudkan float": Debit Wang Runcit RM{float}, Kredit Bank/Wang Di Tangan RM{float}, dalam Baris_Transaksi. Selepas itu, setiap perbelanjaan runcit ialah Debit akaun perbelanjaan, Kredit Wang Runcit - baki di atas turun sendiri ikut perbelanjaan sebenar, tiada pengiraan tambahan diperlukan.</t>
  </si>
  <si>
    <t xml:space="preserve">PENYATA KEWANGAN</t>
  </si>
  <si>
    <t xml:space="preserve">Disediakan untuk Mesyuarat Lembaga</t>
  </si>
  <si>
    <t xml:space="preserve">RINGKASAN KEDUDUKAN KEWANGAN (AI)</t>
  </si>
  <si>
    <t xml:space="preserve">(Jalankan menu APZacct &gt; Jana Ringkasan AI untuk isi bahagian ini. Kosong sehingga itu — tidak akan menghalang cetakan penyata di bawah.)</t>
  </si>
  <si>
    <t xml:space="preserve">NOTA-NOTA KEPADA AKAUN (NOTES TO THE ACCOUNTS) — TEMPLAT GP23  (v1.3)</t>
  </si>
  <si>
    <t xml:space="preserve">Templat ini untuk MANA-MANA jenis koperasi, tanpa kira aktiviti. Formula TIDAK dikodkeras kepada kod akaun tertentu — setiap Nota bertanya "Berkaitan?" dan "Kod Akaun", diisi dengan kod SEBENAR koperasi anda sendiri (daripada helaian Akaun anda sendiri). Jika Tidak Berkaitan, biar kod kosong — baki tunjuk 0, itu betul.</t>
  </si>
  <si>
    <t xml:space="preserve">Nilai akan terpapar selepas transaksi dipos. Sebarang angka contoh dalam panduan atau ujian ialah DATA UJIAN sahaja — bukan kedudukan kewangan sebenar mana-mana koperasi.</t>
  </si>
  <si>
    <t xml:space="preserve">NOTA 1 — MAKLUMAT UMUM  (GP23 perenggan 16, Nota 1)</t>
  </si>
  <si>
    <t xml:space="preserve">Aktiviti utama</t>
  </si>
  <si>
    <t xml:space="preserve">[ISI] ◄ ISI</t>
  </si>
  <si>
    <t xml:space="preserve">Alamat berdaftar</t>
  </si>
  <si>
    <t xml:space="preserve">NOTA 2 — ASAS PENYEDIAAN PENYATA KEWANGAN  (GP23 perenggan 16, Nota 2)</t>
  </si>
  <si>
    <t xml:space="preserve">Penyata kewangan ini disediakan mengikut piawaian perakaunan yang diluluskan di Malaysia (MPERS), sebagaimana diubahsuaikan oleh GP23: Garis Panduan Pelaporan Penyata Kewangan Koperasi, selaras dengan Akta Koperasi 1993 dan Peraturan-Peraturan Koperasi 2010. [ISI jika koperasi anda menggunakan piawaian lain]</t>
  </si>
  <si>
    <t xml:space="preserve">NOTA 3 — TARIKH PENGESAHAN PENYATA KEWANGAN  (GP23 perenggan 16, Nota 3)</t>
  </si>
  <si>
    <t xml:space="preserve">Disahkan oleh Lembaga pada</t>
  </si>
  <si>
    <t xml:space="preserve">NOTA 4 — RINGKASAN POLISI PERAKAUNAN PENTING  (GP23 perenggan 16, Nota 5)</t>
  </si>
  <si>
    <t xml:space="preserve">(a) Susut nilai — kaedah/kadar setiap aset (daripada Daftar_Aset_Tetap; kosong jika belum ada aset didaftar):</t>
  </si>
  <si>
    <t xml:space="preserve">Kadar</t>
  </si>
  <si>
    <t xml:space="preserve">(b) Inventori</t>
  </si>
  <si>
    <t xml:space="preserve">Pada kos, atau kos/nilai boleh direalisasi bersih (mana lebih rendah). [ISI jika berbeza] ◄ ISI</t>
  </si>
  <si>
    <t xml:space="preserve">(c) Hutang ragu/lapuk</t>
  </si>
  <si>
    <t xml:space="preserve">[ISI polisi — cth. GP23 wajibkan ini bagi pinjaman &gt;6 bulan tak berbayar] ◄ ISI</t>
  </si>
  <si>
    <t xml:space="preserve">(d) Pengiktirafan hasil</t>
  </si>
  <si>
    <t xml:space="preserve">[ISI — bagaimana setiap aktiviti mengiktiraf pendapatan] ◄ ISI</t>
  </si>
  <si>
    <t xml:space="preserve">(e) Usaha berterusan</t>
  </si>
  <si>
    <t xml:space="preserve">Disediakan berasaskan usaha berterusan. [ISI "TIDAK" + sebab jika tidak lagi benar] ◄ ISI</t>
  </si>
  <si>
    <t xml:space="preserve">NOTA 5 — POLISI RISIKO PENGURUSAN KEWANGAN  (GP23 Lampiran 5 perenggan 6)</t>
  </si>
  <si>
    <t xml:space="preserve">(a) Risiko Kecairan: [ISI] ◄ ISI</t>
  </si>
  <si>
    <t xml:space="preserve">(b) Risiko Kredit: [ISI] ◄ ISI</t>
  </si>
  <si>
    <t xml:space="preserve">NOTA 6 — HARTA TANAH, LOJI DAN PERALATAN (PPE)  (GP23 perenggan 15(a))</t>
  </si>
  <si>
    <t xml:space="preserve">Berkaitan untuk koperasi ini?</t>
  </si>
  <si>
    <t xml:space="preserve">[ISI — Ya/Tidak] ◄ ISI</t>
  </si>
  <si>
    <t xml:space="preserve">Kod Akaun — Kos PPE</t>
  </si>
  <si>
    <t xml:space="preserve">[ISI kod akaun] ◄ ISI</t>
  </si>
  <si>
    <t xml:space="preserve">Kod Akaun — Susut Nilai Terkumpul</t>
  </si>
  <si>
    <t xml:space="preserve">Baki awal tahun (Sejarah_Baki jika ada)</t>
  </si>
  <si>
    <t xml:space="preserve">Tambahan tahun semasa</t>
  </si>
  <si>
    <t xml:space="preserve">Pengurangan tahun semasa</t>
  </si>
  <si>
    <t xml:space="preserve">Baki akhir tahun (semakan bebas)</t>
  </si>
  <si>
    <t xml:space="preserve">Susut Nilai Terkumpul (semakan bebas)</t>
  </si>
  <si>
    <t xml:space="preserve">BERSIH</t>
  </si>
  <si>
    <t xml:space="preserve">Jika PPE terdiri &gt;1 kategori (Tanah/Bangunan/Kenderaan dll.) dengan kod berasingan, salin blok Nota ini sekali untuk setiap kategori.</t>
  </si>
  <si>
    <t xml:space="preserve">NOTA 7 — GERAN/BANTUAN  (GP23 perenggan 15(b))</t>
  </si>
  <si>
    <t xml:space="preserve">Kod Akaun — Geran/Bantuan</t>
  </si>
  <si>
    <t xml:space="preserve">Baki semasa (Imbangan_Duga)</t>
  </si>
  <si>
    <t xml:space="preserve">Punca dan tujuan geran</t>
  </si>
  <si>
    <t xml:space="preserve">NOTA 8 — PELABURAN DALAM SYER (SIAR HARGA &amp; TAK SIAR HARGA)  (GP23 perenggan 15(c))</t>
  </si>
  <si>
    <t xml:space="preserve">Kod Akaun — Pelaburan Syer</t>
  </si>
  <si>
    <t xml:space="preserve">Senarai syer (nama syarikat/bil.unit/kos/nilai pasaran)</t>
  </si>
  <si>
    <t xml:space="preserve">[ISI jadual berasingan jika perlu] ◄ ISI</t>
  </si>
  <si>
    <t xml:space="preserve">Kelulusan SKM &amp; had pelaburan disahkan?</t>
  </si>
  <si>
    <t xml:space="preserve">NOTA 9 — KEPENTINGAN DALAM SUBSIDIARI DAN SYARIKAT BERSEKUTU  (GP23 perenggan 15(d))</t>
  </si>
  <si>
    <t xml:space="preserve">Kod Akaun — Pelaburan Subsidiari/Bersekutu</t>
  </si>
  <si>
    <t xml:space="preserve">Kod Akaun — Hutang Subsidiari/Bersekutu</t>
  </si>
  <si>
    <t xml:space="preserve">Nama syarikat, aktiviti, % pegangan ekuiti</t>
  </si>
  <si>
    <t xml:space="preserve">Kelulusan SKM (s.19 Akta) disahkan?</t>
  </si>
  <si>
    <t xml:space="preserve">NOTA 10 — PELABURAN HARTANAH DAN PELABURAN LAIN  (GP23 perenggan 15(e))</t>
  </si>
  <si>
    <t xml:space="preserve">Kod Akaun — Pelaburan Hartanah/Lain</t>
  </si>
  <si>
    <t xml:space="preserve">Kegunaan hartanah/pelaburan</t>
  </si>
  <si>
    <t xml:space="preserve">NOTA 11 — PELABURAN DALAM USAHA SAMA  (GP23 perenggan 15(f))</t>
  </si>
  <si>
    <t xml:space="preserve">Kod Akaun — Pelaburan Usaha Sama</t>
  </si>
  <si>
    <t xml:space="preserve">Aktiviti, pihak terlibat, kelulusan SKM (s.54)</t>
  </si>
  <si>
    <t xml:space="preserve">NOTA 12 — PROJEK DALAM PELAKSANAAN  (GP23 perenggan 15(g))</t>
  </si>
  <si>
    <t xml:space="preserve">Kod Akaun — Projek Dalam Pelaksanaan</t>
  </si>
  <si>
    <t xml:space="preserve">Jenis projek, kaedah pengiktirafan pendapatan</t>
  </si>
  <si>
    <t xml:space="preserve">NOTA 13 — PINJAMAN/PEMBIAYAAN DIBERI (ANGGOTA &amp; BUKAN ANGGOTA)  (GP23 perenggan 15(h))</t>
  </si>
  <si>
    <t xml:space="preserve">Kod Akaun — Pinjaman/Pembiayaan Diberi</t>
  </si>
  <si>
    <t xml:space="preserve">Peruntukan wajib GP23: tak berbayar 6+ bulan; 50% ragu pada 9–12 bulan; 100% lapuk pada 12+ bulan. Asingkan pinjaman peribadi vs perniagaan jika berkaitan.</t>
  </si>
  <si>
    <t xml:space="preserve">NOTA 14 — ASET DAN PERGERAKAN KUMPULAN WANG RIZAB STATUTORI (KWRS)  (GP23 perenggan 15(m))</t>
  </si>
  <si>
    <t xml:space="preserve">Kod Akaun — Aset mewakili KWRS (cth. Akaun Deposit Koperasi)</t>
  </si>
  <si>
    <t xml:space="preserve">Baki aset KWRS (semasa)</t>
  </si>
  <si>
    <t xml:space="preserve">Kod Akaun — KWRS (Ekuiti/Rizab)</t>
  </si>
  <si>
    <t xml:space="preserve">NOTA 15 — INVENTORI  (GP23 perenggan 15(j))</t>
  </si>
  <si>
    <t xml:space="preserve">Jenis Inventori</t>
  </si>
  <si>
    <t xml:space="preserve">Baki</t>
  </si>
  <si>
    <t xml:space="preserve">[ISI jenis] ◄ ISI</t>
  </si>
  <si>
    <t xml:space="preserve">[ISI kod] ◄ ISI</t>
  </si>
  <si>
    <t xml:space="preserve">Asas penilaian</t>
  </si>
  <si>
    <t xml:space="preserve">Pada kos. [ISI jika berbeza] ◄ ISI</t>
  </si>
  <si>
    <t xml:space="preserve">NOTA 16 — PELBAGAI PENGHUTANG  (GP23 perenggan 15(n))</t>
  </si>
  <si>
    <t xml:space="preserve">Kod Akaun — Pelbagai Penghutang (kasar)</t>
  </si>
  <si>
    <t xml:space="preserve">Kod Akaun — Peruntukan Hutang Ragu</t>
  </si>
  <si>
    <t xml:space="preserve">Tolak: Peruntukan Hutang Ragu (semakan bebas)</t>
  </si>
  <si>
    <t xml:space="preserve">Pengumuran (ageing) mengikut penghutang individu — senaraikan manual jika material; sistem semasa tidak jejak ini automatik.</t>
  </si>
  <si>
    <t xml:space="preserve">NOTA 17 — DEPOSIT TETAP, BANK DAN WANG DI TANGAN  (GP23 perenggan 15(o))</t>
  </si>
  <si>
    <t xml:space="preserve">Institusi/Jenis</t>
  </si>
  <si>
    <t xml:space="preserve">Had wang di tangan ditetapkan Lembaga</t>
  </si>
  <si>
    <t xml:space="preserve">[ISI jika ada] ◄ ISI</t>
  </si>
  <si>
    <t xml:space="preserve">NOTA 18 — SIMPANAN/DEPOSIT DITERIMA DARIPADA ANGGOTA  (GP23 perenggan 15(q))</t>
  </si>
  <si>
    <t xml:space="preserve">Kod Akaun — Simpanan/Deposit Anggota</t>
  </si>
  <si>
    <t xml:space="preserve">Kadar pulangan atas simpanan/deposit</t>
  </si>
  <si>
    <t xml:space="preserve">NOTA 19 — PINJAMAN LUAR  (GP23 perenggan 15(r))</t>
  </si>
  <si>
    <t xml:space="preserve">Kod Akaun — Pinjaman Luar</t>
  </si>
  <si>
    <t xml:space="preserve">Institusi, kadar faedah, tempoh, tujuan</t>
  </si>
  <si>
    <t xml:space="preserve">Kelulusan SKM (jika bukan anggota, para 50(e))</t>
  </si>
  <si>
    <t xml:space="preserve">NOTA 20 — FI AUDIT SURUHANJAYA, KWA PENDIDIKAN, KWA PEMBANGUNAN, DIVIDEN DAN HONORARIUM  (GP23 perenggan 15(s))</t>
  </si>
  <si>
    <t xml:space="preserve">Baki Awal</t>
  </si>
  <si>
    <t xml:space="preserve">Diperuntukkan</t>
  </si>
  <si>
    <t xml:space="preserve">Dibayar</t>
  </si>
  <si>
    <t xml:space="preserve">Baki Akhir</t>
  </si>
  <si>
    <t xml:space="preserve">Fi Audit Suruhanjaya</t>
  </si>
  <si>
    <t xml:space="preserve">KWA Pendidikan Koperasi</t>
  </si>
  <si>
    <t xml:space="preserve">KWA Pembangunan Koperasi</t>
  </si>
  <si>
    <t xml:space="preserve">Honorarium</t>
  </si>
  <si>
    <t xml:space="preserve">NOTA 21 — AMAUN TERHUTANG KEPADA SYARIKAT BERKAITAN  (GP23 perenggan 15(t))</t>
  </si>
  <si>
    <t xml:space="preserve">Kod Akaun — Amaun Terhutang Syarikat Berkaitan</t>
  </si>
  <si>
    <t xml:space="preserve">NOTA 22 — PELBAGAI PEMIUTANG  (GP23 perenggan 15(u))</t>
  </si>
  <si>
    <t xml:space="preserve">Kod Akaun — Pelbagai Pemiutang</t>
  </si>
  <si>
    <t xml:space="preserve">NOTA 23 — OVERDRAF BANK  (GP23 perenggan 15(v))</t>
  </si>
  <si>
    <t xml:space="preserve">Kod Akaun — Overdraf Bank</t>
  </si>
  <si>
    <t xml:space="preserve">Institusi, had overdraf, kadar faedah, cagaran</t>
  </si>
  <si>
    <t xml:space="preserve">NOTA 24 — MODAL SYER ANGGOTA, MODAL YURAN DAN SYER BONUS  (GP23 perenggan 15(w))</t>
  </si>
  <si>
    <t xml:space="preserve">Tambahan</t>
  </si>
  <si>
    <t xml:space="preserve">Kurangan</t>
  </si>
  <si>
    <t xml:space="preserve">Modal Syer Anggota</t>
  </si>
  <si>
    <t xml:space="preserve">Modal Yuran Anggota</t>
  </si>
  <si>
    <t xml:space="preserve">Syer Bonus</t>
  </si>
  <si>
    <t xml:space="preserve">Bilangan anggota (akhir tahun)</t>
  </si>
  <si>
    <t xml:space="preserve">[ISI — daripada sistem keahlian anda, jika berasingan daripada APZacct] ◄ ISI</t>
  </si>
  <si>
    <t xml:space="preserve">NOTA 25 — MODAL SYER DITEBUS DAN SYER BONUS DITEBUS  (GP23 perenggan 15(x))</t>
  </si>
  <si>
    <t xml:space="preserve">Kod Akaun — Modal Syer/Syer Bonus Ditebus</t>
  </si>
  <si>
    <t xml:space="preserve">NOTA 26 — AKAUN RIZAB MODAL  (GP23 perenggan 15(y))</t>
  </si>
  <si>
    <t xml:space="preserve">Kod Akaun — Akaun Rizab Modal</t>
  </si>
  <si>
    <t xml:space="preserve">NOTA 27 — AKAUN RIZAB PENILAIAN SEMULA  (GP23 perenggan 15(z))</t>
  </si>
  <si>
    <t xml:space="preserve">Kod Akaun — Akaun Rizab Penilaian Semula</t>
  </si>
  <si>
    <t xml:space="preserve">NOTA 28 — KUMPULAN WANG PENEBUSAN SYER (DAN SYER BONUS)  (GP23 perenggan 15(aa))</t>
  </si>
  <si>
    <t xml:space="preserve">Kod Akaun — Kumpulan Wang Penebusan Syer</t>
  </si>
  <si>
    <t xml:space="preserve">NOTA 29 — KUMPULAN WANG/TABUNG (ANGGOTA)  (GP23 perenggan 15(ab))</t>
  </si>
  <si>
    <t xml:space="preserve">Nama Kumpulan Wang</t>
  </si>
  <si>
    <t xml:space="preserve">[ISI — cth. Kebajikan/Pendidikan/Khairat Kematian] ◄ ISI</t>
  </si>
  <si>
    <t xml:space="preserve">Baki setiap tabung ini tidak boleh jadi negatif — semak sebelum guna.</t>
  </si>
  <si>
    <t xml:space="preserve">NOTA 30 — KUMPULAN WANG/TABUNG (BUKAN ANGGOTA)  (GP23 perenggan 15(ac))</t>
  </si>
  <si>
    <t xml:space="preserve">Kod Akaun — Kumpulan Wang/Tabung Bukan Anggota</t>
  </si>
  <si>
    <t xml:space="preserve">NOTA 31 — LAIN-LAIN LIABILITI  (GP23 perenggan 15(ad))</t>
  </si>
  <si>
    <t xml:space="preserve">Kod Akaun — Lain-lain Liabiliti</t>
  </si>
  <si>
    <t xml:space="preserve">NOTA 32 — ANALISIS PENDAPATAN DAN PERBELANJAAN MENGIKUT AKTIVITI  (GP23 perenggan 42-44)</t>
  </si>
  <si>
    <t xml:space="preserve">Isi SETIAP aktiviti perniagaan koperasi anda dengan kod Hasil dan kod Kos masing-masing; kosongkan baris untuk aktiviti tanpa kos jualan (perkhidmatan terus).</t>
  </si>
  <si>
    <t xml:space="preserve">Aktiviti</t>
  </si>
  <si>
    <t xml:space="preserve">Kod Hasil</t>
  </si>
  <si>
    <t xml:space="preserve">Kod Kos</t>
  </si>
  <si>
    <t xml:space="preserve">Jualan</t>
  </si>
  <si>
    <t xml:space="preserve">Kos Jualan</t>
  </si>
  <si>
    <t xml:space="preserve">Untung/(Rugi) Kasar</t>
  </si>
  <si>
    <t xml:space="preserve">[ISI nama aktiviti] ◄ ISI</t>
  </si>
  <si>
    <t xml:space="preserve">NOTA 33 — PERBELANJAAN LEMBAGA MENGIKUT INDIVIDU  (GP23 perenggan 47, subperaturan 31(2))</t>
  </si>
  <si>
    <t xml:space="preserve">Kod Akaun — Perbelanjaan Lembaga (untuk semakan silang)</t>
  </si>
  <si>
    <t xml:space="preserve">Nama Ahli Lembaga</t>
  </si>
  <si>
    <t xml:space="preserve">Elaun Tetap</t>
  </si>
  <si>
    <t xml:space="preserve">Elaun Mesyuarat</t>
  </si>
  <si>
    <t xml:space="preserve">Elaun Perjalanan</t>
  </si>
  <si>
    <t xml:space="preserve">Lain-lain</t>
  </si>
  <si>
    <t xml:space="preserve">Semakan silang (Imbangan_Duga, kod di atas)</t>
  </si>
  <si>
    <t xml:space="preserve">Beza (sepatutnya 0 bila lengkap)</t>
  </si>
  <si>
    <t xml:space="preserve">NOTA 34 — KAEDAH PENYATA ALIRAN TUNAI  (GP23 perenggan 50-51)</t>
  </si>
  <si>
    <t xml:space="preserve">Penyata Aliran Tunai disediakan menggunakan kaedah tidak langsung (indirect method), selaras GP23 perenggan 51.</t>
  </si>
  <si>
    <t xml:space="preserve">NOTA 35 — BILANGAN PEKERJA KOPERASI  (GP23 perenggan 16(d))</t>
  </si>
  <si>
    <t xml:space="preserve">Bilangan pekerja (akhir tahun kewangan)</t>
  </si>
  <si>
    <t xml:space="preserve">NOTA 36 — LIABILITI LUAR JANGKA, KOMITMEN DAN PERISTIWA SELEPAS TARIKH KUNCI KIRA-KIRA  (GP23 perenggan 16(b))</t>
  </si>
  <si>
    <t xml:space="preserve">Butiran</t>
  </si>
  <si>
    <t xml:space="preserve">Tiada. [ISI jika ada — semak semula SETIAP tahun] ◄ ISI</t>
  </si>
  <si>
    <t xml:space="preserve">NOTA 37 — MAKLUMAT PERBANDINGAN  (GP23 perenggan 16(e))</t>
  </si>
  <si>
    <t xml:space="preserve">GP23 menghendaki angka tahun lepas ditunjukkan bersebelahan angka tahun semasa bagi SETIAP maklumat berangka. Nota-nota di atas yang menggunakan Sejarah_Baki sudah memenuhi ini secara automatik selepas tahun pertama; nota lain (jadual manual) perlu diisi dengan angka tahun lepas secara manual.</t>
  </si>
  <si>
    <t xml:space="preserve">Tahun (baki ditutup)</t>
  </si>
</sst>
</file>

<file path=xl/styles.xml><?xml version="1.0" encoding="utf-8"?>
<styleSheet xmlns="http://schemas.openxmlformats.org/spreadsheetml/2006/main">
  <numFmts count="7">
    <numFmt numFmtId="164" formatCode="General"/>
    <numFmt numFmtId="165" formatCode="0.0\%"/>
    <numFmt numFmtId="166" formatCode="@"/>
    <numFmt numFmtId="167" formatCode="0"/>
    <numFmt numFmtId="168" formatCode="&quot;RM &quot;#,##0.00"/>
    <numFmt numFmtId="169" formatCode="yyyy\-mm\-dd"/>
    <numFmt numFmtId="170" formatCode="m/d/yyyy\ h:mm:ss"/>
  </numFmts>
  <fonts count="28">
    <font>
      <sz val="11"/>
      <color theme="1"/>
      <name val="Calibri"/>
      <family val="0"/>
      <charset val="1"/>
    </font>
    <font>
      <sz val="10"/>
      <name val="Arial"/>
      <family val="0"/>
    </font>
    <font>
      <sz val="10"/>
      <name val="Arial"/>
      <family val="0"/>
    </font>
    <font>
      <sz val="10"/>
      <name val="Arial"/>
      <family val="0"/>
    </font>
    <font>
      <b val="true"/>
      <sz val="16"/>
      <color rgb="FF1F6F5C"/>
      <name val="Arial"/>
      <family val="0"/>
      <charset val="1"/>
    </font>
    <font>
      <sz val="10"/>
      <name val="Arial"/>
      <family val="0"/>
      <charset val="1"/>
    </font>
    <font>
      <b val="true"/>
      <sz val="12"/>
      <color rgb="FF1F6F5C"/>
      <name val="Arial"/>
      <family val="0"/>
      <charset val="1"/>
    </font>
    <font>
      <b val="true"/>
      <sz val="10"/>
      <color rgb="FFC0392B"/>
      <name val="Arial"/>
      <family val="0"/>
      <charset val="1"/>
    </font>
    <font>
      <sz val="10"/>
      <color theme="1"/>
      <name val="Arial"/>
      <family val="0"/>
      <charset val="1"/>
    </font>
    <font>
      <b val="true"/>
      <sz val="14"/>
      <color rgb="FF1F6F5C"/>
      <name val="Arial"/>
      <family val="0"/>
      <charset val="1"/>
    </font>
    <font>
      <i val="true"/>
      <sz val="10"/>
      <color rgb="FF5C6D64"/>
      <name val="Arial"/>
      <family val="0"/>
      <charset val="1"/>
    </font>
    <font>
      <b val="true"/>
      <sz val="10"/>
      <color rgb="FFFFFFFF"/>
      <name val="Arial"/>
      <family val="0"/>
      <charset val="1"/>
    </font>
    <font>
      <b val="true"/>
      <sz val="10"/>
      <color theme="1"/>
      <name val="Arial"/>
      <family val="0"/>
      <charset val="1"/>
    </font>
    <font>
      <sz val="9"/>
      <color rgb="FF808080"/>
      <name val="Arial"/>
      <family val="0"/>
      <charset val="1"/>
    </font>
    <font>
      <sz val="10"/>
      <name val="Arial"/>
      <family val="2"/>
    </font>
    <font>
      <sz val="10"/>
      <color rgb="FF808080"/>
      <name val="Arial"/>
      <family val="0"/>
      <charset val="1"/>
    </font>
    <font>
      <i val="true"/>
      <sz val="9"/>
      <color rgb="FF808080"/>
      <name val="Arial"/>
      <family val="0"/>
      <charset val="1"/>
    </font>
    <font>
      <i val="true"/>
      <sz val="9"/>
      <color rgb="FFC0392B"/>
      <name val="Arial"/>
      <family val="0"/>
      <charset val="1"/>
    </font>
    <font>
      <b val="true"/>
      <sz val="9"/>
      <color rgb="FFFFFFFF"/>
      <name val="Arial"/>
      <family val="0"/>
      <charset val="1"/>
    </font>
    <font>
      <b val="true"/>
      <sz val="11"/>
      <color theme="1"/>
      <name val="Calibri"/>
      <family val="0"/>
      <charset val="1"/>
    </font>
    <font>
      <b val="true"/>
      <sz val="11"/>
      <color rgb="FF1F6F5C"/>
      <name val="Arial"/>
      <family val="0"/>
      <charset val="1"/>
    </font>
    <font>
      <sz val="11"/>
      <color rgb="FF5C6D64"/>
      <name val="Arial"/>
      <family val="0"/>
      <charset val="1"/>
    </font>
    <font>
      <b val="true"/>
      <sz val="10"/>
      <color rgb="FF1F6F5C"/>
      <name val="Arial"/>
      <family val="0"/>
      <charset val="1"/>
    </font>
    <font>
      <sz val="10"/>
      <color rgb="FF000000"/>
      <name val="Arial"/>
      <family val="0"/>
      <charset val="1"/>
    </font>
    <font>
      <b val="true"/>
      <sz val="10"/>
      <color rgb="FF000000"/>
      <name val="Arial"/>
      <family val="0"/>
      <charset val="1"/>
    </font>
    <font>
      <b val="true"/>
      <sz val="11"/>
      <name val="Cambria"/>
      <family val="0"/>
      <charset val="1"/>
    </font>
    <font>
      <sz val="11"/>
      <color theme="1"/>
      <name val="Calibri"/>
      <family val="2"/>
      <charset val="1"/>
    </font>
    <font>
      <i val="true"/>
      <sz val="9"/>
      <name val="Cambria"/>
      <family val="0"/>
      <charset val="1"/>
    </font>
  </fonts>
  <fills count="6">
    <fill>
      <patternFill patternType="none"/>
    </fill>
    <fill>
      <patternFill patternType="gray125"/>
    </fill>
    <fill>
      <patternFill patternType="solid">
        <fgColor rgb="FF1F6F5C"/>
        <bgColor rgb="FF008080"/>
      </patternFill>
    </fill>
    <fill>
      <patternFill patternType="solid">
        <fgColor rgb="FFF1F1EF"/>
        <bgColor rgb="FFDCEAE4"/>
      </patternFill>
    </fill>
    <fill>
      <patternFill patternType="solid">
        <fgColor rgb="FFFFFF00"/>
        <bgColor rgb="FFFFFF00"/>
      </patternFill>
    </fill>
    <fill>
      <patternFill patternType="solid">
        <fgColor rgb="FFDCEAE4"/>
        <bgColor rgb="FFD8DCD3"/>
      </patternFill>
    </fill>
  </fills>
  <borders count="2">
    <border diagonalUp="false" diagonalDown="false">
      <left/>
      <right/>
      <top/>
      <bottom/>
      <diagonal/>
    </border>
    <border diagonalUp="false" diagonalDown="false">
      <left style="thin">
        <color rgb="FFD8DCD3"/>
      </left>
      <right style="thin">
        <color rgb="FFD8DCD3"/>
      </right>
      <top style="thin">
        <color rgb="FFD8DCD3"/>
      </top>
      <bottom style="thin">
        <color rgb="FFD8DCD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11" fillId="2" borderId="0" xfId="0" applyFont="true" applyBorder="false" applyAlignment="true" applyProtection="false">
      <alignment horizontal="general" vertical="center" textRotation="0" wrapText="true" indent="0" shrinkToFit="false"/>
      <protection locked="true" hidden="false"/>
    </xf>
    <xf numFmtId="164" fontId="12" fillId="0" borderId="1" xfId="0" applyFont="true" applyBorder="true" applyAlignment="true" applyProtection="false">
      <alignment horizontal="general" vertical="bottom" textRotation="0" wrapText="false" indent="0" shrinkToFit="false"/>
      <protection locked="true" hidden="false"/>
    </xf>
    <xf numFmtId="164" fontId="13" fillId="3" borderId="1" xfId="0" applyFont="true" applyBorder="true" applyAlignment="true" applyProtection="false">
      <alignment horizontal="general" vertical="bottom" textRotation="0" wrapText="false" indent="0" shrinkToFit="false"/>
      <protection locked="true" hidden="false"/>
    </xf>
    <xf numFmtId="164" fontId="8" fillId="4" borderId="1" xfId="0" applyFont="true" applyBorder="true" applyAlignment="true" applyProtection="false">
      <alignment horizontal="general" vertical="bottom" textRotation="0" wrapText="false" indent="0" shrinkToFit="false"/>
      <protection locked="true" hidden="false"/>
    </xf>
    <xf numFmtId="164" fontId="13" fillId="0" borderId="1" xfId="0" applyFont="true" applyBorder="true" applyAlignment="true" applyProtection="false">
      <alignment horizontal="general" vertical="top" textRotation="0" wrapText="true" indent="0" shrinkToFit="false"/>
      <protection locked="true" hidden="false"/>
    </xf>
    <xf numFmtId="165" fontId="13" fillId="3" borderId="1" xfId="0" applyFont="true" applyBorder="true" applyAlignment="true" applyProtection="false">
      <alignment horizontal="general" vertical="bottom" textRotation="0" wrapText="false" indent="0" shrinkToFit="false"/>
      <protection locked="true" hidden="false"/>
    </xf>
    <xf numFmtId="165" fontId="8" fillId="4" borderId="1" xfId="0" applyFont="true" applyBorder="true" applyAlignment="true" applyProtection="false">
      <alignment horizontal="general" vertical="bottom" textRotation="0" wrapText="false" indent="0" shrinkToFit="false"/>
      <protection locked="true" hidden="false"/>
    </xf>
    <xf numFmtId="164" fontId="13" fillId="0" borderId="1" xfId="0" applyFont="true" applyBorder="true" applyAlignment="true" applyProtection="false">
      <alignment horizontal="general" vertical="bottom" textRotation="0" wrapText="false" indent="0" shrinkToFit="false"/>
      <protection locked="true" hidden="false"/>
    </xf>
    <xf numFmtId="166" fontId="8" fillId="4" borderId="1" xfId="0" applyFont="true" applyBorder="true" applyAlignment="tru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7" fontId="8" fillId="0" borderId="1" xfId="0" applyFont="true" applyBorder="true" applyAlignment="true" applyProtection="false">
      <alignment horizontal="general" vertical="bottom" textRotation="0" wrapText="false" indent="0" shrinkToFit="false"/>
      <protection locked="true" hidden="false"/>
    </xf>
    <xf numFmtId="164" fontId="16" fillId="0" borderId="1" xfId="0" applyFont="true" applyBorder="true" applyAlignment="true" applyProtection="false">
      <alignment horizontal="general" vertical="bottom" textRotation="0" wrapText="false" indent="0" shrinkToFit="false"/>
      <protection locked="true" hidden="false"/>
    </xf>
    <xf numFmtId="164" fontId="17" fillId="0" borderId="1" xfId="0" applyFont="true" applyBorder="tru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8" fontId="12" fillId="0" borderId="0" xfId="0" applyFont="true" applyBorder="false" applyAlignment="true" applyProtection="false">
      <alignment horizontal="general" vertical="bottom" textRotation="0" wrapText="false" indent="0" shrinkToFit="false"/>
      <protection locked="true" hidden="false"/>
    </xf>
    <xf numFmtId="164" fontId="18" fillId="2" borderId="0" xfId="0" applyFont="true" applyBorder="false" applyAlignment="true" applyProtection="false">
      <alignment horizontal="center" vertical="center" textRotation="0" wrapText="true" indent="0" shrinkToFit="false"/>
      <protection locked="true" hidden="false"/>
    </xf>
    <xf numFmtId="169" fontId="0" fillId="0" borderId="1" xfId="0" applyFont="false" applyBorder="true" applyAlignment="true" applyProtection="false">
      <alignment horizontal="general" vertical="bottom" textRotation="0" wrapText="false" indent="0" shrinkToFit="false"/>
      <protection locked="true" hidden="false"/>
    </xf>
    <xf numFmtId="168" fontId="0" fillId="0" borderId="1" xfId="0" applyFont="false" applyBorder="true" applyAlignment="true" applyProtection="false">
      <alignment horizontal="general" vertical="bottom" textRotation="0" wrapText="false" indent="0" shrinkToFit="false"/>
      <protection locked="true" hidden="false"/>
    </xf>
    <xf numFmtId="164" fontId="12" fillId="5" borderId="0" xfId="0" applyFont="true" applyBorder="false" applyAlignment="true" applyProtection="false">
      <alignment horizontal="general" vertical="bottom" textRotation="0" wrapText="false" indent="0" shrinkToFit="false"/>
      <protection locked="true" hidden="false"/>
    </xf>
    <xf numFmtId="168" fontId="12" fillId="5" borderId="0" xfId="0" applyFont="true" applyBorder="false" applyAlignment="true" applyProtection="false">
      <alignment horizontal="general" vertical="bottom" textRotation="0" wrapText="false" indent="0" shrinkToFit="false"/>
      <protection locked="true" hidden="false"/>
    </xf>
    <xf numFmtId="168" fontId="0" fillId="0" borderId="0" xfId="0" applyFont="false" applyBorder="false" applyAlignment="tru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9" fontId="0" fillId="0" borderId="0" xfId="0" applyFont="false" applyBorder="false" applyAlignment="true" applyProtection="false">
      <alignment horizontal="general" vertical="bottom" textRotation="0" wrapText="false" indent="0" shrinkToFit="false"/>
      <protection locked="true" hidden="false"/>
    </xf>
    <xf numFmtId="168" fontId="8" fillId="0" borderId="1" xfId="0" applyFont="true" applyBorder="tru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70" fontId="0" fillId="0" borderId="0" xfId="0" applyFont="false" applyBorder="false" applyAlignment="true" applyProtection="false">
      <alignment horizontal="general" vertical="bottom" textRotation="0" wrapText="false" indent="0" shrinkToFit="false"/>
      <protection locked="true" hidden="false"/>
    </xf>
    <xf numFmtId="164" fontId="12" fillId="5" borderId="1" xfId="0" applyFont="true" applyBorder="true" applyAlignment="true" applyProtection="false">
      <alignment horizontal="general" vertical="bottom" textRotation="0" wrapText="false" indent="0" shrinkToFit="false"/>
      <protection locked="true" hidden="false"/>
    </xf>
    <xf numFmtId="164" fontId="8" fillId="5" borderId="1" xfId="0" applyFont="true" applyBorder="true" applyAlignment="true" applyProtection="false">
      <alignment horizontal="general" vertical="bottom" textRotation="0" wrapText="false" indent="0" shrinkToFit="false"/>
      <protection locked="true" hidden="false"/>
    </xf>
    <xf numFmtId="168" fontId="12" fillId="5" borderId="1" xfId="0" applyFont="true" applyBorder="true" applyAlignment="true" applyProtection="false">
      <alignment horizontal="general" vertical="bottom" textRotation="0" wrapText="false" indent="0" shrinkToFit="false"/>
      <protection locked="true" hidden="false"/>
    </xf>
    <xf numFmtId="164" fontId="20" fillId="0" borderId="0" xfId="0" applyFont="true" applyBorder="false" applyAlignment="true" applyProtection="false">
      <alignment horizontal="general" vertical="bottom" textRotation="0" wrapText="false" indent="0" shrinkToFit="false"/>
      <protection locked="true" hidden="false"/>
    </xf>
    <xf numFmtId="168" fontId="8" fillId="0" borderId="0" xfId="0" applyFont="true" applyBorder="false" applyAlignment="true" applyProtection="false">
      <alignment horizontal="general" vertical="bottom" textRotation="0" wrapText="false" indent="0" shrinkToFit="false"/>
      <protection locked="true" hidden="false"/>
    </xf>
    <xf numFmtId="168" fontId="0" fillId="4" borderId="0" xfId="0" applyFont="false" applyBorder="false" applyAlignment="true" applyProtection="false">
      <alignment horizontal="general" vertical="bottom" textRotation="0" wrapText="false" indent="0" shrinkToFit="false"/>
      <protection locked="true" hidden="false"/>
    </xf>
    <xf numFmtId="168" fontId="12" fillId="0" borderId="1" xfId="0" applyFont="true" applyBorder="true" applyAlignment="true" applyProtection="false">
      <alignment horizontal="general" vertical="bottom" textRotation="0" wrapText="false" indent="0" shrinkToFit="false"/>
      <protection locked="true" hidden="false"/>
    </xf>
    <xf numFmtId="168" fontId="16" fillId="0" borderId="1" xfId="0" applyFont="true" applyBorder="true" applyAlignment="true" applyProtection="false">
      <alignment horizontal="general" vertical="bottom" textRotation="0" wrapText="false" indent="0" shrinkToFit="false"/>
      <protection locked="true" hidden="false"/>
    </xf>
    <xf numFmtId="168" fontId="8" fillId="4" borderId="1" xfId="0" applyFont="true" applyBorder="true" applyAlignment="true" applyProtection="false">
      <alignment horizontal="general" vertical="bottom" textRotation="0" wrapText="false" indent="0" shrinkToFit="false"/>
      <protection locked="true" hidden="false"/>
    </xf>
    <xf numFmtId="168" fontId="8" fillId="5" borderId="1" xfId="0" applyFont="true" applyBorder="true" applyAlignment="true" applyProtection="false">
      <alignment horizontal="general" vertical="bottom" textRotation="0" wrapText="false" indent="0" shrinkToFit="false"/>
      <protection locked="true" hidden="false"/>
    </xf>
    <xf numFmtId="164" fontId="21" fillId="0" borderId="0" xfId="0" applyFont="true" applyBorder="false" applyAlignment="tru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4" fontId="16" fillId="0" borderId="0" xfId="0" applyFont="true" applyBorder="true" applyAlignment="true" applyProtection="false">
      <alignment horizontal="general" vertical="top" textRotation="0" wrapText="true" indent="0" shrinkToFit="false"/>
      <protection locked="true" hidden="false"/>
    </xf>
    <xf numFmtId="164" fontId="22" fillId="0" borderId="0" xfId="0" applyFont="true" applyBorder="false" applyAlignment="true" applyProtection="false">
      <alignment horizontal="general" vertical="bottom" textRotation="0" wrapText="fals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xf numFmtId="164" fontId="24" fillId="0" borderId="0" xfId="0" applyFont="true" applyBorder="false" applyAlignment="true" applyProtection="false">
      <alignment horizontal="general" vertical="bottom" textRotation="0" wrapText="false" indent="0" shrinkToFit="false"/>
      <protection locked="true" hidden="false"/>
    </xf>
    <xf numFmtId="164" fontId="25" fillId="0" borderId="0" xfId="0" applyFont="true" applyBorder="false" applyAlignment="true" applyProtection="false">
      <alignment horizontal="general" vertical="bottom" textRotation="0" wrapText="false" indent="0" shrinkToFit="false"/>
      <protection locked="true" hidden="false"/>
    </xf>
    <xf numFmtId="164" fontId="26" fillId="0" borderId="0" xfId="0" applyFont="true" applyBorder="false" applyAlignment="false" applyProtection="false">
      <alignment horizontal="general" vertical="bottom" textRotation="0" wrapText="false" indent="0" shrinkToFit="false"/>
      <protection locked="true" hidden="false"/>
    </xf>
    <xf numFmtId="164" fontId="27" fillId="0" borderId="0" xfId="0" applyFont="true" applyBorder="false" applyAlignment="true" applyProtection="false">
      <alignment horizontal="general" vertical="bottom" textRotation="0" wrapText="false" indent="0" shrinkToFit="false"/>
      <protection locked="true" hidden="false"/>
    </xf>
    <xf numFmtId="164" fontId="26" fillId="0" borderId="0" xfId="0" applyFont="true" applyBorder="false" applyAlignment="true" applyProtection="false">
      <alignment horizontal="general" vertical="bottom" textRotation="0" wrapText="false" indent="0" shrinkToFit="false"/>
      <protection locked="true" hidden="false"/>
    </xf>
    <xf numFmtId="164" fontId="2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F6F5C"/>
      <rgbColor rgb="FFC0C0C0"/>
      <rgbColor rgb="FF808080"/>
      <rgbColor rgb="FF9999FF"/>
      <rgbColor rgb="FF993366"/>
      <rgbColor rgb="FFF1F1EF"/>
      <rgbColor rgb="FFCCFFFF"/>
      <rgbColor rgb="FF660066"/>
      <rgbColor rgb="FFFF8080"/>
      <rgbColor rgb="FF0066CC"/>
      <rgbColor rgb="FFD8DCD3"/>
      <rgbColor rgb="FF000080"/>
      <rgbColor rgb="FFFF00FF"/>
      <rgbColor rgb="FFFFFF00"/>
      <rgbColor rgb="FF00FFFF"/>
      <rgbColor rgb="FF800080"/>
      <rgbColor rgb="FF800000"/>
      <rgbColor rgb="FF008080"/>
      <rgbColor rgb="FF0000FF"/>
      <rgbColor rgb="FF00CCFF"/>
      <rgbColor rgb="FFCCFFFF"/>
      <rgbColor rgb="FFDCEAE4"/>
      <rgbColor rgb="FFFFFF99"/>
      <rgbColor rgb="FF99CCFF"/>
      <rgbColor rgb="FFFF99CC"/>
      <rgbColor rgb="FFCC99FF"/>
      <rgbColor rgb="FFFFCC99"/>
      <rgbColor rgb="FF3366FF"/>
      <rgbColor rgb="FF33CCCC"/>
      <rgbColor rgb="FF99CC00"/>
      <rgbColor rgb="FFFFCC00"/>
      <rgbColor rgb="FFFF9900"/>
      <rgbColor rgb="FFFF6600"/>
      <rgbColor rgb="FF5C6D64"/>
      <rgbColor rgb="FF969696"/>
      <rgbColor rgb="FF003366"/>
      <rgbColor rgb="FF339966"/>
      <rgbColor rgb="FF003300"/>
      <rgbColor rgb="FF333300"/>
      <rgbColor rgb="FFC0392B"/>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2.v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3.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4.vml"/>
</Relationships>
</file>

<file path=xl/worksheets/_rels/sheet14.xml.rels><?xml version="1.0" encoding="UTF-8"?>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5.vml"/>
</Relationships>
</file>

<file path=xl/worksheets/_rels/sheet15.xml.rels><?xml version="1.0" encoding="UTF-8"?>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6.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2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1" width="100"/>
    <col collapsed="false" customWidth="true" hidden="false" outlineLevel="0" max="26" min="2" style="1" width="8.71"/>
  </cols>
  <sheetData>
    <row r="1" customFormat="false" ht="21" hidden="false" customHeight="true" outlineLevel="0" collapsed="false">
      <c r="A1" s="2" t="s">
        <v>0</v>
      </c>
    </row>
    <row r="2" customFormat="false" ht="15" hidden="false" customHeight="true" outlineLevel="0" collapsed="false">
      <c r="A2" s="3"/>
    </row>
    <row r="3" customFormat="false" ht="18" hidden="false" customHeight="true" outlineLevel="0" collapsed="false">
      <c r="A3" s="4" t="s">
        <v>1</v>
      </c>
    </row>
    <row r="4" customFormat="false" ht="57" hidden="false" customHeight="true" outlineLevel="0" collapsed="false">
      <c r="A4" s="3" t="s">
        <v>2</v>
      </c>
    </row>
    <row r="5" customFormat="false" ht="15" hidden="false" customHeight="true" outlineLevel="0" collapsed="false">
      <c r="A5" s="3"/>
    </row>
    <row r="6" customFormat="false" ht="18" hidden="false" customHeight="true" outlineLevel="0" collapsed="false">
      <c r="A6" s="4" t="s">
        <v>3</v>
      </c>
    </row>
    <row r="7" customFormat="false" ht="30" hidden="false" customHeight="true" outlineLevel="0" collapsed="false">
      <c r="A7" s="3" t="s">
        <v>4</v>
      </c>
    </row>
    <row r="8" customFormat="false" ht="30" hidden="false" customHeight="true" outlineLevel="0" collapsed="false">
      <c r="A8" s="3" t="s">
        <v>5</v>
      </c>
    </row>
    <row r="9" customFormat="false" ht="43.5" hidden="false" customHeight="true" outlineLevel="0" collapsed="false">
      <c r="A9" s="3" t="s">
        <v>6</v>
      </c>
    </row>
    <row r="10" customFormat="false" ht="15" hidden="false" customHeight="true" outlineLevel="0" collapsed="false">
      <c r="A10" s="3"/>
    </row>
    <row r="11" customFormat="false" ht="18" hidden="false" customHeight="true" outlineLevel="0" collapsed="false">
      <c r="A11" s="4" t="s">
        <v>7</v>
      </c>
    </row>
    <row r="12" customFormat="false" ht="43.5" hidden="false" customHeight="true" outlineLevel="0" collapsed="false">
      <c r="A12" s="3" t="s">
        <v>8</v>
      </c>
    </row>
    <row r="13" customFormat="false" ht="16.5" hidden="false" customHeight="true" outlineLevel="0" collapsed="false">
      <c r="A13" s="3" t="s">
        <v>9</v>
      </c>
    </row>
    <row r="14" customFormat="false" ht="43.5" hidden="false" customHeight="true" outlineLevel="0" collapsed="false">
      <c r="A14" s="3" t="s">
        <v>10</v>
      </c>
    </row>
    <row r="15" customFormat="false" ht="15" hidden="false" customHeight="true" outlineLevel="0" collapsed="false">
      <c r="A15" s="3"/>
    </row>
    <row r="16" customFormat="false" ht="18" hidden="false" customHeight="true" outlineLevel="0" collapsed="false">
      <c r="A16" s="4" t="s">
        <v>11</v>
      </c>
    </row>
    <row r="17" customFormat="false" ht="30" hidden="false" customHeight="true" outlineLevel="0" collapsed="false">
      <c r="A17" s="3" t="s">
        <v>12</v>
      </c>
    </row>
    <row r="18" customFormat="false" ht="57" hidden="false" customHeight="true" outlineLevel="0" collapsed="false">
      <c r="A18" s="3" t="s">
        <v>13</v>
      </c>
    </row>
    <row r="19" customFormat="false" ht="30" hidden="false" customHeight="true" outlineLevel="0" collapsed="false">
      <c r="A19" s="5" t="s">
        <v>14</v>
      </c>
    </row>
    <row r="20" customFormat="false" ht="15" hidden="false" customHeight="true" outlineLevel="0" collapsed="false">
      <c r="A20" s="3"/>
    </row>
    <row r="21" customFormat="false" ht="18" hidden="false" customHeight="true" outlineLevel="0" collapsed="false">
      <c r="A21" s="4" t="s">
        <v>15</v>
      </c>
    </row>
    <row r="22" customFormat="false" ht="43.5" hidden="false" customHeight="true" outlineLevel="0" collapsed="false">
      <c r="A22" s="3" t="s">
        <v>16</v>
      </c>
    </row>
    <row r="23" customFormat="false" ht="30" hidden="false" customHeight="true" outlineLevel="0" collapsed="false">
      <c r="A23" s="3" t="s">
        <v>17</v>
      </c>
    </row>
    <row r="24" customFormat="false" ht="15" hidden="false" customHeight="true" outlineLevel="0" collapsed="false">
      <c r="A24" s="3"/>
    </row>
    <row r="25" customFormat="false" ht="18" hidden="false" customHeight="true" outlineLevel="0" collapsed="false">
      <c r="A25" s="4" t="s">
        <v>18</v>
      </c>
    </row>
    <row r="26" customFormat="false" ht="43.5" hidden="false" customHeight="true" outlineLevel="0" collapsed="false">
      <c r="A26" s="3" t="s">
        <v>19</v>
      </c>
    </row>
    <row r="27" customFormat="false" ht="57" hidden="false" customHeight="true" outlineLevel="0" collapsed="false">
      <c r="A27" s="3" t="s">
        <v>20</v>
      </c>
    </row>
    <row r="28" customFormat="false" ht="30" hidden="false" customHeight="true" outlineLevel="0" collapsed="false">
      <c r="A28" s="3" t="s">
        <v>21</v>
      </c>
    </row>
    <row r="29" customFormat="false" ht="15" hidden="false" customHeight="true" outlineLevel="0" collapsed="false">
      <c r="A29" s="3"/>
    </row>
    <row r="30" customFormat="false" ht="18" hidden="false" customHeight="true" outlineLevel="0" collapsed="false">
      <c r="A30" s="4" t="s">
        <v>22</v>
      </c>
    </row>
    <row r="31" customFormat="false" ht="43.5" hidden="false" customHeight="true" outlineLevel="0" collapsed="false">
      <c r="A31" s="3" t="s">
        <v>23</v>
      </c>
    </row>
    <row r="32" customFormat="false" ht="30" hidden="false" customHeight="true" outlineLevel="0" collapsed="false">
      <c r="A32" s="3" t="s">
        <v>24</v>
      </c>
    </row>
    <row r="33" customFormat="false" ht="30" hidden="false" customHeight="true" outlineLevel="0" collapsed="false">
      <c r="A33" s="3" t="s">
        <v>25</v>
      </c>
    </row>
    <row r="34" customFormat="false" ht="30" hidden="false" customHeight="true" outlineLevel="0" collapsed="false">
      <c r="A34" s="3" t="s">
        <v>26</v>
      </c>
    </row>
    <row r="35" customFormat="false" ht="30" hidden="false" customHeight="true" outlineLevel="0" collapsed="false">
      <c r="A35" s="3" t="s">
        <v>27</v>
      </c>
    </row>
    <row r="36" customFormat="false" ht="15" hidden="false" customHeight="true" outlineLevel="0" collapsed="false">
      <c r="A36" s="3"/>
    </row>
    <row r="37" customFormat="false" ht="18" hidden="false" customHeight="true" outlineLevel="0" collapsed="false">
      <c r="A37" s="4" t="s">
        <v>28</v>
      </c>
    </row>
    <row r="38" customFormat="false" ht="43.5" hidden="false" customHeight="true" outlineLevel="0" collapsed="false">
      <c r="A38" s="3" t="s">
        <v>29</v>
      </c>
    </row>
    <row r="39" customFormat="false" ht="15" hidden="false" customHeight="true" outlineLevel="0" collapsed="false">
      <c r="A39" s="3"/>
    </row>
    <row r="40" customFormat="false" ht="18" hidden="false" customHeight="true" outlineLevel="0" collapsed="false">
      <c r="A40" s="4" t="s">
        <v>30</v>
      </c>
    </row>
    <row r="41" customFormat="false" ht="43.5" hidden="false" customHeight="true" outlineLevel="0" collapsed="false">
      <c r="A41" s="5" t="s">
        <v>31</v>
      </c>
    </row>
    <row r="42" customFormat="false" ht="15" hidden="false" customHeight="true" outlineLevel="0" collapsed="false">
      <c r="A42" s="3"/>
    </row>
    <row r="43" customFormat="false" ht="18" hidden="false" customHeight="true" outlineLevel="0" collapsed="false">
      <c r="A43" s="4" t="s">
        <v>32</v>
      </c>
    </row>
    <row r="44" customFormat="false" ht="30" hidden="false" customHeight="true" outlineLevel="0" collapsed="false">
      <c r="A44" s="3" t="s">
        <v>33</v>
      </c>
    </row>
    <row r="45" customFormat="false" ht="15" hidden="false" customHeight="true" outlineLevel="0" collapsed="false">
      <c r="A45" s="6"/>
    </row>
    <row r="46" customFormat="false" ht="15" hidden="false" customHeight="true" outlineLevel="0" collapsed="false">
      <c r="A46" s="6"/>
    </row>
    <row r="47" customFormat="false" ht="15" hidden="false" customHeight="true" outlineLevel="0" collapsed="false">
      <c r="A47" s="6"/>
    </row>
    <row r="48" customFormat="false" ht="15" hidden="false" customHeight="true" outlineLevel="0" collapsed="false">
      <c r="A48" s="6"/>
    </row>
    <row r="49" customFormat="false" ht="15" hidden="false" customHeight="true" outlineLevel="0" collapsed="false">
      <c r="A49" s="6"/>
    </row>
    <row r="50" customFormat="false" ht="15" hidden="false" customHeight="true" outlineLevel="0" collapsed="false">
      <c r="A50" s="6"/>
    </row>
    <row r="51" customFormat="false" ht="15" hidden="false" customHeight="true" outlineLevel="0" collapsed="false">
      <c r="A51" s="6"/>
    </row>
    <row r="52" customFormat="false" ht="15" hidden="false" customHeight="true" outlineLevel="0" collapsed="false">
      <c r="A52" s="6"/>
    </row>
    <row r="53" customFormat="false" ht="15" hidden="false" customHeight="true" outlineLevel="0" collapsed="false">
      <c r="A53" s="6"/>
    </row>
    <row r="54" customFormat="false" ht="15" hidden="false" customHeight="true" outlineLevel="0" collapsed="false">
      <c r="A54" s="6"/>
    </row>
    <row r="55" customFormat="false" ht="15" hidden="false" customHeight="true" outlineLevel="0" collapsed="false">
      <c r="A55" s="6"/>
    </row>
    <row r="56" customFormat="false" ht="15" hidden="false" customHeight="true" outlineLevel="0" collapsed="false">
      <c r="A56" s="6"/>
    </row>
    <row r="57" customFormat="false" ht="15" hidden="false" customHeight="true" outlineLevel="0" collapsed="false">
      <c r="A57" s="6"/>
    </row>
    <row r="58" customFormat="false" ht="15" hidden="false" customHeight="true" outlineLevel="0" collapsed="false">
      <c r="A58" s="6"/>
    </row>
    <row r="59" customFormat="false" ht="15" hidden="false" customHeight="true" outlineLevel="0" collapsed="false">
      <c r="A59" s="6"/>
    </row>
    <row r="60" customFormat="false" ht="15" hidden="false" customHeight="true" outlineLevel="0" collapsed="false">
      <c r="A60" s="6"/>
    </row>
    <row r="61" customFormat="false" ht="15" hidden="false" customHeight="true" outlineLevel="0" collapsed="false">
      <c r="A61" s="6"/>
    </row>
    <row r="62" customFormat="false" ht="15" hidden="false" customHeight="true" outlineLevel="0" collapsed="false">
      <c r="A62" s="6"/>
    </row>
    <row r="63" customFormat="false" ht="15" hidden="false" customHeight="true" outlineLevel="0" collapsed="false">
      <c r="A63" s="6"/>
    </row>
    <row r="64" customFormat="false" ht="15" hidden="false" customHeight="true" outlineLevel="0" collapsed="false">
      <c r="A64" s="6"/>
    </row>
    <row r="65" customFormat="false" ht="15" hidden="false" customHeight="true" outlineLevel="0" collapsed="false">
      <c r="A65" s="6"/>
    </row>
    <row r="66" customFormat="false" ht="15" hidden="false" customHeight="true" outlineLevel="0" collapsed="false">
      <c r="A66" s="6"/>
    </row>
    <row r="67" customFormat="false" ht="15" hidden="false" customHeight="true" outlineLevel="0" collapsed="false">
      <c r="A67" s="6"/>
    </row>
    <row r="68" customFormat="false" ht="15" hidden="false" customHeight="true" outlineLevel="0" collapsed="false">
      <c r="A68" s="6"/>
    </row>
    <row r="69" customFormat="false" ht="15" hidden="false" customHeight="true" outlineLevel="0" collapsed="false">
      <c r="A69" s="6"/>
    </row>
    <row r="70" customFormat="false" ht="15" hidden="false" customHeight="true" outlineLevel="0" collapsed="false">
      <c r="A70" s="6"/>
    </row>
    <row r="71" customFormat="false" ht="15" hidden="false" customHeight="true" outlineLevel="0" collapsed="false">
      <c r="A71" s="6"/>
    </row>
    <row r="72" customFormat="false" ht="15" hidden="false" customHeight="true" outlineLevel="0" collapsed="false">
      <c r="A72" s="6"/>
    </row>
    <row r="73" customFormat="false" ht="15" hidden="false" customHeight="true" outlineLevel="0" collapsed="false">
      <c r="A73" s="6"/>
    </row>
    <row r="74" customFormat="false" ht="15" hidden="false" customHeight="true" outlineLevel="0" collapsed="false">
      <c r="A74" s="6"/>
    </row>
    <row r="75" customFormat="false" ht="15" hidden="false" customHeight="true" outlineLevel="0" collapsed="false">
      <c r="A75" s="6"/>
    </row>
    <row r="76" customFormat="false" ht="15" hidden="false" customHeight="true" outlineLevel="0" collapsed="false">
      <c r="A76" s="6"/>
    </row>
    <row r="77" customFormat="false" ht="15" hidden="false" customHeight="true" outlineLevel="0" collapsed="false">
      <c r="A77" s="6"/>
    </row>
    <row r="78" customFormat="false" ht="15" hidden="false" customHeight="true" outlineLevel="0" collapsed="false">
      <c r="A78" s="6"/>
    </row>
    <row r="79" customFormat="false" ht="15" hidden="false" customHeight="true" outlineLevel="0" collapsed="false">
      <c r="A79" s="6"/>
    </row>
    <row r="80" customFormat="false" ht="15" hidden="false" customHeight="true" outlineLevel="0" collapsed="false">
      <c r="A80" s="6"/>
    </row>
    <row r="81" customFormat="false" ht="15" hidden="false" customHeight="true" outlineLevel="0" collapsed="false">
      <c r="A81" s="6"/>
    </row>
    <row r="82" customFormat="false" ht="15" hidden="false" customHeight="true" outlineLevel="0" collapsed="false">
      <c r="A82" s="6"/>
    </row>
    <row r="83" customFormat="false" ht="15" hidden="false" customHeight="true" outlineLevel="0" collapsed="false">
      <c r="A83" s="6"/>
    </row>
    <row r="84" customFormat="false" ht="15" hidden="false" customHeight="true" outlineLevel="0" collapsed="false">
      <c r="A84" s="6"/>
    </row>
    <row r="85" customFormat="false" ht="15" hidden="false" customHeight="true" outlineLevel="0" collapsed="false">
      <c r="A85" s="6"/>
    </row>
    <row r="86" customFormat="false" ht="15" hidden="false" customHeight="true" outlineLevel="0" collapsed="false">
      <c r="A86" s="6"/>
    </row>
    <row r="87" customFormat="false" ht="15" hidden="false" customHeight="true" outlineLevel="0" collapsed="false">
      <c r="A87" s="6"/>
    </row>
    <row r="88" customFormat="false" ht="15" hidden="false" customHeight="true" outlineLevel="0" collapsed="false">
      <c r="A88" s="6"/>
    </row>
    <row r="89" customFormat="false" ht="15" hidden="false" customHeight="true" outlineLevel="0" collapsed="false">
      <c r="A89" s="6"/>
    </row>
    <row r="90" customFormat="false" ht="15" hidden="false" customHeight="true" outlineLevel="0" collapsed="false">
      <c r="A90" s="6"/>
    </row>
    <row r="91" customFormat="false" ht="15" hidden="false" customHeight="true" outlineLevel="0" collapsed="false">
      <c r="A91" s="6"/>
    </row>
    <row r="92" customFormat="false" ht="15" hidden="false" customHeight="true" outlineLevel="0" collapsed="false">
      <c r="A92" s="6"/>
    </row>
    <row r="93" customFormat="false" ht="15" hidden="false" customHeight="true" outlineLevel="0" collapsed="false">
      <c r="A93" s="6"/>
    </row>
    <row r="94" customFormat="false" ht="15" hidden="false" customHeight="true" outlineLevel="0" collapsed="false">
      <c r="A94" s="6"/>
    </row>
    <row r="95" customFormat="false" ht="15" hidden="false" customHeight="true" outlineLevel="0" collapsed="false">
      <c r="A95" s="6"/>
    </row>
    <row r="96" customFormat="false" ht="15" hidden="false" customHeight="true" outlineLevel="0" collapsed="false">
      <c r="A96" s="6"/>
    </row>
    <row r="97" customFormat="false" ht="15" hidden="false" customHeight="true" outlineLevel="0" collapsed="false">
      <c r="A97" s="6"/>
    </row>
    <row r="98" customFormat="false" ht="15" hidden="false" customHeight="true" outlineLevel="0" collapsed="false">
      <c r="A98" s="6"/>
    </row>
    <row r="99" customFormat="false" ht="15" hidden="false" customHeight="true" outlineLevel="0" collapsed="false">
      <c r="A99" s="6"/>
    </row>
    <row r="100" customFormat="false" ht="15" hidden="false" customHeight="true" outlineLevel="0" collapsed="false">
      <c r="A100" s="6"/>
    </row>
    <row r="101" customFormat="false" ht="15" hidden="false" customHeight="true" outlineLevel="0" collapsed="false">
      <c r="A101" s="6"/>
    </row>
    <row r="102" customFormat="false" ht="15" hidden="false" customHeight="true" outlineLevel="0" collapsed="false">
      <c r="A102" s="6"/>
    </row>
    <row r="103" customFormat="false" ht="15" hidden="false" customHeight="true" outlineLevel="0" collapsed="false">
      <c r="A103" s="6"/>
    </row>
    <row r="104" customFormat="false" ht="15" hidden="false" customHeight="true" outlineLevel="0" collapsed="false">
      <c r="A104" s="6"/>
    </row>
    <row r="105" customFormat="false" ht="15" hidden="false" customHeight="true" outlineLevel="0" collapsed="false">
      <c r="A105" s="6"/>
    </row>
    <row r="106" customFormat="false" ht="15" hidden="false" customHeight="true" outlineLevel="0" collapsed="false">
      <c r="A106" s="6"/>
    </row>
    <row r="107" customFormat="false" ht="15" hidden="false" customHeight="true" outlineLevel="0" collapsed="false">
      <c r="A107" s="6"/>
    </row>
    <row r="108" customFormat="false" ht="15" hidden="false" customHeight="true" outlineLevel="0" collapsed="false">
      <c r="A108" s="6"/>
    </row>
    <row r="109" customFormat="false" ht="15" hidden="false" customHeight="true" outlineLevel="0" collapsed="false">
      <c r="A109" s="6"/>
    </row>
    <row r="110" customFormat="false" ht="15" hidden="false" customHeight="true" outlineLevel="0" collapsed="false">
      <c r="A110" s="6"/>
    </row>
    <row r="111" customFormat="false" ht="15" hidden="false" customHeight="true" outlineLevel="0" collapsed="false">
      <c r="A111" s="6"/>
    </row>
    <row r="112" customFormat="false" ht="15" hidden="false" customHeight="true" outlineLevel="0" collapsed="false">
      <c r="A112" s="6"/>
    </row>
    <row r="113" customFormat="false" ht="15" hidden="false" customHeight="true" outlineLevel="0" collapsed="false">
      <c r="A113" s="6"/>
    </row>
    <row r="114" customFormat="false" ht="15" hidden="false" customHeight="true" outlineLevel="0" collapsed="false">
      <c r="A114" s="6"/>
    </row>
    <row r="115" customFormat="false" ht="15" hidden="false" customHeight="true" outlineLevel="0" collapsed="false">
      <c r="A115" s="6"/>
    </row>
    <row r="116" customFormat="false" ht="15" hidden="false" customHeight="true" outlineLevel="0" collapsed="false">
      <c r="A116" s="6"/>
    </row>
    <row r="117" customFormat="false" ht="15" hidden="false" customHeight="true" outlineLevel="0" collapsed="false">
      <c r="A117" s="6"/>
    </row>
    <row r="118" customFormat="false" ht="15" hidden="false" customHeight="true" outlineLevel="0" collapsed="false">
      <c r="A118" s="6"/>
    </row>
    <row r="119" customFormat="false" ht="15" hidden="false" customHeight="true" outlineLevel="0" collapsed="false">
      <c r="A119" s="6"/>
    </row>
    <row r="120" customFormat="false" ht="15" hidden="false" customHeight="true" outlineLevel="0" collapsed="false">
      <c r="A120" s="6"/>
    </row>
    <row r="121" customFormat="false" ht="15" hidden="false" customHeight="true" outlineLevel="0" collapsed="false">
      <c r="A121" s="6"/>
    </row>
    <row r="122" customFormat="false" ht="15" hidden="false" customHeight="true" outlineLevel="0" collapsed="false">
      <c r="A122" s="6"/>
    </row>
    <row r="123" customFormat="false" ht="15" hidden="false" customHeight="true" outlineLevel="0" collapsed="false">
      <c r="A123" s="6"/>
    </row>
    <row r="124" customFormat="false" ht="15" hidden="false" customHeight="true" outlineLevel="0" collapsed="false">
      <c r="A124" s="6"/>
    </row>
    <row r="125" customFormat="false" ht="15" hidden="false" customHeight="true" outlineLevel="0" collapsed="false">
      <c r="A125" s="6"/>
    </row>
    <row r="126" customFormat="false" ht="15" hidden="false" customHeight="true" outlineLevel="0" collapsed="false">
      <c r="A126" s="6"/>
    </row>
    <row r="127" customFormat="false" ht="15" hidden="false" customHeight="true" outlineLevel="0" collapsed="false">
      <c r="A127" s="6"/>
    </row>
    <row r="128" customFormat="false" ht="15" hidden="false" customHeight="true" outlineLevel="0" collapsed="false">
      <c r="A128" s="6"/>
    </row>
    <row r="129" customFormat="false" ht="15" hidden="false" customHeight="true" outlineLevel="0" collapsed="false">
      <c r="A129" s="6"/>
    </row>
    <row r="130" customFormat="false" ht="15" hidden="false" customHeight="true" outlineLevel="0" collapsed="false">
      <c r="A130" s="6"/>
    </row>
    <row r="131" customFormat="false" ht="15" hidden="false" customHeight="true" outlineLevel="0" collapsed="false">
      <c r="A131" s="6"/>
    </row>
    <row r="132" customFormat="false" ht="15" hidden="false" customHeight="true" outlineLevel="0" collapsed="false">
      <c r="A132" s="6"/>
    </row>
    <row r="133" customFormat="false" ht="15" hidden="false" customHeight="true" outlineLevel="0" collapsed="false">
      <c r="A133" s="6"/>
    </row>
    <row r="134" customFormat="false" ht="15" hidden="false" customHeight="true" outlineLevel="0" collapsed="false">
      <c r="A134" s="6"/>
    </row>
    <row r="135" customFormat="false" ht="15" hidden="false" customHeight="true" outlineLevel="0" collapsed="false">
      <c r="A135" s="6"/>
    </row>
    <row r="136" customFormat="false" ht="15" hidden="false" customHeight="true" outlineLevel="0" collapsed="false">
      <c r="A136" s="6"/>
    </row>
    <row r="137" customFormat="false" ht="15" hidden="false" customHeight="true" outlineLevel="0" collapsed="false">
      <c r="A137" s="6"/>
    </row>
    <row r="138" customFormat="false" ht="15" hidden="false" customHeight="true" outlineLevel="0" collapsed="false">
      <c r="A138" s="6"/>
    </row>
    <row r="139" customFormat="false" ht="15" hidden="false" customHeight="true" outlineLevel="0" collapsed="false">
      <c r="A139" s="6"/>
    </row>
    <row r="140" customFormat="false" ht="15" hidden="false" customHeight="true" outlineLevel="0" collapsed="false">
      <c r="A140" s="6"/>
    </row>
    <row r="141" customFormat="false" ht="15" hidden="false" customHeight="true" outlineLevel="0" collapsed="false">
      <c r="A141" s="6"/>
    </row>
    <row r="142" customFormat="false" ht="15" hidden="false" customHeight="true" outlineLevel="0" collapsed="false">
      <c r="A142" s="6"/>
    </row>
    <row r="143" customFormat="false" ht="15" hidden="false" customHeight="true" outlineLevel="0" collapsed="false">
      <c r="A143" s="6"/>
    </row>
    <row r="144" customFormat="false" ht="15" hidden="false" customHeight="true" outlineLevel="0" collapsed="false">
      <c r="A144" s="6"/>
    </row>
    <row r="145" customFormat="false" ht="15" hidden="false" customHeight="true" outlineLevel="0" collapsed="false">
      <c r="A145" s="6"/>
    </row>
    <row r="146" customFormat="false" ht="15" hidden="false" customHeight="true" outlineLevel="0" collapsed="false">
      <c r="A146" s="6"/>
    </row>
    <row r="147" customFormat="false" ht="15" hidden="false" customHeight="true" outlineLevel="0" collapsed="false">
      <c r="A147" s="6"/>
    </row>
    <row r="148" customFormat="false" ht="15" hidden="false" customHeight="true" outlineLevel="0" collapsed="false">
      <c r="A148" s="6"/>
    </row>
    <row r="149" customFormat="false" ht="15" hidden="false" customHeight="true" outlineLevel="0" collapsed="false">
      <c r="A149" s="6"/>
    </row>
    <row r="150" customFormat="false" ht="15" hidden="false" customHeight="true" outlineLevel="0" collapsed="false">
      <c r="A150" s="6"/>
    </row>
    <row r="151" customFormat="false" ht="15" hidden="false" customHeight="true" outlineLevel="0" collapsed="false">
      <c r="A151" s="6"/>
    </row>
    <row r="152" customFormat="false" ht="15" hidden="false" customHeight="true" outlineLevel="0" collapsed="false">
      <c r="A152" s="6"/>
    </row>
    <row r="153" customFormat="false" ht="15" hidden="false" customHeight="true" outlineLevel="0" collapsed="false">
      <c r="A153" s="6"/>
    </row>
    <row r="154" customFormat="false" ht="15" hidden="false" customHeight="true" outlineLevel="0" collapsed="false">
      <c r="A154" s="6"/>
    </row>
    <row r="155" customFormat="false" ht="15" hidden="false" customHeight="true" outlineLevel="0" collapsed="false">
      <c r="A155" s="6"/>
    </row>
    <row r="156" customFormat="false" ht="15" hidden="false" customHeight="true" outlineLevel="0" collapsed="false">
      <c r="A156" s="6"/>
    </row>
    <row r="157" customFormat="false" ht="15" hidden="false" customHeight="true" outlineLevel="0" collapsed="false">
      <c r="A157" s="6"/>
    </row>
    <row r="158" customFormat="false" ht="15" hidden="false" customHeight="true" outlineLevel="0" collapsed="false">
      <c r="A158" s="6"/>
    </row>
    <row r="159" customFormat="false" ht="15" hidden="false" customHeight="true" outlineLevel="0" collapsed="false">
      <c r="A159" s="6"/>
    </row>
    <row r="160" customFormat="false" ht="15" hidden="false" customHeight="true" outlineLevel="0" collapsed="false">
      <c r="A160" s="6"/>
    </row>
    <row r="161" customFormat="false" ht="15" hidden="false" customHeight="true" outlineLevel="0" collapsed="false">
      <c r="A161" s="6"/>
    </row>
    <row r="162" customFormat="false" ht="15" hidden="false" customHeight="true" outlineLevel="0" collapsed="false">
      <c r="A162" s="6"/>
    </row>
    <row r="163" customFormat="false" ht="15" hidden="false" customHeight="true" outlineLevel="0" collapsed="false">
      <c r="A163" s="6"/>
    </row>
    <row r="164" customFormat="false" ht="15" hidden="false" customHeight="true" outlineLevel="0" collapsed="false">
      <c r="A164" s="6"/>
    </row>
    <row r="165" customFormat="false" ht="15" hidden="false" customHeight="true" outlineLevel="0" collapsed="false">
      <c r="A165" s="6"/>
    </row>
    <row r="166" customFormat="false" ht="15" hidden="false" customHeight="true" outlineLevel="0" collapsed="false">
      <c r="A166" s="6"/>
    </row>
    <row r="167" customFormat="false" ht="15" hidden="false" customHeight="true" outlineLevel="0" collapsed="false">
      <c r="A167" s="6"/>
    </row>
    <row r="168" customFormat="false" ht="15" hidden="false" customHeight="true" outlineLevel="0" collapsed="false">
      <c r="A168" s="6"/>
    </row>
    <row r="169" customFormat="false" ht="15" hidden="false" customHeight="true" outlineLevel="0" collapsed="false">
      <c r="A169" s="6"/>
    </row>
    <row r="170" customFormat="false" ht="15" hidden="false" customHeight="true" outlineLevel="0" collapsed="false">
      <c r="A170" s="6"/>
    </row>
    <row r="171" customFormat="false" ht="15" hidden="false" customHeight="true" outlineLevel="0" collapsed="false">
      <c r="A171" s="6"/>
    </row>
    <row r="172" customFormat="false" ht="15" hidden="false" customHeight="true" outlineLevel="0" collapsed="false">
      <c r="A172" s="6"/>
    </row>
    <row r="173" customFormat="false" ht="15" hidden="false" customHeight="true" outlineLevel="0" collapsed="false">
      <c r="A173" s="6"/>
    </row>
    <row r="174" customFormat="false" ht="15" hidden="false" customHeight="true" outlineLevel="0" collapsed="false">
      <c r="A174" s="6"/>
    </row>
    <row r="175" customFormat="false" ht="15" hidden="false" customHeight="true" outlineLevel="0" collapsed="false">
      <c r="A175" s="6"/>
    </row>
    <row r="176" customFormat="false" ht="15" hidden="false" customHeight="true" outlineLevel="0" collapsed="false">
      <c r="A176" s="6"/>
    </row>
    <row r="177" customFormat="false" ht="15" hidden="false" customHeight="true" outlineLevel="0" collapsed="false">
      <c r="A177" s="6"/>
    </row>
    <row r="178" customFormat="false" ht="15" hidden="false" customHeight="true" outlineLevel="0" collapsed="false">
      <c r="A178" s="6"/>
    </row>
    <row r="179" customFormat="false" ht="15" hidden="false" customHeight="true" outlineLevel="0" collapsed="false">
      <c r="A179" s="6"/>
    </row>
    <row r="180" customFormat="false" ht="15" hidden="false" customHeight="true" outlineLevel="0" collapsed="false">
      <c r="A180" s="6"/>
    </row>
    <row r="181" customFormat="false" ht="15" hidden="false" customHeight="true" outlineLevel="0" collapsed="false">
      <c r="A181" s="6"/>
    </row>
    <row r="182" customFormat="false" ht="15" hidden="false" customHeight="true" outlineLevel="0" collapsed="false">
      <c r="A182" s="6"/>
    </row>
    <row r="183" customFormat="false" ht="15" hidden="false" customHeight="true" outlineLevel="0" collapsed="false">
      <c r="A183" s="6"/>
    </row>
    <row r="184" customFormat="false" ht="15" hidden="false" customHeight="true" outlineLevel="0" collapsed="false">
      <c r="A184" s="6"/>
    </row>
    <row r="185" customFormat="false" ht="15" hidden="false" customHeight="true" outlineLevel="0" collapsed="false">
      <c r="A185" s="6"/>
    </row>
    <row r="186" customFormat="false" ht="15" hidden="false" customHeight="true" outlineLevel="0" collapsed="false">
      <c r="A186" s="6"/>
    </row>
    <row r="187" customFormat="false" ht="15" hidden="false" customHeight="true" outlineLevel="0" collapsed="false">
      <c r="A187" s="6"/>
    </row>
    <row r="188" customFormat="false" ht="15" hidden="false" customHeight="true" outlineLevel="0" collapsed="false">
      <c r="A188" s="6"/>
    </row>
    <row r="189" customFormat="false" ht="15" hidden="false" customHeight="true" outlineLevel="0" collapsed="false">
      <c r="A189" s="6"/>
    </row>
    <row r="190" customFormat="false" ht="15" hidden="false" customHeight="true" outlineLevel="0" collapsed="false">
      <c r="A190" s="6"/>
    </row>
    <row r="191" customFormat="false" ht="15" hidden="false" customHeight="true" outlineLevel="0" collapsed="false">
      <c r="A191" s="6"/>
    </row>
    <row r="192" customFormat="false" ht="15" hidden="false" customHeight="true" outlineLevel="0" collapsed="false">
      <c r="A192" s="6"/>
    </row>
    <row r="193" customFormat="false" ht="15" hidden="false" customHeight="true" outlineLevel="0" collapsed="false">
      <c r="A193" s="6"/>
    </row>
    <row r="194" customFormat="false" ht="15" hidden="false" customHeight="true" outlineLevel="0" collapsed="false">
      <c r="A194" s="6"/>
    </row>
    <row r="195" customFormat="false" ht="15" hidden="false" customHeight="true" outlineLevel="0" collapsed="false">
      <c r="A195" s="6"/>
    </row>
    <row r="196" customFormat="false" ht="15" hidden="false" customHeight="true" outlineLevel="0" collapsed="false">
      <c r="A196" s="6"/>
    </row>
    <row r="197" customFormat="false" ht="15" hidden="false" customHeight="true" outlineLevel="0" collapsed="false">
      <c r="A197" s="6"/>
    </row>
    <row r="198" customFormat="false" ht="15" hidden="false" customHeight="true" outlineLevel="0" collapsed="false">
      <c r="A198" s="6"/>
    </row>
    <row r="199" customFormat="false" ht="15" hidden="false" customHeight="true" outlineLevel="0" collapsed="false">
      <c r="A199" s="6"/>
    </row>
    <row r="200" customFormat="false" ht="15" hidden="false" customHeight="true" outlineLevel="0" collapsed="false">
      <c r="A200" s="6"/>
    </row>
    <row r="202" customFormat="false" ht="15" hidden="false" customHeight="true" outlineLevel="0" collapsed="false">
      <c r="A202" s="4"/>
    </row>
    <row r="203" customFormat="false" ht="15" hidden="false" customHeight="true" outlineLevel="0" collapsed="false">
      <c r="A203" s="7"/>
    </row>
    <row r="204" customFormat="false" ht="15" hidden="false" customHeight="true" outlineLevel="0" collapsed="false">
      <c r="A204" s="8"/>
    </row>
    <row r="205" customFormat="false" ht="15" hidden="false" customHeight="true" outlineLevel="0" collapsed="false">
      <c r="A205" s="4"/>
    </row>
    <row r="206" customFormat="false" ht="15" hidden="false" customHeight="true" outlineLevel="0" collapsed="false">
      <c r="A206" s="7"/>
    </row>
    <row r="208" customFormat="false" ht="15" hidden="false" customHeight="true" outlineLevel="0" collapsed="false">
      <c r="A208" s="4"/>
    </row>
    <row r="209" customFormat="false" ht="15" hidden="false" customHeight="true" outlineLevel="0" collapsed="false">
      <c r="A209" s="7"/>
    </row>
    <row r="211" customFormat="false" ht="15" hidden="false" customHeight="true" outlineLevel="0" collapsed="false">
      <c r="A211" s="4"/>
    </row>
    <row r="212" customFormat="false" ht="15" hidden="false" customHeight="true" outlineLevel="0" collapsed="false">
      <c r="A212" s="7"/>
    </row>
    <row r="213" customFormat="false" ht="15" hidden="false" customHeight="true" outlineLevel="0" collapsed="false">
      <c r="A213" s="8"/>
    </row>
    <row r="214" customFormat="false" ht="15" hidden="false" customHeight="true" outlineLevel="0" collapsed="false">
      <c r="A214" s="4"/>
    </row>
    <row r="215" customFormat="false" ht="15" hidden="false" customHeight="true" outlineLevel="0" collapsed="false">
      <c r="A215" s="7"/>
    </row>
    <row r="217" customFormat="false" ht="15" hidden="false" customHeight="true" outlineLevel="0" collapsed="false">
      <c r="A217" s="4"/>
    </row>
    <row r="218" customFormat="false" ht="15" hidden="false" customHeight="true" outlineLevel="0" collapsed="false">
      <c r="A218" s="7"/>
    </row>
    <row r="220" customFormat="false" ht="15" hidden="false" customHeight="true" outlineLevel="0" collapsed="false">
      <c r="A220" s="4"/>
    </row>
    <row r="221" customFormat="false" ht="15" hidden="false" customHeight="true" outlineLevel="0" collapsed="false">
      <c r="A221" s="7"/>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B6" activeCellId="0" sqref="B6"/>
    </sheetView>
  </sheetViews>
  <sheetFormatPr defaultColWidth="14.43359375" defaultRowHeight="15" zeroHeight="false" outlineLevelRow="0" outlineLevelCol="0"/>
  <cols>
    <col collapsed="false" customWidth="true" hidden="false" outlineLevel="0" max="1" min="1" style="1" width="26"/>
    <col collapsed="false" customWidth="true" hidden="false" outlineLevel="0" max="3" min="2" style="1" width="22"/>
    <col collapsed="false" customWidth="true" hidden="false" outlineLevel="0" max="4" min="4" style="1" width="42"/>
    <col collapsed="false" customWidth="true" hidden="false" outlineLevel="0" max="26" min="5" style="1" width="8.71"/>
  </cols>
  <sheetData>
    <row r="1" customFormat="false" ht="17.25" hidden="false" customHeight="true" outlineLevel="0" collapsed="false">
      <c r="A1" s="9" t="s">
        <v>34</v>
      </c>
    </row>
    <row r="2" customFormat="false" ht="15" hidden="false" customHeight="true" outlineLevel="0" collapsed="false">
      <c r="A2" s="10" t="s">
        <v>35</v>
      </c>
    </row>
    <row r="3" customFormat="false" ht="15" hidden="false" customHeight="true" outlineLevel="0" collapsed="false"/>
    <row r="4" customFormat="false" ht="25.5" hidden="false" customHeight="true" outlineLevel="0" collapsed="false">
      <c r="A4" s="11" t="s">
        <v>36</v>
      </c>
      <c r="B4" s="11" t="s">
        <v>37</v>
      </c>
      <c r="C4" s="11" t="s">
        <v>38</v>
      </c>
      <c r="D4" s="11" t="s">
        <v>39</v>
      </c>
    </row>
    <row r="5" customFormat="false" ht="15" hidden="false" customHeight="true" outlineLevel="0" collapsed="false">
      <c r="A5" s="12" t="s">
        <v>40</v>
      </c>
      <c r="B5" s="13" t="s">
        <v>41</v>
      </c>
      <c r="C5" s="14" t="s">
        <v>42</v>
      </c>
      <c r="D5" s="15" t="s">
        <v>43</v>
      </c>
    </row>
    <row r="6" customFormat="false" ht="21.75" hidden="false" customHeight="true" outlineLevel="0" collapsed="false">
      <c r="A6" s="12" t="s">
        <v>44</v>
      </c>
      <c r="B6" s="13"/>
      <c r="C6" s="14"/>
      <c r="D6" s="15" t="s">
        <v>45</v>
      </c>
    </row>
    <row r="7" customFormat="false" ht="21.75" hidden="false" customHeight="true" outlineLevel="0" collapsed="false">
      <c r="A7" s="12" t="s">
        <v>46</v>
      </c>
      <c r="B7" s="13" t="s">
        <v>47</v>
      </c>
      <c r="C7" s="14" t="s">
        <v>47</v>
      </c>
      <c r="D7" s="15" t="s">
        <v>48</v>
      </c>
    </row>
    <row r="8" customFormat="false" ht="15" hidden="false" customHeight="true" outlineLevel="0" collapsed="false">
      <c r="A8" s="12" t="s">
        <v>49</v>
      </c>
      <c r="B8" s="13" t="s">
        <v>50</v>
      </c>
      <c r="C8" s="14" t="s">
        <v>50</v>
      </c>
      <c r="D8" s="15" t="s">
        <v>51</v>
      </c>
    </row>
    <row r="9" customFormat="false" ht="21.75" hidden="false" customHeight="true" outlineLevel="0" collapsed="false">
      <c r="A9" s="12" t="s">
        <v>52</v>
      </c>
      <c r="B9" s="13" t="s">
        <v>53</v>
      </c>
      <c r="C9" s="14" t="s">
        <v>53</v>
      </c>
      <c r="D9" s="15" t="s">
        <v>54</v>
      </c>
    </row>
    <row r="10" customFormat="false" ht="15" hidden="false" customHeight="true" outlineLevel="0" collapsed="false">
      <c r="A10" s="12" t="s">
        <v>55</v>
      </c>
      <c r="B10" s="13" t="n">
        <v>1150</v>
      </c>
      <c r="C10" s="14" t="n">
        <v>1150</v>
      </c>
      <c r="D10" s="15" t="s">
        <v>56</v>
      </c>
    </row>
    <row r="11" customFormat="false" ht="15" hidden="false" customHeight="true" outlineLevel="0" collapsed="false">
      <c r="A11" s="12" t="s">
        <v>57</v>
      </c>
      <c r="B11" s="13" t="n">
        <v>2080</v>
      </c>
      <c r="C11" s="14" t="n">
        <v>2080</v>
      </c>
      <c r="D11" s="15" t="s">
        <v>58</v>
      </c>
    </row>
    <row r="12" customFormat="false" ht="15" hidden="false" customHeight="true" outlineLevel="0" collapsed="false">
      <c r="A12" s="12" t="s">
        <v>59</v>
      </c>
      <c r="B12" s="13" t="n">
        <v>3070</v>
      </c>
      <c r="C12" s="14" t="n">
        <v>3070</v>
      </c>
      <c r="D12" s="15" t="s">
        <v>60</v>
      </c>
    </row>
    <row r="13" customFormat="false" ht="15" hidden="false" customHeight="true" outlineLevel="0" collapsed="false">
      <c r="A13" s="12" t="s">
        <v>61</v>
      </c>
      <c r="B13" s="13" t="n">
        <v>4230</v>
      </c>
      <c r="C13" s="14" t="n">
        <v>4230</v>
      </c>
      <c r="D13" s="15" t="s">
        <v>62</v>
      </c>
    </row>
    <row r="14" customFormat="false" ht="15" hidden="false" customHeight="true" outlineLevel="0" collapsed="false">
      <c r="A14" s="12" t="s">
        <v>63</v>
      </c>
      <c r="B14" s="13" t="n">
        <v>5430</v>
      </c>
      <c r="C14" s="14" t="n">
        <v>5430</v>
      </c>
      <c r="D14" s="15" t="s">
        <v>64</v>
      </c>
    </row>
    <row r="15" customFormat="false" ht="15" hidden="false" customHeight="true" outlineLevel="0" collapsed="false">
      <c r="A15" s="12" t="s">
        <v>65</v>
      </c>
      <c r="B15" s="16" t="n">
        <v>25</v>
      </c>
      <c r="C15" s="17" t="n">
        <v>25</v>
      </c>
      <c r="D15" s="18" t="s">
        <v>66</v>
      </c>
    </row>
    <row r="16" customFormat="false" ht="15" hidden="false" customHeight="true" outlineLevel="0" collapsed="false">
      <c r="A16" s="12" t="s">
        <v>67</v>
      </c>
      <c r="B16" s="16" t="n">
        <v>2</v>
      </c>
      <c r="C16" s="17" t="n">
        <v>2</v>
      </c>
      <c r="D16" s="18" t="s">
        <v>68</v>
      </c>
    </row>
    <row r="17" customFormat="false" ht="15" hidden="false" customHeight="true" outlineLevel="0" collapsed="false">
      <c r="A17" s="12" t="s">
        <v>69</v>
      </c>
      <c r="B17" s="16" t="n">
        <v>1</v>
      </c>
      <c r="C17" s="17" t="n">
        <v>1</v>
      </c>
      <c r="D17" s="18" t="s">
        <v>68</v>
      </c>
    </row>
    <row r="18" customFormat="false" ht="15" hidden="false" customHeight="true" outlineLevel="0" collapsed="false">
      <c r="A18" s="12" t="s">
        <v>70</v>
      </c>
      <c r="B18" s="13"/>
      <c r="C18" s="14"/>
      <c r="D18" s="18" t="s">
        <v>71</v>
      </c>
    </row>
    <row r="19" customFormat="false" ht="15" hidden="false" customHeight="true" outlineLevel="0" collapsed="false">
      <c r="A19" s="12" t="s">
        <v>72</v>
      </c>
      <c r="B19" s="13" t="n">
        <v>10</v>
      </c>
      <c r="C19" s="14" t="n">
        <v>10</v>
      </c>
    </row>
    <row r="20" customFormat="false" ht="15" hidden="false" customHeight="true" outlineLevel="0" collapsed="false">
      <c r="A20" s="12" t="s">
        <v>73</v>
      </c>
      <c r="B20" s="13"/>
      <c r="C20" s="14"/>
    </row>
    <row r="21" customFormat="false" ht="15.75" hidden="false" customHeight="true" outlineLevel="0" collapsed="false">
      <c r="A21" s="12" t="s">
        <v>74</v>
      </c>
      <c r="B21" s="13"/>
      <c r="C21" s="19"/>
      <c r="D21" s="18" t="s">
        <v>75</v>
      </c>
    </row>
    <row r="22" customFormat="false" ht="15.75" hidden="false" customHeight="true" outlineLevel="0" collapsed="false">
      <c r="A22" s="12" t="s">
        <v>76</v>
      </c>
      <c r="B22" s="13"/>
      <c r="C22" s="14"/>
      <c r="D22" s="18" t="s">
        <v>77</v>
      </c>
    </row>
    <row r="23" customFormat="false" ht="15.75" hidden="false" customHeight="true" outlineLevel="0" collapsed="false">
      <c r="A23" s="12" t="s">
        <v>78</v>
      </c>
      <c r="B23" s="13" t="s">
        <v>79</v>
      </c>
      <c r="C23" s="19" t="s">
        <v>79</v>
      </c>
      <c r="D23" s="18" t="s">
        <v>80</v>
      </c>
    </row>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B6" activeCellId="0" sqref="B6"/>
    </sheetView>
  </sheetViews>
  <sheetFormatPr defaultColWidth="14.43359375" defaultRowHeight="15" zeroHeight="false" outlineLevelRow="0" outlineLevelCol="0"/>
  <cols>
    <col collapsed="false" customWidth="true" hidden="false" outlineLevel="0" max="2" min="1" style="1" width="28"/>
    <col collapsed="false" customWidth="true" hidden="false" outlineLevel="0" max="3" min="3" style="1" width="50"/>
    <col collapsed="false" customWidth="true" hidden="false" outlineLevel="0" max="26" min="4" style="1" width="8.71"/>
  </cols>
  <sheetData>
    <row r="1" customFormat="false" ht="17.25" hidden="false" customHeight="true" outlineLevel="0" collapsed="false">
      <c r="A1" s="9" t="s">
        <v>81</v>
      </c>
    </row>
    <row r="2" customFormat="false" ht="15" hidden="false" customHeight="true" outlineLevel="0" collapsed="false">
      <c r="A2" s="10" t="s">
        <v>82</v>
      </c>
    </row>
    <row r="3" customFormat="false" ht="15" hidden="false" customHeight="true" outlineLevel="0" collapsed="false"/>
    <row r="4" customFormat="false" ht="25.5" hidden="false" customHeight="true" outlineLevel="0" collapsed="false">
      <c r="A4" s="11" t="s">
        <v>83</v>
      </c>
      <c r="B4" s="11" t="s">
        <v>84</v>
      </c>
      <c r="C4" s="11" t="s">
        <v>85</v>
      </c>
    </row>
    <row r="5" customFormat="false" ht="15" hidden="false" customHeight="true" outlineLevel="0" collapsed="false">
      <c r="A5" s="20" t="s">
        <v>86</v>
      </c>
      <c r="B5" s="20" t="s">
        <v>87</v>
      </c>
      <c r="C5" s="18" t="s">
        <v>88</v>
      </c>
    </row>
    <row r="6" customFormat="false" ht="15" hidden="false" customHeight="true" outlineLevel="0" collapsed="false">
      <c r="A6" s="20" t="s">
        <v>89</v>
      </c>
      <c r="B6" s="20" t="s">
        <v>90</v>
      </c>
      <c r="C6" s="18" t="s">
        <v>91</v>
      </c>
    </row>
    <row r="7" customFormat="false" ht="15" hidden="false" customHeight="true" outlineLevel="0" collapsed="false">
      <c r="A7" s="20" t="s">
        <v>92</v>
      </c>
      <c r="B7" s="20" t="s">
        <v>93</v>
      </c>
      <c r="C7" s="18" t="s">
        <v>94</v>
      </c>
    </row>
    <row r="8" customFormat="false" ht="15" hidden="false" customHeight="true" outlineLevel="0" collapsed="false">
      <c r="A8" s="20" t="s">
        <v>95</v>
      </c>
      <c r="B8" s="20" t="s">
        <v>95</v>
      </c>
      <c r="C8" s="18" t="s">
        <v>96</v>
      </c>
    </row>
    <row r="9" customFormat="false" ht="15" hidden="false" customHeight="true" outlineLevel="0" collapsed="false">
      <c r="A9" s="20" t="s">
        <v>97</v>
      </c>
      <c r="B9" s="20" t="s">
        <v>98</v>
      </c>
      <c r="C9" s="18" t="s">
        <v>99</v>
      </c>
    </row>
    <row r="10" customFormat="false" ht="15" hidden="false" customHeight="true" outlineLevel="0" collapsed="false">
      <c r="A10" s="20" t="s">
        <v>100</v>
      </c>
      <c r="B10" s="20" t="s">
        <v>101</v>
      </c>
      <c r="C10" s="18" t="s">
        <v>102</v>
      </c>
    </row>
    <row r="11" customFormat="false" ht="15" hidden="false" customHeight="true" outlineLevel="0" collapsed="false">
      <c r="A11" s="20" t="s">
        <v>103</v>
      </c>
      <c r="B11" s="20" t="s">
        <v>104</v>
      </c>
      <c r="C11" s="18" t="s">
        <v>105</v>
      </c>
    </row>
    <row r="12" customFormat="false" ht="15" hidden="false" customHeight="true" outlineLevel="0" collapsed="false">
      <c r="A12" s="20" t="s">
        <v>106</v>
      </c>
      <c r="B12" s="20" t="s">
        <v>107</v>
      </c>
      <c r="C12" s="18" t="s">
        <v>108</v>
      </c>
    </row>
    <row r="13" customFormat="false" ht="15" hidden="false" customHeight="true" outlineLevel="0" collapsed="false">
      <c r="A13" s="20" t="s">
        <v>109</v>
      </c>
      <c r="B13" s="20" t="s">
        <v>110</v>
      </c>
      <c r="C13" s="18" t="s">
        <v>111</v>
      </c>
    </row>
    <row r="14" customFormat="false" ht="15" hidden="false" customHeight="true" outlineLevel="0" collapsed="false">
      <c r="A14" s="20" t="s">
        <v>112</v>
      </c>
      <c r="B14" s="20" t="s">
        <v>113</v>
      </c>
      <c r="C14" s="18" t="s">
        <v>114</v>
      </c>
    </row>
    <row r="15" customFormat="false" ht="15" hidden="false" customHeight="true" outlineLevel="0" collapsed="false">
      <c r="A15" s="20" t="s">
        <v>115</v>
      </c>
      <c r="B15" s="20" t="s">
        <v>116</v>
      </c>
      <c r="C15" s="18" t="s">
        <v>117</v>
      </c>
    </row>
    <row r="16" customFormat="false" ht="15" hidden="false" customHeight="true" outlineLevel="0" collapsed="false">
      <c r="A16" s="20" t="s">
        <v>118</v>
      </c>
      <c r="B16" s="20" t="s">
        <v>119</v>
      </c>
      <c r="C16" s="18" t="s">
        <v>120</v>
      </c>
    </row>
    <row r="17" customFormat="false" ht="15" hidden="false" customHeight="true" outlineLevel="0" collapsed="false">
      <c r="A17" s="20" t="s">
        <v>121</v>
      </c>
      <c r="B17" s="20" t="s">
        <v>122</v>
      </c>
      <c r="C17" s="18" t="s">
        <v>123</v>
      </c>
    </row>
    <row r="18" customFormat="false" ht="15" hidden="false" customHeight="true" outlineLevel="0" collapsed="false">
      <c r="A18" s="20" t="s">
        <v>124</v>
      </c>
      <c r="B18" s="20" t="s">
        <v>125</v>
      </c>
      <c r="C18" s="18" t="s">
        <v>126</v>
      </c>
    </row>
    <row r="19" customFormat="false" ht="15" hidden="false" customHeight="true" outlineLevel="0" collapsed="false">
      <c r="A19" s="20" t="s">
        <v>127</v>
      </c>
      <c r="B19" s="20" t="s">
        <v>128</v>
      </c>
      <c r="C19" s="18" t="s">
        <v>129</v>
      </c>
    </row>
    <row r="20" customFormat="false" ht="15" hidden="false" customHeight="true" outlineLevel="0" collapsed="false">
      <c r="A20" s="20" t="s">
        <v>130</v>
      </c>
      <c r="B20" s="20" t="s">
        <v>131</v>
      </c>
      <c r="C20" s="18" t="s">
        <v>132</v>
      </c>
    </row>
    <row r="21" customFormat="false" ht="15" hidden="false" customHeight="true" outlineLevel="0" collapsed="false">
      <c r="A21" s="20" t="s">
        <v>133</v>
      </c>
      <c r="B21" s="20" t="s">
        <v>134</v>
      </c>
      <c r="C21" s="18" t="s">
        <v>135</v>
      </c>
    </row>
    <row r="22" customFormat="false" ht="15" hidden="false" customHeight="true" outlineLevel="0" collapsed="false">
      <c r="A22" s="20" t="s">
        <v>136</v>
      </c>
      <c r="B22" s="20" t="s">
        <v>137</v>
      </c>
      <c r="C22" s="18" t="s">
        <v>138</v>
      </c>
    </row>
    <row r="23" customFormat="false" ht="15" hidden="false" customHeight="true" outlineLevel="0" collapsed="false">
      <c r="A23" s="20" t="s">
        <v>139</v>
      </c>
      <c r="B23" s="20" t="s">
        <v>140</v>
      </c>
      <c r="C23" s="18" t="s">
        <v>141</v>
      </c>
    </row>
    <row r="24" customFormat="false" ht="15" hidden="false" customHeight="true" outlineLevel="0" collapsed="false">
      <c r="A24" s="20" t="s">
        <v>142</v>
      </c>
      <c r="B24" s="20" t="s">
        <v>143</v>
      </c>
      <c r="C24" s="18" t="s">
        <v>144</v>
      </c>
    </row>
    <row r="25" customFormat="false" ht="15" hidden="false" customHeight="true" outlineLevel="0" collapsed="false">
      <c r="A25" s="20" t="s">
        <v>145</v>
      </c>
      <c r="B25" s="20" t="s">
        <v>146</v>
      </c>
      <c r="C25" s="18" t="s">
        <v>147</v>
      </c>
    </row>
    <row r="26" customFormat="false" ht="15" hidden="false" customHeight="true" outlineLevel="0" collapsed="false">
      <c r="A26" s="20" t="s">
        <v>148</v>
      </c>
      <c r="B26" s="20" t="s">
        <v>149</v>
      </c>
      <c r="C26" s="18" t="s">
        <v>150</v>
      </c>
    </row>
    <row r="27" customFormat="false" ht="15" hidden="false" customHeight="true" outlineLevel="0" collapsed="false">
      <c r="A27" s="20" t="s">
        <v>151</v>
      </c>
      <c r="B27" s="20" t="s">
        <v>152</v>
      </c>
      <c r="C27" s="18" t="s">
        <v>153</v>
      </c>
    </row>
    <row r="28" customFormat="false" ht="15" hidden="false" customHeight="true" outlineLevel="0" collapsed="false">
      <c r="A28" s="20" t="s">
        <v>154</v>
      </c>
      <c r="B28" s="20" t="s">
        <v>155</v>
      </c>
      <c r="C28" s="18" t="s">
        <v>156</v>
      </c>
    </row>
    <row r="29" customFormat="false" ht="15" hidden="false" customHeight="true" outlineLevel="0" collapsed="false">
      <c r="A29" s="20" t="s">
        <v>157</v>
      </c>
      <c r="B29" s="20" t="s">
        <v>158</v>
      </c>
      <c r="C29" s="18" t="s">
        <v>159</v>
      </c>
    </row>
    <row r="30" customFormat="false" ht="15" hidden="false" customHeight="true" outlineLevel="0" collapsed="false">
      <c r="A30" s="6" t="s">
        <v>160</v>
      </c>
      <c r="B30" s="6" t="s">
        <v>161</v>
      </c>
      <c r="C30" s="21" t="s">
        <v>162</v>
      </c>
    </row>
    <row r="31" customFormat="false" ht="15" hidden="false" customHeight="true" outlineLevel="0" collapsed="false">
      <c r="A31" s="6" t="s">
        <v>163</v>
      </c>
      <c r="B31" s="6" t="s">
        <v>164</v>
      </c>
      <c r="C31" s="21" t="s">
        <v>165</v>
      </c>
    </row>
    <row r="32" customFormat="false" ht="15" hidden="false" customHeight="true" outlineLevel="0" collapsed="false">
      <c r="A32" s="6" t="s">
        <v>166</v>
      </c>
      <c r="B32" s="6" t="s">
        <v>167</v>
      </c>
      <c r="C32" s="21" t="s">
        <v>168</v>
      </c>
    </row>
    <row r="33" customFormat="false" ht="15" hidden="false" customHeight="true" outlineLevel="0" collapsed="false">
      <c r="A33" s="6" t="s">
        <v>169</v>
      </c>
      <c r="B33" s="6" t="s">
        <v>170</v>
      </c>
      <c r="C33" s="21" t="s">
        <v>171</v>
      </c>
    </row>
    <row r="34" customFormat="false" ht="15" hidden="false" customHeight="true" outlineLevel="0" collapsed="false">
      <c r="A34" s="6" t="s">
        <v>172</v>
      </c>
      <c r="B34" s="6" t="s">
        <v>173</v>
      </c>
      <c r="C34" s="21" t="s">
        <v>174</v>
      </c>
    </row>
    <row r="35" customFormat="false" ht="15" hidden="false" customHeight="true" outlineLevel="0" collapsed="false">
      <c r="A35" s="6" t="s">
        <v>175</v>
      </c>
      <c r="B35" s="6" t="s">
        <v>176</v>
      </c>
      <c r="C35" s="21" t="s">
        <v>177</v>
      </c>
    </row>
    <row r="36" customFormat="false" ht="15" hidden="false" customHeight="true" outlineLevel="0" collapsed="false">
      <c r="A36" s="6" t="s">
        <v>178</v>
      </c>
      <c r="B36" s="6" t="s">
        <v>179</v>
      </c>
      <c r="C36" s="21" t="s">
        <v>180</v>
      </c>
    </row>
    <row r="37" customFormat="false" ht="15" hidden="false" customHeight="true" outlineLevel="0" collapsed="false">
      <c r="A37" s="6" t="s">
        <v>181</v>
      </c>
      <c r="B37" s="6" t="s">
        <v>182</v>
      </c>
      <c r="C37" s="21" t="s">
        <v>183</v>
      </c>
    </row>
    <row r="38" customFormat="false" ht="15" hidden="false" customHeight="true" outlineLevel="0" collapsed="false">
      <c r="A38" s="6" t="s">
        <v>184</v>
      </c>
      <c r="B38" s="6" t="s">
        <v>185</v>
      </c>
      <c r="C38" s="21" t="s">
        <v>186</v>
      </c>
    </row>
    <row r="39" customFormat="false" ht="15" hidden="false" customHeight="true" outlineLevel="0" collapsed="false">
      <c r="A39" s="6" t="s">
        <v>187</v>
      </c>
      <c r="B39" s="6" t="s">
        <v>188</v>
      </c>
      <c r="C39" s="21" t="s">
        <v>189</v>
      </c>
    </row>
    <row r="40" customFormat="false" ht="15" hidden="false" customHeight="true" outlineLevel="0" collapsed="false">
      <c r="A40" s="6" t="s">
        <v>190</v>
      </c>
      <c r="B40" s="6" t="s">
        <v>191</v>
      </c>
      <c r="C40" s="21" t="s">
        <v>192</v>
      </c>
    </row>
    <row r="41" customFormat="false" ht="15" hidden="false" customHeight="true" outlineLevel="0" collapsed="false">
      <c r="A41" s="6" t="s">
        <v>193</v>
      </c>
      <c r="B41" s="6" t="s">
        <v>194</v>
      </c>
      <c r="C41" s="21" t="s">
        <v>195</v>
      </c>
    </row>
    <row r="42" customFormat="false" ht="15" hidden="false" customHeight="true" outlineLevel="0" collapsed="false">
      <c r="A42" s="6" t="s">
        <v>196</v>
      </c>
      <c r="B42" s="6" t="s">
        <v>197</v>
      </c>
      <c r="C42" s="21" t="s">
        <v>198</v>
      </c>
    </row>
    <row r="43" customFormat="false" ht="15" hidden="false" customHeight="true" outlineLevel="0" collapsed="false">
      <c r="A43" s="6" t="s">
        <v>199</v>
      </c>
      <c r="B43" s="6" t="s">
        <v>200</v>
      </c>
      <c r="C43" s="21" t="s">
        <v>201</v>
      </c>
    </row>
    <row r="44" customFormat="false" ht="15" hidden="false" customHeight="true" outlineLevel="0" collapsed="false">
      <c r="A44" s="6" t="s">
        <v>202</v>
      </c>
      <c r="B44" s="6" t="s">
        <v>203</v>
      </c>
      <c r="C44" s="21" t="s">
        <v>204</v>
      </c>
    </row>
    <row r="45" customFormat="false" ht="15" hidden="false" customHeight="true" outlineLevel="0" collapsed="false">
      <c r="A45" s="6" t="s">
        <v>205</v>
      </c>
      <c r="B45" s="6" t="s">
        <v>206</v>
      </c>
      <c r="C45" s="22" t="s">
        <v>207</v>
      </c>
    </row>
    <row r="46" customFormat="false" ht="15" hidden="false" customHeight="true" outlineLevel="0" collapsed="false">
      <c r="A46" s="6" t="s">
        <v>208</v>
      </c>
      <c r="B46" s="6" t="s">
        <v>209</v>
      </c>
      <c r="C46" s="22" t="s">
        <v>210</v>
      </c>
    </row>
    <row r="47" customFormat="false" ht="15" hidden="false" customHeight="true" outlineLevel="0" collapsed="false">
      <c r="A47" s="6" t="s">
        <v>211</v>
      </c>
      <c r="B47" s="6" t="s">
        <v>212</v>
      </c>
      <c r="C47" s="22" t="s">
        <v>213</v>
      </c>
    </row>
    <row r="48" customFormat="false" ht="15" hidden="false" customHeight="true" outlineLevel="0" collapsed="false">
      <c r="A48" s="6" t="s">
        <v>214</v>
      </c>
      <c r="B48" s="6" t="s">
        <v>215</v>
      </c>
      <c r="C48" s="22" t="s">
        <v>216</v>
      </c>
    </row>
    <row r="49" customFormat="false" ht="15" hidden="false" customHeight="true" outlineLevel="0" collapsed="false">
      <c r="A49" s="6" t="s">
        <v>217</v>
      </c>
      <c r="B49" s="6" t="s">
        <v>218</v>
      </c>
      <c r="C49" s="22" t="s">
        <v>219</v>
      </c>
    </row>
    <row r="50" customFormat="false" ht="15" hidden="false" customHeight="true" outlineLevel="0" collapsed="false">
      <c r="A50" s="6" t="s">
        <v>220</v>
      </c>
      <c r="B50" s="6" t="s">
        <v>221</v>
      </c>
      <c r="C50" s="22" t="s">
        <v>222</v>
      </c>
    </row>
    <row r="51" customFormat="false" ht="15" hidden="false" customHeight="true" outlineLevel="0" collapsed="false">
      <c r="A51" s="6" t="s">
        <v>223</v>
      </c>
      <c r="B51" s="6" t="s">
        <v>224</v>
      </c>
      <c r="C51" s="22" t="s">
        <v>225</v>
      </c>
    </row>
    <row r="52" customFormat="false" ht="15" hidden="false" customHeight="true" outlineLevel="0" collapsed="false">
      <c r="A52" s="6" t="s">
        <v>226</v>
      </c>
      <c r="B52" s="6" t="s">
        <v>227</v>
      </c>
      <c r="C52" s="22" t="s">
        <v>228</v>
      </c>
    </row>
    <row r="53" customFormat="false" ht="15" hidden="false" customHeight="true" outlineLevel="0" collapsed="false">
      <c r="A53" s="6" t="s">
        <v>229</v>
      </c>
      <c r="B53" s="6" t="s">
        <v>230</v>
      </c>
      <c r="C53" s="22" t="s">
        <v>231</v>
      </c>
    </row>
    <row r="54" customFormat="false" ht="15" hidden="false" customHeight="true" outlineLevel="0" collapsed="false">
      <c r="A54" s="6" t="s">
        <v>232</v>
      </c>
      <c r="B54" s="6" t="s">
        <v>233</v>
      </c>
      <c r="C54" s="22" t="s">
        <v>234</v>
      </c>
    </row>
    <row r="55" customFormat="false" ht="15" hidden="false" customHeight="true" outlineLevel="0" collapsed="false">
      <c r="A55" s="6" t="s">
        <v>235</v>
      </c>
      <c r="B55" s="6" t="s">
        <v>236</v>
      </c>
      <c r="C55" s="22" t="s">
        <v>237</v>
      </c>
    </row>
    <row r="56" customFormat="false" ht="15" hidden="false" customHeight="true" outlineLevel="0" collapsed="false">
      <c r="A56" s="6" t="s">
        <v>238</v>
      </c>
      <c r="B56" s="6" t="s">
        <v>239</v>
      </c>
      <c r="C56" s="22" t="s">
        <v>240</v>
      </c>
    </row>
    <row r="57" customFormat="false" ht="15" hidden="false" customHeight="true" outlineLevel="0" collapsed="false">
      <c r="A57" s="6" t="s">
        <v>241</v>
      </c>
      <c r="B57" s="6" t="s">
        <v>242</v>
      </c>
      <c r="C57" s="22" t="s">
        <v>243</v>
      </c>
    </row>
    <row r="58" customFormat="false" ht="15" hidden="false" customHeight="true" outlineLevel="0" collapsed="false">
      <c r="A58" s="6" t="s">
        <v>244</v>
      </c>
      <c r="B58" s="6" t="s">
        <v>245</v>
      </c>
      <c r="C58" s="22" t="s">
        <v>246</v>
      </c>
    </row>
    <row r="59" customFormat="false" ht="15" hidden="false" customHeight="true" outlineLevel="0" collapsed="false">
      <c r="A59" s="6" t="s">
        <v>247</v>
      </c>
      <c r="B59" s="6" t="s">
        <v>248</v>
      </c>
      <c r="C59" s="22" t="s">
        <v>249</v>
      </c>
    </row>
    <row r="60" customFormat="false" ht="15" hidden="false" customHeight="true" outlineLevel="0" collapsed="false">
      <c r="A60" s="6" t="s">
        <v>250</v>
      </c>
      <c r="B60" s="6" t="s">
        <v>251</v>
      </c>
      <c r="C60" s="22" t="s">
        <v>252</v>
      </c>
    </row>
    <row r="61" customFormat="false" ht="15" hidden="false" customHeight="true" outlineLevel="0" collapsed="false">
      <c r="A61" s="6" t="s">
        <v>253</v>
      </c>
      <c r="B61" s="6" t="s">
        <v>254</v>
      </c>
      <c r="C61" s="22" t="s">
        <v>255</v>
      </c>
    </row>
    <row r="62" customFormat="false" ht="15" hidden="false" customHeight="true" outlineLevel="0" collapsed="false">
      <c r="A62" s="6" t="s">
        <v>256</v>
      </c>
      <c r="B62" s="6" t="s">
        <v>257</v>
      </c>
      <c r="C62" s="22" t="s">
        <v>258</v>
      </c>
    </row>
    <row r="63" customFormat="false" ht="15" hidden="false" customHeight="true" outlineLevel="0" collapsed="false">
      <c r="A63" s="6" t="s">
        <v>259</v>
      </c>
      <c r="B63" s="6" t="s">
        <v>260</v>
      </c>
      <c r="C63" s="22" t="s">
        <v>261</v>
      </c>
    </row>
    <row r="64" customFormat="false" ht="15" hidden="false" customHeight="true" outlineLevel="0" collapsed="false">
      <c r="A64" s="6" t="s">
        <v>262</v>
      </c>
      <c r="B64" s="6" t="s">
        <v>263</v>
      </c>
      <c r="C64" s="22" t="s">
        <v>264</v>
      </c>
    </row>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B6" activeCellId="0" sqref="B6"/>
    </sheetView>
  </sheetViews>
  <sheetFormatPr defaultColWidth="14.43359375" defaultRowHeight="15" zeroHeight="false" outlineLevelRow="0" outlineLevelCol="0"/>
  <cols>
    <col collapsed="false" customWidth="true" hidden="false" outlineLevel="0" max="1" min="1" style="1" width="10"/>
    <col collapsed="false" customWidth="true" hidden="false" outlineLevel="0" max="2" min="2" style="1" width="30"/>
    <col collapsed="false" customWidth="true" hidden="false" outlineLevel="0" max="3" min="3" style="1" width="32"/>
    <col collapsed="false" customWidth="true" hidden="false" outlineLevel="0" max="4" min="4" style="1" width="14"/>
    <col collapsed="false" customWidth="true" hidden="false" outlineLevel="0" max="5" min="5" style="1" width="12"/>
    <col collapsed="false" customWidth="true" hidden="false" outlineLevel="0" max="6" min="6" style="1" width="20"/>
    <col collapsed="false" customWidth="true" hidden="false" outlineLevel="0" max="7" min="7" style="1" width="12"/>
    <col collapsed="false" customWidth="true" hidden="false" outlineLevel="0" max="8" min="8" style="1" width="40"/>
    <col collapsed="false" customWidth="true" hidden="false" outlineLevel="0" max="9" min="9" style="1" width="16"/>
    <col collapsed="false" customWidth="true" hidden="false" outlineLevel="0" max="26" min="10" style="1" width="8.71"/>
  </cols>
  <sheetData>
    <row r="1" customFormat="false" ht="17.25" hidden="false" customHeight="true" outlineLevel="0" collapsed="false">
      <c r="A1" s="9" t="s">
        <v>265</v>
      </c>
    </row>
    <row r="2" customFormat="false" ht="15" hidden="false" customHeight="true" outlineLevel="0" collapsed="false">
      <c r="A2" s="10" t="s">
        <v>266</v>
      </c>
    </row>
    <row r="3" customFormat="false" ht="15" hidden="false" customHeight="true" outlineLevel="0" collapsed="false"/>
    <row r="4" customFormat="false" ht="27.75" hidden="false" customHeight="true" outlineLevel="0" collapsed="false">
      <c r="A4" s="11" t="s">
        <v>267</v>
      </c>
      <c r="B4" s="11" t="s">
        <v>268</v>
      </c>
      <c r="C4" s="11" t="s">
        <v>269</v>
      </c>
      <c r="D4" s="11" t="s">
        <v>270</v>
      </c>
      <c r="E4" s="11" t="s">
        <v>271</v>
      </c>
      <c r="F4" s="11" t="s">
        <v>272</v>
      </c>
      <c r="G4" s="11" t="s">
        <v>273</v>
      </c>
      <c r="H4" s="11" t="s">
        <v>274</v>
      </c>
      <c r="I4" s="11" t="s">
        <v>275</v>
      </c>
    </row>
    <row r="5" customFormat="false" ht="15" hidden="false" customHeight="true" outlineLevel="0" collapsed="false">
      <c r="A5" s="23" t="n">
        <v>1010</v>
      </c>
      <c r="B5" s="20" t="s">
        <v>276</v>
      </c>
      <c r="C5" s="20" t="s">
        <v>277</v>
      </c>
      <c r="D5" s="20" t="s">
        <v>119</v>
      </c>
      <c r="E5" s="20" t="str">
        <f aca="false">IF(OR(D5="Aset",D5="Perbelanjaan"),"Debit","Kredit")</f>
        <v>Debit</v>
      </c>
      <c r="F5" s="20" t="s">
        <v>278</v>
      </c>
      <c r="G5" s="20" t="s">
        <v>279</v>
      </c>
      <c r="H5" s="24"/>
      <c r="I5" s="20" t="s">
        <v>280</v>
      </c>
    </row>
    <row r="6" customFormat="false" ht="15" hidden="false" customHeight="true" outlineLevel="0" collapsed="false">
      <c r="A6" s="23" t="n">
        <v>1020</v>
      </c>
      <c r="B6" s="20" t="s">
        <v>281</v>
      </c>
      <c r="C6" s="20" t="s">
        <v>281</v>
      </c>
      <c r="D6" s="20" t="s">
        <v>119</v>
      </c>
      <c r="E6" s="20" t="str">
        <f aca="false">IF(OR(D6="Aset",D6="Perbelanjaan"),"Debit","Kredit")</f>
        <v>Debit</v>
      </c>
      <c r="F6" s="20" t="s">
        <v>278</v>
      </c>
      <c r="G6" s="20" t="s">
        <v>279</v>
      </c>
      <c r="H6" s="24"/>
      <c r="I6" s="20" t="s">
        <v>280</v>
      </c>
    </row>
    <row r="7" customFormat="false" ht="15" hidden="false" customHeight="true" outlineLevel="0" collapsed="false">
      <c r="A7" s="23" t="n">
        <v>1030</v>
      </c>
      <c r="B7" s="20" t="s">
        <v>282</v>
      </c>
      <c r="C7" s="20" t="s">
        <v>283</v>
      </c>
      <c r="D7" s="20" t="s">
        <v>119</v>
      </c>
      <c r="E7" s="20" t="str">
        <f aca="false">IF(OR(D7="Aset",D7="Perbelanjaan"),"Debit","Kredit")</f>
        <v>Debit</v>
      </c>
      <c r="F7" s="20" t="s">
        <v>284</v>
      </c>
      <c r="G7" s="20" t="s">
        <v>279</v>
      </c>
      <c r="H7" s="24"/>
      <c r="I7" s="20" t="s">
        <v>285</v>
      </c>
    </row>
    <row r="8" customFormat="false" ht="15" hidden="false" customHeight="true" outlineLevel="0" collapsed="false">
      <c r="A8" s="23" t="n">
        <v>1040</v>
      </c>
      <c r="B8" s="20" t="s">
        <v>286</v>
      </c>
      <c r="C8" s="20" t="s">
        <v>287</v>
      </c>
      <c r="D8" s="20" t="s">
        <v>119</v>
      </c>
      <c r="E8" s="20" t="str">
        <f aca="false">IF(OR(D8="Aset",D8="Perbelanjaan"),"Debit","Kredit")</f>
        <v>Debit</v>
      </c>
      <c r="F8" s="20" t="s">
        <v>284</v>
      </c>
      <c r="G8" s="20" t="s">
        <v>279</v>
      </c>
      <c r="H8" s="24" t="s">
        <v>288</v>
      </c>
      <c r="I8" s="20" t="s">
        <v>285</v>
      </c>
    </row>
    <row r="9" customFormat="false" ht="15" hidden="false" customHeight="true" outlineLevel="0" collapsed="false">
      <c r="A9" s="23" t="n">
        <v>1050</v>
      </c>
      <c r="B9" s="20" t="s">
        <v>289</v>
      </c>
      <c r="C9" s="20" t="s">
        <v>290</v>
      </c>
      <c r="D9" s="20" t="s">
        <v>119</v>
      </c>
      <c r="E9" s="20" t="str">
        <f aca="false">IF(OR(D9="Aset",D9="Perbelanjaan"),"Debit","Kredit")</f>
        <v>Debit</v>
      </c>
      <c r="F9" s="20" t="s">
        <v>284</v>
      </c>
      <c r="G9" s="20" t="s">
        <v>279</v>
      </c>
      <c r="H9" s="25" t="s">
        <v>291</v>
      </c>
      <c r="I9" s="20" t="s">
        <v>285</v>
      </c>
    </row>
    <row r="10" customFormat="false" ht="15" hidden="false" customHeight="true" outlineLevel="0" collapsed="false">
      <c r="A10" s="23" t="n">
        <v>1060</v>
      </c>
      <c r="B10" s="20" t="s">
        <v>292</v>
      </c>
      <c r="C10" s="20" t="s">
        <v>293</v>
      </c>
      <c r="D10" s="20" t="s">
        <v>119</v>
      </c>
      <c r="E10" s="20" t="str">
        <f aca="false">IF(OR(D10="Aset",D10="Perbelanjaan"),"Debit","Kredit")</f>
        <v>Debit</v>
      </c>
      <c r="F10" s="20" t="s">
        <v>294</v>
      </c>
      <c r="G10" s="20" t="s">
        <v>279</v>
      </c>
      <c r="H10" s="24"/>
      <c r="I10" s="20" t="s">
        <v>280</v>
      </c>
    </row>
    <row r="11" customFormat="false" ht="15" hidden="false" customHeight="true" outlineLevel="0" collapsed="false">
      <c r="A11" s="23" t="n">
        <v>1070</v>
      </c>
      <c r="B11" s="20" t="s">
        <v>295</v>
      </c>
      <c r="C11" s="20" t="s">
        <v>296</v>
      </c>
      <c r="D11" s="20" t="s">
        <v>119</v>
      </c>
      <c r="E11" s="20" t="str">
        <f aca="false">IF(OR(D11="Aset",D11="Perbelanjaan"),"Debit","Kredit")</f>
        <v>Debit</v>
      </c>
      <c r="F11" s="20" t="s">
        <v>294</v>
      </c>
      <c r="G11" s="20" t="s">
        <v>279</v>
      </c>
      <c r="H11" s="24"/>
      <c r="I11" s="20" t="s">
        <v>280</v>
      </c>
    </row>
    <row r="12" customFormat="false" ht="15" hidden="false" customHeight="true" outlineLevel="0" collapsed="false">
      <c r="A12" s="23" t="n">
        <v>2010</v>
      </c>
      <c r="B12" s="20" t="s">
        <v>297</v>
      </c>
      <c r="C12" s="20" t="s">
        <v>298</v>
      </c>
      <c r="D12" s="20" t="s">
        <v>122</v>
      </c>
      <c r="E12" s="20" t="str">
        <f aca="false">IF(OR(D12="Aset",D12="Perbelanjaan"),"Debit","Kredit")</f>
        <v>Kredit</v>
      </c>
      <c r="F12" s="20" t="s">
        <v>294</v>
      </c>
      <c r="G12" s="20" t="s">
        <v>279</v>
      </c>
      <c r="H12" s="24"/>
      <c r="I12" s="20" t="s">
        <v>280</v>
      </c>
    </row>
    <row r="13" customFormat="false" ht="15" hidden="false" customHeight="true" outlineLevel="0" collapsed="false">
      <c r="A13" s="23" t="n">
        <v>2020</v>
      </c>
      <c r="B13" s="20" t="s">
        <v>299</v>
      </c>
      <c r="C13" s="20" t="s">
        <v>300</v>
      </c>
      <c r="D13" s="20" t="s">
        <v>122</v>
      </c>
      <c r="E13" s="20" t="str">
        <f aca="false">IF(OR(D13="Aset",D13="Perbelanjaan"),"Debit","Kredit")</f>
        <v>Kredit</v>
      </c>
      <c r="F13" s="20" t="s">
        <v>301</v>
      </c>
      <c r="G13" s="20" t="s">
        <v>279</v>
      </c>
      <c r="H13" s="24"/>
      <c r="I13" s="20" t="s">
        <v>280</v>
      </c>
    </row>
    <row r="14" customFormat="false" ht="15" hidden="false" customHeight="true" outlineLevel="0" collapsed="false">
      <c r="A14" s="23" t="n">
        <v>3010</v>
      </c>
      <c r="B14" s="20" t="s">
        <v>302</v>
      </c>
      <c r="C14" s="20" t="s">
        <v>303</v>
      </c>
      <c r="D14" s="20" t="s">
        <v>304</v>
      </c>
      <c r="E14" s="20" t="str">
        <f aca="false">IF(OR(D14="Aset",D14="Perbelanjaan"),"Debit","Kredit")</f>
        <v>Kredit</v>
      </c>
      <c r="F14" s="20" t="s">
        <v>305</v>
      </c>
      <c r="G14" s="20" t="s">
        <v>279</v>
      </c>
      <c r="H14" s="24"/>
      <c r="I14" s="20"/>
    </row>
    <row r="15" customFormat="false" ht="15" hidden="false" customHeight="true" outlineLevel="0" collapsed="false">
      <c r="A15" s="23" t="n">
        <v>3020</v>
      </c>
      <c r="B15" s="20" t="s">
        <v>306</v>
      </c>
      <c r="C15" s="20" t="s">
        <v>307</v>
      </c>
      <c r="D15" s="20" t="s">
        <v>304</v>
      </c>
      <c r="E15" s="20" t="str">
        <f aca="false">IF(OR(D15="Aset",D15="Perbelanjaan"),"Debit","Kredit")</f>
        <v>Kredit</v>
      </c>
      <c r="F15" s="20" t="s">
        <v>278</v>
      </c>
      <c r="G15" s="20" t="s">
        <v>279</v>
      </c>
      <c r="H15" s="24" t="s">
        <v>308</v>
      </c>
      <c r="I15" s="20"/>
    </row>
    <row r="16" customFormat="false" ht="15" hidden="false" customHeight="true" outlineLevel="0" collapsed="false">
      <c r="A16" s="23" t="n">
        <v>3030</v>
      </c>
      <c r="B16" s="20" t="s">
        <v>309</v>
      </c>
      <c r="C16" s="20" t="s">
        <v>310</v>
      </c>
      <c r="D16" s="20" t="s">
        <v>304</v>
      </c>
      <c r="E16" s="20" t="str">
        <f aca="false">IF(OR(D16="Aset",D16="Perbelanjaan"),"Debit","Kredit")</f>
        <v>Kredit</v>
      </c>
      <c r="F16" s="20" t="s">
        <v>278</v>
      </c>
      <c r="G16" s="20" t="s">
        <v>279</v>
      </c>
      <c r="H16" s="24"/>
      <c r="I16" s="20"/>
    </row>
    <row r="17" customFormat="false" ht="15" hidden="false" customHeight="true" outlineLevel="0" collapsed="false">
      <c r="A17" s="23" t="n">
        <v>4010</v>
      </c>
      <c r="B17" s="20" t="s">
        <v>311</v>
      </c>
      <c r="C17" s="20" t="s">
        <v>312</v>
      </c>
      <c r="D17" s="20" t="s">
        <v>125</v>
      </c>
      <c r="E17" s="20" t="str">
        <f aca="false">IF(OR(D17="Aset",D17="Perbelanjaan"),"Debit","Kredit")</f>
        <v>Kredit</v>
      </c>
      <c r="F17" s="20" t="s">
        <v>294</v>
      </c>
      <c r="G17" s="20" t="s">
        <v>279</v>
      </c>
      <c r="H17" s="24"/>
      <c r="I17" s="20"/>
    </row>
    <row r="18" customFormat="false" ht="15" hidden="false" customHeight="true" outlineLevel="0" collapsed="false">
      <c r="A18" s="23" t="n">
        <v>4020</v>
      </c>
      <c r="B18" s="20" t="s">
        <v>313</v>
      </c>
      <c r="C18" s="20" t="s">
        <v>314</v>
      </c>
      <c r="D18" s="20" t="s">
        <v>125</v>
      </c>
      <c r="E18" s="20" t="str">
        <f aca="false">IF(OR(D18="Aset",D18="Perbelanjaan"),"Debit","Kredit")</f>
        <v>Kredit</v>
      </c>
      <c r="F18" s="20" t="s">
        <v>294</v>
      </c>
      <c r="G18" s="20" t="s">
        <v>279</v>
      </c>
      <c r="H18" s="24"/>
      <c r="I18" s="20"/>
    </row>
    <row r="19" customFormat="false" ht="15" hidden="false" customHeight="true" outlineLevel="0" collapsed="false">
      <c r="A19" s="23" t="n">
        <v>4030</v>
      </c>
      <c r="B19" s="20" t="s">
        <v>315</v>
      </c>
      <c r="C19" s="20" t="s">
        <v>316</v>
      </c>
      <c r="D19" s="20" t="s">
        <v>125</v>
      </c>
      <c r="E19" s="20" t="str">
        <f aca="false">IF(OR(D19="Aset",D19="Perbelanjaan"),"Debit","Kredit")</f>
        <v>Kredit</v>
      </c>
      <c r="F19" s="20" t="s">
        <v>294</v>
      </c>
      <c r="G19" s="20" t="s">
        <v>279</v>
      </c>
      <c r="H19" s="24"/>
      <c r="I19" s="20"/>
    </row>
    <row r="20" customFormat="false" ht="15" hidden="false" customHeight="true" outlineLevel="0" collapsed="false">
      <c r="A20" s="23" t="n">
        <v>4040</v>
      </c>
      <c r="B20" s="20" t="s">
        <v>317</v>
      </c>
      <c r="C20" s="20" t="s">
        <v>318</v>
      </c>
      <c r="D20" s="20" t="s">
        <v>125</v>
      </c>
      <c r="E20" s="20" t="str">
        <f aca="false">IF(OR(D20="Aset",D20="Perbelanjaan"),"Debit","Kredit")</f>
        <v>Kredit</v>
      </c>
      <c r="F20" s="20" t="s">
        <v>294</v>
      </c>
      <c r="G20" s="20" t="s">
        <v>279</v>
      </c>
      <c r="H20" s="24"/>
      <c r="I20" s="20"/>
    </row>
    <row r="21" customFormat="false" ht="15" hidden="false" customHeight="true" outlineLevel="0" collapsed="false">
      <c r="A21" s="23" t="n">
        <v>4050</v>
      </c>
      <c r="B21" s="20" t="s">
        <v>319</v>
      </c>
      <c r="C21" s="20" t="s">
        <v>320</v>
      </c>
      <c r="D21" s="20" t="s">
        <v>125</v>
      </c>
      <c r="E21" s="20" t="str">
        <f aca="false">IF(OR(D21="Aset",D21="Perbelanjaan"),"Debit","Kredit")</f>
        <v>Kredit</v>
      </c>
      <c r="F21" s="20" t="s">
        <v>294</v>
      </c>
      <c r="G21" s="20" t="s">
        <v>279</v>
      </c>
      <c r="H21" s="24"/>
      <c r="I21" s="20"/>
    </row>
    <row r="22" customFormat="false" ht="15" hidden="false" customHeight="true" outlineLevel="0" collapsed="false">
      <c r="A22" s="23" t="n">
        <v>4060</v>
      </c>
      <c r="B22" s="20" t="s">
        <v>321</v>
      </c>
      <c r="C22" s="20" t="s">
        <v>322</v>
      </c>
      <c r="D22" s="20" t="s">
        <v>125</v>
      </c>
      <c r="E22" s="20" t="str">
        <f aca="false">IF(OR(D22="Aset",D22="Perbelanjaan"),"Debit","Kredit")</f>
        <v>Kredit</v>
      </c>
      <c r="F22" s="20" t="s">
        <v>294</v>
      </c>
      <c r="G22" s="20" t="s">
        <v>279</v>
      </c>
      <c r="H22" s="24"/>
      <c r="I22" s="20"/>
    </row>
    <row r="23" customFormat="false" ht="15" hidden="false" customHeight="true" outlineLevel="0" collapsed="false">
      <c r="A23" s="20" t="n">
        <v>4070</v>
      </c>
      <c r="B23" s="20" t="s">
        <v>323</v>
      </c>
      <c r="C23" s="20" t="s">
        <v>324</v>
      </c>
      <c r="D23" s="20" t="s">
        <v>125</v>
      </c>
      <c r="E23" s="20" t="str">
        <f aca="false">IF(OR(D23="Aset",D23="Perbelanjaan"),"Debit","Kredit")</f>
        <v>Kredit</v>
      </c>
      <c r="F23" s="20" t="s">
        <v>294</v>
      </c>
      <c r="G23" s="20" t="s">
        <v>279</v>
      </c>
      <c r="H23" s="24"/>
      <c r="I23" s="20"/>
    </row>
    <row r="24" customFormat="false" ht="15" hidden="false" customHeight="true" outlineLevel="0" collapsed="false">
      <c r="A24" s="20" t="n">
        <v>4080</v>
      </c>
      <c r="B24" s="20" t="s">
        <v>325</v>
      </c>
      <c r="C24" s="20" t="s">
        <v>326</v>
      </c>
      <c r="D24" s="20" t="s">
        <v>125</v>
      </c>
      <c r="E24" s="20" t="str">
        <f aca="false">IF(OR(D24="Aset",D24="Perbelanjaan"),"Debit","Kredit")</f>
        <v>Kredit</v>
      </c>
      <c r="F24" s="20" t="s">
        <v>294</v>
      </c>
      <c r="G24" s="20" t="s">
        <v>279</v>
      </c>
      <c r="H24" s="24"/>
      <c r="I24" s="20"/>
    </row>
    <row r="25" customFormat="false" ht="15" hidden="false" customHeight="true" outlineLevel="0" collapsed="false">
      <c r="A25" s="20" t="n">
        <v>5010</v>
      </c>
      <c r="B25" s="20" t="s">
        <v>327</v>
      </c>
      <c r="C25" s="20" t="s">
        <v>328</v>
      </c>
      <c r="D25" s="20" t="s">
        <v>128</v>
      </c>
      <c r="E25" s="20" t="str">
        <f aca="false">IF(OR(D25="Aset",D25="Perbelanjaan"),"Debit","Kredit")</f>
        <v>Debit</v>
      </c>
      <c r="F25" s="20" t="s">
        <v>294</v>
      </c>
      <c r="G25" s="20" t="s">
        <v>279</v>
      </c>
      <c r="H25" s="24"/>
      <c r="I25" s="20"/>
    </row>
    <row r="26" customFormat="false" ht="15" hidden="false" customHeight="true" outlineLevel="0" collapsed="false">
      <c r="A26" s="20" t="n">
        <v>5020</v>
      </c>
      <c r="B26" s="20" t="s">
        <v>329</v>
      </c>
      <c r="C26" s="20" t="s">
        <v>330</v>
      </c>
      <c r="D26" s="20" t="s">
        <v>128</v>
      </c>
      <c r="E26" s="20" t="str">
        <f aca="false">IF(OR(D26="Aset",D26="Perbelanjaan"),"Debit","Kredit")</f>
        <v>Debit</v>
      </c>
      <c r="F26" s="20" t="s">
        <v>294</v>
      </c>
      <c r="G26" s="20" t="s">
        <v>279</v>
      </c>
      <c r="H26" s="24"/>
      <c r="I26" s="20"/>
    </row>
    <row r="27" customFormat="false" ht="15" hidden="false" customHeight="true" outlineLevel="0" collapsed="false">
      <c r="A27" s="20" t="n">
        <v>5030</v>
      </c>
      <c r="B27" s="20" t="s">
        <v>331</v>
      </c>
      <c r="C27" s="20" t="s">
        <v>332</v>
      </c>
      <c r="D27" s="20" t="s">
        <v>128</v>
      </c>
      <c r="E27" s="20" t="str">
        <f aca="false">IF(OR(D27="Aset",D27="Perbelanjaan"),"Debit","Kredit")</f>
        <v>Debit</v>
      </c>
      <c r="F27" s="20" t="s">
        <v>294</v>
      </c>
      <c r="G27" s="20" t="s">
        <v>279</v>
      </c>
      <c r="H27" s="24"/>
      <c r="I27" s="20"/>
    </row>
    <row r="28" customFormat="false" ht="15" hidden="false" customHeight="true" outlineLevel="0" collapsed="false">
      <c r="A28" s="20" t="n">
        <v>5040</v>
      </c>
      <c r="B28" s="20" t="s">
        <v>333</v>
      </c>
      <c r="C28" s="20" t="s">
        <v>334</v>
      </c>
      <c r="D28" s="20" t="s">
        <v>128</v>
      </c>
      <c r="E28" s="20" t="str">
        <f aca="false">IF(OR(D28="Aset",D28="Perbelanjaan"),"Debit","Kredit")</f>
        <v>Debit</v>
      </c>
      <c r="F28" s="20" t="s">
        <v>294</v>
      </c>
      <c r="G28" s="20" t="s">
        <v>279</v>
      </c>
      <c r="H28" s="24"/>
      <c r="I28" s="20"/>
    </row>
    <row r="29" customFormat="false" ht="15" hidden="false" customHeight="true" outlineLevel="0" collapsed="false">
      <c r="A29" s="20" t="n">
        <v>5050</v>
      </c>
      <c r="B29" s="20" t="s">
        <v>335</v>
      </c>
      <c r="C29" s="20" t="s">
        <v>336</v>
      </c>
      <c r="D29" s="20" t="s">
        <v>128</v>
      </c>
      <c r="E29" s="20" t="str">
        <f aca="false">IF(OR(D29="Aset",D29="Perbelanjaan"),"Debit","Kredit")</f>
        <v>Debit</v>
      </c>
      <c r="F29" s="20" t="s">
        <v>294</v>
      </c>
      <c r="G29" s="20" t="s">
        <v>279</v>
      </c>
      <c r="H29" s="24"/>
      <c r="I29" s="20"/>
    </row>
    <row r="30" customFormat="false" ht="15" hidden="false" customHeight="true" outlineLevel="0" collapsed="false">
      <c r="A30" s="20" t="n">
        <v>5060</v>
      </c>
      <c r="B30" s="20" t="s">
        <v>337</v>
      </c>
      <c r="C30" s="20" t="s">
        <v>338</v>
      </c>
      <c r="D30" s="20" t="s">
        <v>128</v>
      </c>
      <c r="E30" s="20" t="str">
        <f aca="false">IF(OR(D30="Aset",D30="Perbelanjaan"),"Debit","Kredit")</f>
        <v>Debit</v>
      </c>
      <c r="F30" s="20" t="s">
        <v>294</v>
      </c>
      <c r="G30" s="20" t="s">
        <v>279</v>
      </c>
      <c r="H30" s="24"/>
      <c r="I30" s="20"/>
    </row>
    <row r="31" customFormat="false" ht="15" hidden="false" customHeight="true" outlineLevel="0" collapsed="false">
      <c r="A31" s="20" t="n">
        <v>5070</v>
      </c>
      <c r="B31" s="20" t="s">
        <v>339</v>
      </c>
      <c r="C31" s="20" t="s">
        <v>340</v>
      </c>
      <c r="D31" s="20" t="s">
        <v>128</v>
      </c>
      <c r="E31" s="20" t="str">
        <f aca="false">IF(OR(D31="Aset",D31="Perbelanjaan"),"Debit","Kredit")</f>
        <v>Debit</v>
      </c>
      <c r="F31" s="20" t="s">
        <v>294</v>
      </c>
      <c r="G31" s="20" t="s">
        <v>279</v>
      </c>
      <c r="H31" s="24"/>
      <c r="I31" s="20"/>
    </row>
    <row r="32" customFormat="false" ht="15" hidden="false" customHeight="true" outlineLevel="0" collapsed="false">
      <c r="A32" s="20" t="n">
        <v>5080</v>
      </c>
      <c r="B32" s="20" t="s">
        <v>341</v>
      </c>
      <c r="C32" s="20" t="s">
        <v>342</v>
      </c>
      <c r="D32" s="20" t="s">
        <v>128</v>
      </c>
      <c r="E32" s="20" t="str">
        <f aca="false">IF(OR(D32="Aset",D32="Perbelanjaan"),"Debit","Kredit")</f>
        <v>Debit</v>
      </c>
      <c r="F32" s="20" t="s">
        <v>294</v>
      </c>
      <c r="G32" s="20" t="s">
        <v>279</v>
      </c>
      <c r="H32" s="24"/>
      <c r="I32" s="20"/>
    </row>
    <row r="33" customFormat="false" ht="15" hidden="false" customHeight="true" outlineLevel="0" collapsed="false">
      <c r="A33" s="20" t="n">
        <v>5090</v>
      </c>
      <c r="B33" s="20" t="s">
        <v>343</v>
      </c>
      <c r="C33" s="20" t="s">
        <v>344</v>
      </c>
      <c r="D33" s="20" t="s">
        <v>128</v>
      </c>
      <c r="E33" s="20" t="str">
        <f aca="false">IF(OR(D33="Aset",D33="Perbelanjaan"),"Debit","Kredit")</f>
        <v>Debit</v>
      </c>
      <c r="F33" s="20" t="s">
        <v>294</v>
      </c>
      <c r="G33" s="20" t="s">
        <v>279</v>
      </c>
      <c r="H33" s="24"/>
      <c r="I33" s="20"/>
    </row>
    <row r="34" customFormat="false" ht="15" hidden="false" customHeight="true" outlineLevel="0" collapsed="false">
      <c r="A34" s="20" t="n">
        <v>5100</v>
      </c>
      <c r="B34" s="20" t="s">
        <v>345</v>
      </c>
      <c r="C34" s="20" t="s">
        <v>346</v>
      </c>
      <c r="D34" s="20" t="s">
        <v>128</v>
      </c>
      <c r="E34" s="20" t="str">
        <f aca="false">IF(OR(D34="Aset",D34="Perbelanjaan"),"Debit","Kredit")</f>
        <v>Debit</v>
      </c>
      <c r="F34" s="20" t="s">
        <v>294</v>
      </c>
      <c r="G34" s="20" t="s">
        <v>347</v>
      </c>
      <c r="H34" s="24" t="s">
        <v>348</v>
      </c>
      <c r="I34" s="20"/>
    </row>
    <row r="35" customFormat="false" ht="15" hidden="false" customHeight="true" outlineLevel="0" collapsed="false">
      <c r="A35" s="20" t="n">
        <v>5110</v>
      </c>
      <c r="B35" s="20" t="s">
        <v>349</v>
      </c>
      <c r="C35" s="20" t="s">
        <v>350</v>
      </c>
      <c r="D35" s="20" t="s">
        <v>128</v>
      </c>
      <c r="E35" s="20" t="str">
        <f aca="false">IF(OR(D35="Aset",D35="Perbelanjaan"),"Debit","Kredit")</f>
        <v>Debit</v>
      </c>
      <c r="F35" s="20" t="s">
        <v>294</v>
      </c>
      <c r="G35" s="20" t="s">
        <v>347</v>
      </c>
      <c r="H35" s="24" t="s">
        <v>348</v>
      </c>
      <c r="I35" s="20"/>
    </row>
    <row r="36" customFormat="false" ht="15" hidden="false" customHeight="true" outlineLevel="0" collapsed="false">
      <c r="A36" s="20" t="n">
        <v>5120</v>
      </c>
      <c r="B36" s="20" t="s">
        <v>351</v>
      </c>
      <c r="C36" s="20" t="s">
        <v>351</v>
      </c>
      <c r="D36" s="20" t="s">
        <v>128</v>
      </c>
      <c r="E36" s="20" t="str">
        <f aca="false">IF(OR(D36="Aset",D36="Perbelanjaan"),"Debit","Kredit")</f>
        <v>Debit</v>
      </c>
      <c r="F36" s="20" t="s">
        <v>294</v>
      </c>
      <c r="G36" s="20" t="s">
        <v>347</v>
      </c>
      <c r="H36" s="24" t="s">
        <v>348</v>
      </c>
      <c r="I36" s="20"/>
    </row>
    <row r="37" customFormat="false" ht="15" hidden="false" customHeight="true" outlineLevel="0" collapsed="false">
      <c r="A37" s="20" t="n">
        <v>5130</v>
      </c>
      <c r="B37" s="20" t="s">
        <v>352</v>
      </c>
      <c r="C37" s="20" t="s">
        <v>353</v>
      </c>
      <c r="D37" s="20" t="s">
        <v>128</v>
      </c>
      <c r="E37" s="20" t="str">
        <f aca="false">IF(OR(D37="Aset",D37="Perbelanjaan"),"Debit","Kredit")</f>
        <v>Debit</v>
      </c>
      <c r="F37" s="20" t="s">
        <v>294</v>
      </c>
      <c r="G37" s="20" t="s">
        <v>347</v>
      </c>
      <c r="H37" s="24" t="s">
        <v>348</v>
      </c>
      <c r="I37" s="20"/>
    </row>
    <row r="38" customFormat="false" ht="15" hidden="false" customHeight="true" outlineLevel="0" collapsed="false">
      <c r="A38" s="20" t="n">
        <v>5140</v>
      </c>
      <c r="B38" s="20" t="s">
        <v>354</v>
      </c>
      <c r="C38" s="20" t="s">
        <v>355</v>
      </c>
      <c r="D38" s="20" t="s">
        <v>128</v>
      </c>
      <c r="E38" s="20" t="str">
        <f aca="false">IF(OR(D38="Aset",D38="Perbelanjaan"),"Debit","Kredit")</f>
        <v>Debit</v>
      </c>
      <c r="F38" s="20" t="s">
        <v>294</v>
      </c>
      <c r="G38" s="20" t="s">
        <v>347</v>
      </c>
      <c r="H38" s="24" t="s">
        <v>348</v>
      </c>
      <c r="I38" s="20"/>
    </row>
    <row r="39" customFormat="false" ht="15" hidden="false" customHeight="true" outlineLevel="0" collapsed="false">
      <c r="A39" s="20" t="n">
        <v>5150</v>
      </c>
      <c r="B39" s="20" t="s">
        <v>356</v>
      </c>
      <c r="C39" s="20" t="s">
        <v>357</v>
      </c>
      <c r="D39" s="20" t="s">
        <v>128</v>
      </c>
      <c r="E39" s="20" t="str">
        <f aca="false">IF(OR(D39="Aset",D39="Perbelanjaan"),"Debit","Kredit")</f>
        <v>Debit</v>
      </c>
      <c r="F39" s="20" t="s">
        <v>294</v>
      </c>
      <c r="G39" s="20" t="s">
        <v>279</v>
      </c>
      <c r="H39" s="24"/>
      <c r="I39" s="20"/>
    </row>
    <row r="40" customFormat="false" ht="15" hidden="false" customHeight="true" outlineLevel="0" collapsed="false">
      <c r="A40" s="20" t="n">
        <v>5160</v>
      </c>
      <c r="B40" s="20" t="s">
        <v>358</v>
      </c>
      <c r="C40" s="20" t="s">
        <v>359</v>
      </c>
      <c r="D40" s="20" t="s">
        <v>128</v>
      </c>
      <c r="E40" s="20" t="str">
        <f aca="false">IF(OR(D40="Aset",D40="Perbelanjaan"),"Debit","Kredit")</f>
        <v>Debit</v>
      </c>
      <c r="F40" s="20" t="s">
        <v>294</v>
      </c>
      <c r="G40" s="20" t="s">
        <v>279</v>
      </c>
      <c r="H40" s="24"/>
      <c r="I40" s="20"/>
    </row>
    <row r="41" customFormat="false" ht="15" hidden="false" customHeight="true" outlineLevel="0" collapsed="false">
      <c r="A41" s="20" t="n">
        <v>5170</v>
      </c>
      <c r="B41" s="20" t="s">
        <v>360</v>
      </c>
      <c r="C41" s="20" t="s">
        <v>361</v>
      </c>
      <c r="D41" s="20" t="s">
        <v>128</v>
      </c>
      <c r="E41" s="20" t="str">
        <f aca="false">IF(OR(D41="Aset",D41="Perbelanjaan"),"Debit","Kredit")</f>
        <v>Debit</v>
      </c>
      <c r="F41" s="20" t="s">
        <v>294</v>
      </c>
      <c r="G41" s="20" t="s">
        <v>279</v>
      </c>
      <c r="H41" s="24" t="s">
        <v>362</v>
      </c>
      <c r="I41" s="20"/>
    </row>
    <row r="42" customFormat="false" ht="15" hidden="false" customHeight="true" outlineLevel="0" collapsed="false">
      <c r="A42" s="20" t="n">
        <v>5180</v>
      </c>
      <c r="B42" s="20" t="s">
        <v>363</v>
      </c>
      <c r="C42" s="20" t="s">
        <v>364</v>
      </c>
      <c r="D42" s="20" t="s">
        <v>128</v>
      </c>
      <c r="E42" s="20" t="str">
        <f aca="false">IF(OR(D42="Aset",D42="Perbelanjaan"),"Debit","Kredit")</f>
        <v>Debit</v>
      </c>
      <c r="F42" s="20" t="s">
        <v>294</v>
      </c>
      <c r="G42" s="20" t="s">
        <v>279</v>
      </c>
      <c r="H42" s="24"/>
      <c r="I42" s="20"/>
    </row>
    <row r="43" customFormat="false" ht="15" hidden="false" customHeight="true" outlineLevel="0" collapsed="false">
      <c r="A43" s="20" t="n">
        <v>5190</v>
      </c>
      <c r="B43" s="20" t="s">
        <v>365</v>
      </c>
      <c r="C43" s="20" t="s">
        <v>366</v>
      </c>
      <c r="D43" s="20" t="s">
        <v>128</v>
      </c>
      <c r="E43" s="20" t="str">
        <f aca="false">IF(OR(D43="Aset",D43="Perbelanjaan"),"Debit","Kredit")</f>
        <v>Debit</v>
      </c>
      <c r="F43" s="20" t="s">
        <v>294</v>
      </c>
      <c r="G43" s="20" t="s">
        <v>279</v>
      </c>
      <c r="H43" s="24"/>
      <c r="I43" s="20"/>
    </row>
    <row r="44" customFormat="false" ht="15" hidden="false" customHeight="true" outlineLevel="0" collapsed="false">
      <c r="A44" s="20" t="n">
        <v>5200</v>
      </c>
      <c r="B44" s="20" t="s">
        <v>367</v>
      </c>
      <c r="C44" s="20" t="s">
        <v>368</v>
      </c>
      <c r="D44" s="20" t="s">
        <v>128</v>
      </c>
      <c r="E44" s="20" t="str">
        <f aca="false">IF(OR(D44="Aset",D44="Perbelanjaan"),"Debit","Kredit")</f>
        <v>Debit</v>
      </c>
      <c r="F44" s="20" t="s">
        <v>294</v>
      </c>
      <c r="G44" s="20" t="s">
        <v>279</v>
      </c>
      <c r="H44" s="24"/>
      <c r="I44" s="20"/>
    </row>
    <row r="45" customFormat="false" ht="15" hidden="false" customHeight="true" outlineLevel="0" collapsed="false">
      <c r="A45" s="20" t="n">
        <v>5210</v>
      </c>
      <c r="B45" s="20" t="s">
        <v>369</v>
      </c>
      <c r="C45" s="20" t="s">
        <v>370</v>
      </c>
      <c r="D45" s="20" t="s">
        <v>128</v>
      </c>
      <c r="E45" s="20" t="str">
        <f aca="false">IF(OR(D45="Aset",D45="Perbelanjaan"),"Debit","Kredit")</f>
        <v>Debit</v>
      </c>
      <c r="F45" s="20" t="s">
        <v>294</v>
      </c>
      <c r="G45" s="20" t="s">
        <v>279</v>
      </c>
      <c r="H45" s="24"/>
      <c r="I45" s="20"/>
    </row>
    <row r="46" customFormat="false" ht="15" hidden="false" customHeight="true" outlineLevel="0" collapsed="false">
      <c r="A46" s="20" t="n">
        <v>5220</v>
      </c>
      <c r="B46" s="20" t="s">
        <v>371</v>
      </c>
      <c r="C46" s="20" t="s">
        <v>372</v>
      </c>
      <c r="D46" s="20" t="s">
        <v>128</v>
      </c>
      <c r="E46" s="20" t="str">
        <f aca="false">IF(OR(D46="Aset",D46="Perbelanjaan"),"Debit","Kredit")</f>
        <v>Debit</v>
      </c>
      <c r="F46" s="20" t="s">
        <v>294</v>
      </c>
      <c r="G46" s="20" t="s">
        <v>279</v>
      </c>
      <c r="H46" s="24"/>
      <c r="I46" s="20"/>
    </row>
    <row r="47" customFormat="false" ht="15" hidden="false" customHeight="true" outlineLevel="0" collapsed="false">
      <c r="A47" s="20" t="n">
        <v>5230</v>
      </c>
      <c r="B47" s="20" t="s">
        <v>373</v>
      </c>
      <c r="C47" s="20" t="s">
        <v>374</v>
      </c>
      <c r="D47" s="20" t="s">
        <v>128</v>
      </c>
      <c r="E47" s="20" t="str">
        <f aca="false">IF(OR(D47="Aset",D47="Perbelanjaan"),"Debit","Kredit")</f>
        <v>Debit</v>
      </c>
      <c r="F47" s="20" t="s">
        <v>294</v>
      </c>
      <c r="G47" s="20" t="s">
        <v>279</v>
      </c>
      <c r="H47" s="24"/>
      <c r="I47" s="20"/>
    </row>
    <row r="48" customFormat="false" ht="15" hidden="false" customHeight="true" outlineLevel="0" collapsed="false">
      <c r="A48" s="20" t="n">
        <v>1080</v>
      </c>
      <c r="B48" s="20" t="s">
        <v>375</v>
      </c>
      <c r="C48" s="20" t="s">
        <v>376</v>
      </c>
      <c r="D48" s="20" t="s">
        <v>119</v>
      </c>
      <c r="E48" s="20" t="str">
        <f aca="false">IF(OR(D48="Aset",D48="Perbelanjaan"),"Debit","Kredit")</f>
        <v>Debit</v>
      </c>
      <c r="F48" s="20" t="s">
        <v>278</v>
      </c>
      <c r="G48" s="20" t="s">
        <v>279</v>
      </c>
      <c r="H48" s="24" t="s">
        <v>377</v>
      </c>
      <c r="I48" s="20" t="s">
        <v>280</v>
      </c>
    </row>
    <row r="49" customFormat="false" ht="15" hidden="false" customHeight="true" outlineLevel="0" collapsed="false">
      <c r="A49" s="20" t="n">
        <v>1090</v>
      </c>
      <c r="B49" s="20" t="s">
        <v>378</v>
      </c>
      <c r="C49" s="20" t="s">
        <v>379</v>
      </c>
      <c r="D49" s="20" t="s">
        <v>119</v>
      </c>
      <c r="E49" s="20" t="str">
        <f aca="false">IF(OR(D49="Aset",D49="Perbelanjaan"),"Debit","Kredit")</f>
        <v>Debit</v>
      </c>
      <c r="F49" s="20" t="s">
        <v>294</v>
      </c>
      <c r="G49" s="20" t="s">
        <v>279</v>
      </c>
      <c r="H49" s="24"/>
      <c r="I49" s="20" t="s">
        <v>280</v>
      </c>
    </row>
    <row r="50" customFormat="false" ht="15" hidden="false" customHeight="true" outlineLevel="0" collapsed="false">
      <c r="A50" s="20" t="n">
        <v>1100</v>
      </c>
      <c r="B50" s="20" t="s">
        <v>380</v>
      </c>
      <c r="C50" s="20" t="s">
        <v>212</v>
      </c>
      <c r="D50" s="20" t="s">
        <v>119</v>
      </c>
      <c r="E50" s="20" t="str">
        <f aca="false">IF(OR(D50="Aset",D50="Perbelanjaan"),"Debit","Kredit")</f>
        <v>Debit</v>
      </c>
      <c r="F50" s="20" t="s">
        <v>294</v>
      </c>
      <c r="G50" s="20" t="s">
        <v>279</v>
      </c>
      <c r="H50" s="24" t="s">
        <v>381</v>
      </c>
      <c r="I50" s="20" t="s">
        <v>280</v>
      </c>
    </row>
    <row r="51" customFormat="false" ht="15" hidden="false" customHeight="true" outlineLevel="0" collapsed="false">
      <c r="A51" s="20" t="n">
        <v>1110</v>
      </c>
      <c r="B51" s="20" t="s">
        <v>382</v>
      </c>
      <c r="C51" s="20" t="s">
        <v>221</v>
      </c>
      <c r="D51" s="20" t="s">
        <v>119</v>
      </c>
      <c r="E51" s="20" t="str">
        <f aca="false">IF(OR(D51="Aset",D51="Perbelanjaan"),"Debit","Kredit")</f>
        <v>Debit</v>
      </c>
      <c r="F51" s="20" t="s">
        <v>294</v>
      </c>
      <c r="G51" s="20" t="s">
        <v>279</v>
      </c>
      <c r="H51" s="24" t="s">
        <v>222</v>
      </c>
      <c r="I51" s="20" t="s">
        <v>280</v>
      </c>
    </row>
    <row r="52" customFormat="false" ht="15" hidden="false" customHeight="true" outlineLevel="0" collapsed="false">
      <c r="A52" s="20" t="n">
        <v>2050</v>
      </c>
      <c r="B52" s="20" t="s">
        <v>383</v>
      </c>
      <c r="C52" s="20" t="s">
        <v>215</v>
      </c>
      <c r="D52" s="20" t="s">
        <v>122</v>
      </c>
      <c r="E52" s="20" t="str">
        <f aca="false">IF(OR(D52="Aset",D52="Perbelanjaan"),"Debit","Kredit")</f>
        <v>Kredit</v>
      </c>
      <c r="F52" s="20" t="s">
        <v>294</v>
      </c>
      <c r="G52" s="20" t="s">
        <v>279</v>
      </c>
      <c r="H52" s="24" t="s">
        <v>384</v>
      </c>
      <c r="I52" s="20" t="s">
        <v>280</v>
      </c>
    </row>
    <row r="53" customFormat="false" ht="15" hidden="false" customHeight="true" outlineLevel="0" collapsed="false">
      <c r="A53" s="20" t="n">
        <v>2060</v>
      </c>
      <c r="B53" s="20" t="s">
        <v>217</v>
      </c>
      <c r="C53" s="20" t="s">
        <v>218</v>
      </c>
      <c r="D53" s="20" t="s">
        <v>122</v>
      </c>
      <c r="E53" s="20" t="str">
        <f aca="false">IF(OR(D53="Aset",D53="Perbelanjaan"),"Debit","Kredit")</f>
        <v>Kredit</v>
      </c>
      <c r="F53" s="20" t="s">
        <v>294</v>
      </c>
      <c r="G53" s="20" t="s">
        <v>279</v>
      </c>
      <c r="H53" s="24" t="s">
        <v>385</v>
      </c>
      <c r="I53" s="20" t="s">
        <v>280</v>
      </c>
    </row>
    <row r="54" customFormat="false" ht="15" hidden="false" customHeight="true" outlineLevel="0" collapsed="false">
      <c r="A54" s="20" t="n">
        <v>2070</v>
      </c>
      <c r="B54" s="20" t="s">
        <v>386</v>
      </c>
      <c r="C54" s="20" t="s">
        <v>387</v>
      </c>
      <c r="D54" s="20" t="s">
        <v>122</v>
      </c>
      <c r="E54" s="20" t="str">
        <f aca="false">IF(OR(D54="Aset",D54="Perbelanjaan"),"Debit","Kredit")</f>
        <v>Kredit</v>
      </c>
      <c r="F54" s="20" t="s">
        <v>301</v>
      </c>
      <c r="G54" s="20" t="s">
        <v>279</v>
      </c>
      <c r="H54" s="24" t="s">
        <v>388</v>
      </c>
      <c r="I54" s="20" t="s">
        <v>280</v>
      </c>
    </row>
    <row r="55" customFormat="false" ht="15" hidden="false" customHeight="true" outlineLevel="0" collapsed="false">
      <c r="A55" s="20" t="n">
        <v>2080</v>
      </c>
      <c r="B55" s="20" t="s">
        <v>389</v>
      </c>
      <c r="C55" s="20" t="s">
        <v>390</v>
      </c>
      <c r="D55" s="20" t="s">
        <v>122</v>
      </c>
      <c r="E55" s="20" t="str">
        <f aca="false">IF(OR(D55="Aset",D55="Perbelanjaan"),"Debit","Kredit")</f>
        <v>Kredit</v>
      </c>
      <c r="F55" s="20" t="s">
        <v>301</v>
      </c>
      <c r="G55" s="20" t="s">
        <v>279</v>
      </c>
      <c r="H55" s="24" t="s">
        <v>391</v>
      </c>
      <c r="I55" s="20" t="s">
        <v>280</v>
      </c>
    </row>
    <row r="56" customFormat="false" ht="15" hidden="false" customHeight="true" outlineLevel="0" collapsed="false">
      <c r="A56" s="20" t="n">
        <v>2090</v>
      </c>
      <c r="B56" s="20" t="s">
        <v>392</v>
      </c>
      <c r="C56" s="20" t="s">
        <v>393</v>
      </c>
      <c r="D56" s="20" t="s">
        <v>122</v>
      </c>
      <c r="E56" s="20" t="str">
        <f aca="false">IF(OR(D56="Aset",D56="Perbelanjaan"),"Debit","Kredit")</f>
        <v>Kredit</v>
      </c>
      <c r="F56" s="20" t="s">
        <v>301</v>
      </c>
      <c r="G56" s="20" t="s">
        <v>279</v>
      </c>
      <c r="H56" s="24" t="s">
        <v>394</v>
      </c>
      <c r="I56" s="20" t="s">
        <v>280</v>
      </c>
    </row>
    <row r="57" customFormat="false" ht="15" hidden="false" customHeight="true" outlineLevel="0" collapsed="false">
      <c r="A57" s="20" t="n">
        <v>2100</v>
      </c>
      <c r="B57" s="20" t="s">
        <v>395</v>
      </c>
      <c r="C57" s="20" t="s">
        <v>396</v>
      </c>
      <c r="D57" s="20" t="s">
        <v>122</v>
      </c>
      <c r="E57" s="20" t="str">
        <f aca="false">IF(OR(D57="Aset",D57="Perbelanjaan"),"Debit","Kredit")</f>
        <v>Kredit</v>
      </c>
      <c r="F57" s="20" t="s">
        <v>301</v>
      </c>
      <c r="G57" s="20" t="s">
        <v>279</v>
      </c>
      <c r="H57" s="24" t="s">
        <v>397</v>
      </c>
      <c r="I57" s="20" t="s">
        <v>280</v>
      </c>
    </row>
    <row r="58" customFormat="false" ht="15" hidden="false" customHeight="true" outlineLevel="0" collapsed="false">
      <c r="A58" s="20" t="n">
        <v>2110</v>
      </c>
      <c r="B58" s="20" t="s">
        <v>398</v>
      </c>
      <c r="C58" s="20" t="s">
        <v>399</v>
      </c>
      <c r="D58" s="20" t="s">
        <v>122</v>
      </c>
      <c r="E58" s="20" t="str">
        <f aca="false">IF(OR(D58="Aset",D58="Perbelanjaan"),"Debit","Kredit")</f>
        <v>Kredit</v>
      </c>
      <c r="F58" s="20" t="s">
        <v>301</v>
      </c>
      <c r="G58" s="20" t="s">
        <v>279</v>
      </c>
      <c r="H58" s="24" t="s">
        <v>397</v>
      </c>
      <c r="I58" s="20" t="s">
        <v>280</v>
      </c>
    </row>
    <row r="59" customFormat="false" ht="15" hidden="false" customHeight="true" outlineLevel="0" collapsed="false">
      <c r="A59" s="20" t="n">
        <v>1045</v>
      </c>
      <c r="B59" s="20" t="s">
        <v>400</v>
      </c>
      <c r="C59" s="20" t="s">
        <v>401</v>
      </c>
      <c r="D59" s="20" t="s">
        <v>119</v>
      </c>
      <c r="E59" s="20" t="str">
        <f aca="false">IF(OR(D59="Aset",D59="Perbelanjaan"),"Debit","Kredit")</f>
        <v>Debit</v>
      </c>
      <c r="F59" s="20" t="s">
        <v>294</v>
      </c>
      <c r="G59" s="20" t="s">
        <v>279</v>
      </c>
      <c r="H59" s="18" t="s">
        <v>402</v>
      </c>
      <c r="I59" s="20" t="s">
        <v>285</v>
      </c>
    </row>
    <row r="60" customFormat="false" ht="15" hidden="false" customHeight="true" outlineLevel="0" collapsed="false">
      <c r="A60" s="20" t="n">
        <v>1095</v>
      </c>
      <c r="B60" s="20" t="s">
        <v>403</v>
      </c>
      <c r="C60" s="20" t="s">
        <v>404</v>
      </c>
      <c r="D60" s="20" t="s">
        <v>119</v>
      </c>
      <c r="E60" s="20" t="str">
        <f aca="false">IF(OR(D60="Aset",D60="Perbelanjaan"),"Debit","Kredit")</f>
        <v>Debit</v>
      </c>
      <c r="F60" s="20" t="s">
        <v>294</v>
      </c>
      <c r="G60" s="20" t="s">
        <v>279</v>
      </c>
      <c r="H60" s="18" t="s">
        <v>405</v>
      </c>
      <c r="I60" s="20" t="s">
        <v>280</v>
      </c>
    </row>
    <row r="61" customFormat="false" ht="15" hidden="false" customHeight="true" outlineLevel="0" collapsed="false">
      <c r="A61" s="6"/>
      <c r="B61" s="6"/>
      <c r="C61" s="6"/>
      <c r="D61" s="6"/>
      <c r="E61" s="6"/>
      <c r="F61" s="6"/>
      <c r="G61" s="6"/>
      <c r="H61" s="6"/>
    </row>
    <row r="62" customFormat="false" ht="15" hidden="false" customHeight="true" outlineLevel="0" collapsed="false">
      <c r="A62" s="6"/>
      <c r="B62" s="6"/>
      <c r="C62" s="6"/>
      <c r="D62" s="6"/>
      <c r="E62" s="6"/>
      <c r="F62" s="6"/>
      <c r="G62" s="6"/>
      <c r="H62" s="6"/>
    </row>
    <row r="63" customFormat="false" ht="15" hidden="false" customHeight="true" outlineLevel="0" collapsed="false">
      <c r="A63" s="6"/>
      <c r="B63" s="6"/>
      <c r="C63" s="6"/>
      <c r="D63" s="6"/>
      <c r="E63" s="6"/>
      <c r="F63" s="6"/>
      <c r="G63" s="6"/>
      <c r="H63" s="6"/>
    </row>
    <row r="64" customFormat="false" ht="15" hidden="false" customHeight="true" outlineLevel="0" collapsed="false">
      <c r="A64" s="6"/>
      <c r="B64" s="6"/>
      <c r="C64" s="6"/>
      <c r="D64" s="6"/>
      <c r="E64" s="6"/>
      <c r="F64" s="6"/>
      <c r="G64" s="6"/>
      <c r="H64" s="6"/>
    </row>
    <row r="65" customFormat="false" ht="15" hidden="false" customHeight="true" outlineLevel="0" collapsed="false">
      <c r="A65" s="6"/>
      <c r="B65" s="6"/>
      <c r="C65" s="6"/>
      <c r="D65" s="6"/>
      <c r="E65" s="6"/>
      <c r="F65" s="6"/>
      <c r="G65" s="6"/>
      <c r="H65" s="6"/>
    </row>
    <row r="66" customFormat="false" ht="15" hidden="false" customHeight="true" outlineLevel="0" collapsed="false">
      <c r="A66" s="6"/>
      <c r="B66" s="6"/>
      <c r="C66" s="6"/>
      <c r="D66" s="6"/>
      <c r="E66" s="6"/>
      <c r="F66" s="6"/>
      <c r="G66" s="6"/>
      <c r="H66" s="6"/>
    </row>
    <row r="67" customFormat="false" ht="15" hidden="false" customHeight="true" outlineLevel="0" collapsed="false">
      <c r="A67" s="6"/>
      <c r="B67" s="6"/>
      <c r="C67" s="6"/>
      <c r="D67" s="6"/>
      <c r="E67" s="6"/>
      <c r="F67" s="6"/>
      <c r="G67" s="6"/>
      <c r="H67" s="6"/>
    </row>
    <row r="68" customFormat="false" ht="15" hidden="false" customHeight="true" outlineLevel="0" collapsed="false">
      <c r="A68" s="6"/>
      <c r="B68" s="6"/>
      <c r="C68" s="6"/>
      <c r="D68" s="6"/>
      <c r="E68" s="6"/>
      <c r="F68" s="6"/>
      <c r="G68" s="6"/>
      <c r="H68" s="6"/>
    </row>
    <row r="69" customFormat="false" ht="15" hidden="false" customHeight="true" outlineLevel="0" collapsed="false">
      <c r="A69" s="6"/>
      <c r="B69" s="6"/>
      <c r="C69" s="6"/>
      <c r="D69" s="6"/>
      <c r="E69" s="6"/>
      <c r="F69" s="6"/>
      <c r="G69" s="6"/>
      <c r="H69" s="6"/>
    </row>
    <row r="70" customFormat="false" ht="15" hidden="false" customHeight="true" outlineLevel="0" collapsed="false">
      <c r="A70" s="6"/>
      <c r="B70" s="6"/>
      <c r="C70" s="6"/>
      <c r="D70" s="6"/>
      <c r="E70" s="6"/>
      <c r="F70" s="6"/>
      <c r="G70" s="6"/>
      <c r="H70" s="6"/>
    </row>
    <row r="71" customFormat="false" ht="15" hidden="false" customHeight="true" outlineLevel="0" collapsed="false">
      <c r="A71" s="6"/>
      <c r="B71" s="6"/>
      <c r="C71" s="6"/>
      <c r="D71" s="6"/>
      <c r="E71" s="6"/>
      <c r="F71" s="6"/>
      <c r="G71" s="6"/>
      <c r="H71" s="6"/>
    </row>
    <row r="72" customFormat="false" ht="15" hidden="false" customHeight="true" outlineLevel="0" collapsed="false">
      <c r="A72" s="6"/>
      <c r="B72" s="6"/>
      <c r="C72" s="6"/>
      <c r="D72" s="6"/>
      <c r="E72" s="6"/>
      <c r="F72" s="6"/>
      <c r="G72" s="6"/>
      <c r="H72" s="6"/>
    </row>
    <row r="73" customFormat="false" ht="15" hidden="false" customHeight="true" outlineLevel="0" collapsed="false">
      <c r="A73" s="6"/>
      <c r="B73" s="6"/>
      <c r="C73" s="6"/>
      <c r="D73" s="6"/>
      <c r="E73" s="6"/>
      <c r="F73" s="6"/>
      <c r="G73" s="6"/>
      <c r="H73" s="6"/>
    </row>
    <row r="74" customFormat="false" ht="15" hidden="false" customHeight="true" outlineLevel="0" collapsed="false">
      <c r="A74" s="6"/>
      <c r="B74" s="6"/>
      <c r="C74" s="6"/>
      <c r="D74" s="6"/>
      <c r="E74" s="6"/>
      <c r="F74" s="6"/>
      <c r="G74" s="6"/>
      <c r="H74" s="6"/>
    </row>
    <row r="75" customFormat="false" ht="15" hidden="false" customHeight="true" outlineLevel="0" collapsed="false">
      <c r="A75" s="6"/>
      <c r="B75" s="6"/>
      <c r="C75" s="6"/>
      <c r="D75" s="6"/>
      <c r="E75" s="6"/>
      <c r="F75" s="6"/>
      <c r="G75" s="6"/>
      <c r="H75" s="6"/>
    </row>
    <row r="76" customFormat="false" ht="15" hidden="false" customHeight="true" outlineLevel="0" collapsed="false">
      <c r="A76" s="6"/>
      <c r="B76" s="6"/>
      <c r="C76" s="6"/>
      <c r="D76" s="6"/>
      <c r="E76" s="6"/>
      <c r="F76" s="6"/>
      <c r="G76" s="6"/>
      <c r="H76" s="6"/>
    </row>
    <row r="77" customFormat="false" ht="15" hidden="false" customHeight="true" outlineLevel="0" collapsed="false">
      <c r="A77" s="6"/>
      <c r="B77" s="6"/>
      <c r="C77" s="6"/>
      <c r="D77" s="6"/>
      <c r="E77" s="6"/>
      <c r="F77" s="6"/>
      <c r="G77" s="6"/>
      <c r="H77" s="6"/>
    </row>
    <row r="78" customFormat="false" ht="15" hidden="false" customHeight="true" outlineLevel="0" collapsed="false">
      <c r="A78" s="6"/>
      <c r="B78" s="6"/>
      <c r="C78" s="6"/>
      <c r="D78" s="6"/>
      <c r="E78" s="6"/>
      <c r="F78" s="6"/>
      <c r="G78" s="6"/>
      <c r="H78" s="6"/>
    </row>
    <row r="79" customFormat="false" ht="15" hidden="false" customHeight="true" outlineLevel="0" collapsed="false">
      <c r="A79" s="6"/>
      <c r="B79" s="6"/>
      <c r="C79" s="6"/>
      <c r="D79" s="6"/>
      <c r="E79" s="6"/>
      <c r="F79" s="6"/>
      <c r="G79" s="6"/>
      <c r="H79" s="6"/>
    </row>
    <row r="80" customFormat="false" ht="15" hidden="false" customHeight="true" outlineLevel="0" collapsed="false">
      <c r="A80" s="6"/>
      <c r="B80" s="6"/>
      <c r="C80" s="6"/>
      <c r="D80" s="6"/>
      <c r="E80" s="6"/>
      <c r="F80" s="6"/>
      <c r="G80" s="6"/>
      <c r="H80" s="6"/>
    </row>
    <row r="81" customFormat="false" ht="15" hidden="false" customHeight="true" outlineLevel="0" collapsed="false">
      <c r="A81" s="6"/>
      <c r="B81" s="6"/>
      <c r="C81" s="6"/>
      <c r="D81" s="6"/>
      <c r="E81" s="6"/>
      <c r="F81" s="6"/>
      <c r="G81" s="6"/>
      <c r="H81" s="6"/>
    </row>
    <row r="82" customFormat="false" ht="15" hidden="false" customHeight="true" outlineLevel="0" collapsed="false">
      <c r="A82" s="6"/>
      <c r="B82" s="6"/>
      <c r="C82" s="6"/>
      <c r="D82" s="6"/>
      <c r="E82" s="6"/>
      <c r="F82" s="6"/>
      <c r="G82" s="6"/>
      <c r="H82" s="6"/>
    </row>
    <row r="83" customFormat="false" ht="15" hidden="false" customHeight="true" outlineLevel="0" collapsed="false">
      <c r="A83" s="6"/>
      <c r="B83" s="6"/>
      <c r="C83" s="6"/>
      <c r="D83" s="6"/>
      <c r="E83" s="6"/>
      <c r="F83" s="6"/>
      <c r="G83" s="6"/>
      <c r="H83" s="6"/>
    </row>
    <row r="84" customFormat="false" ht="15" hidden="false" customHeight="true" outlineLevel="0" collapsed="false">
      <c r="A84" s="6"/>
      <c r="B84" s="6"/>
      <c r="C84" s="6"/>
      <c r="D84" s="6"/>
      <c r="E84" s="6"/>
      <c r="F84" s="6"/>
      <c r="G84" s="6"/>
      <c r="H84" s="6"/>
    </row>
    <row r="85" customFormat="false" ht="15" hidden="false" customHeight="true" outlineLevel="0" collapsed="false">
      <c r="A85" s="6"/>
      <c r="B85" s="6"/>
      <c r="C85" s="6"/>
      <c r="D85" s="6"/>
      <c r="E85" s="6"/>
      <c r="F85" s="6"/>
      <c r="G85" s="6"/>
      <c r="H85" s="6"/>
    </row>
    <row r="86" customFormat="false" ht="15" hidden="false" customHeight="true" outlineLevel="0" collapsed="false">
      <c r="A86" s="6"/>
      <c r="B86" s="6"/>
      <c r="C86" s="6"/>
      <c r="D86" s="6"/>
      <c r="E86" s="6"/>
      <c r="F86" s="6"/>
      <c r="G86" s="6"/>
      <c r="H86" s="6"/>
    </row>
    <row r="87" customFormat="false" ht="15" hidden="false" customHeight="true" outlineLevel="0" collapsed="false">
      <c r="A87" s="6"/>
      <c r="B87" s="6"/>
      <c r="C87" s="6"/>
      <c r="D87" s="6"/>
      <c r="E87" s="6"/>
      <c r="F87" s="6"/>
      <c r="G87" s="6"/>
      <c r="H87" s="6"/>
    </row>
    <row r="88" customFormat="false" ht="15" hidden="false" customHeight="true" outlineLevel="0" collapsed="false">
      <c r="A88" s="6"/>
      <c r="B88" s="6"/>
      <c r="C88" s="6"/>
      <c r="D88" s="6"/>
      <c r="E88" s="6"/>
      <c r="F88" s="6"/>
      <c r="G88" s="6"/>
      <c r="H88" s="6"/>
    </row>
    <row r="89" customFormat="false" ht="15" hidden="false" customHeight="true" outlineLevel="0" collapsed="false">
      <c r="A89" s="6"/>
      <c r="B89" s="6"/>
      <c r="C89" s="6"/>
      <c r="D89" s="6"/>
      <c r="E89" s="6"/>
      <c r="F89" s="6"/>
      <c r="G89" s="6"/>
      <c r="H89" s="6"/>
    </row>
    <row r="90" customFormat="false" ht="15" hidden="false" customHeight="true" outlineLevel="0" collapsed="false">
      <c r="A90" s="6"/>
      <c r="B90" s="6"/>
      <c r="C90" s="6"/>
      <c r="D90" s="6"/>
      <c r="E90" s="6"/>
      <c r="F90" s="6"/>
      <c r="G90" s="6"/>
      <c r="H90" s="6"/>
    </row>
    <row r="91" customFormat="false" ht="15" hidden="false" customHeight="true" outlineLevel="0" collapsed="false">
      <c r="A91" s="6"/>
      <c r="B91" s="6"/>
      <c r="C91" s="6"/>
      <c r="D91" s="6"/>
      <c r="E91" s="6"/>
      <c r="F91" s="6"/>
      <c r="G91" s="6"/>
      <c r="H91" s="6"/>
    </row>
    <row r="92" customFormat="false" ht="15" hidden="false" customHeight="true" outlineLevel="0" collapsed="false">
      <c r="A92" s="6"/>
      <c r="B92" s="6"/>
      <c r="C92" s="6"/>
      <c r="D92" s="6"/>
      <c r="E92" s="6"/>
      <c r="F92" s="6"/>
      <c r="G92" s="6"/>
      <c r="H92" s="6"/>
    </row>
    <row r="93" customFormat="false" ht="15" hidden="false" customHeight="true" outlineLevel="0" collapsed="false">
      <c r="A93" s="6"/>
      <c r="B93" s="6"/>
      <c r="C93" s="6"/>
      <c r="D93" s="6"/>
      <c r="E93" s="6"/>
      <c r="F93" s="6"/>
      <c r="G93" s="6"/>
      <c r="H93" s="6"/>
    </row>
    <row r="94" customFormat="false" ht="15" hidden="false" customHeight="true" outlineLevel="0" collapsed="false">
      <c r="A94" s="6"/>
      <c r="B94" s="6"/>
      <c r="C94" s="6"/>
      <c r="D94" s="6"/>
      <c r="E94" s="6"/>
      <c r="F94" s="6"/>
      <c r="G94" s="6"/>
      <c r="H94" s="6"/>
    </row>
    <row r="95" customFormat="false" ht="15" hidden="false" customHeight="true" outlineLevel="0" collapsed="false">
      <c r="A95" s="6"/>
      <c r="B95" s="6"/>
      <c r="C95" s="6"/>
      <c r="D95" s="6"/>
      <c r="E95" s="6"/>
      <c r="F95" s="6"/>
      <c r="G95" s="6"/>
      <c r="H95" s="6"/>
    </row>
    <row r="96" customFormat="false" ht="15" hidden="false" customHeight="true" outlineLevel="0" collapsed="false">
      <c r="A96" s="6"/>
      <c r="B96" s="6"/>
      <c r="C96" s="6"/>
      <c r="D96" s="6"/>
      <c r="E96" s="6"/>
      <c r="F96" s="6"/>
      <c r="G96" s="6"/>
      <c r="H96" s="6"/>
    </row>
    <row r="97" customFormat="false" ht="15" hidden="false" customHeight="true" outlineLevel="0" collapsed="false">
      <c r="A97" s="6"/>
      <c r="B97" s="6"/>
      <c r="C97" s="6"/>
      <c r="D97" s="6"/>
      <c r="E97" s="6"/>
      <c r="F97" s="6"/>
      <c r="G97" s="6"/>
      <c r="H97" s="6"/>
    </row>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dataValidations count="4">
    <dataValidation allowBlank="true" errorStyle="stop" operator="between" showDropDown="false" showErrorMessage="false" showInputMessage="false" sqref="D5:D500" type="list">
      <formula1>"Aset,Liabiliti,Ekuiti,Hasil,Perbelanjaan"</formula1>
      <formula2>0</formula2>
    </dataValidation>
    <dataValidation allowBlank="true" errorStyle="stop" operator="between" showDropDown="false" showErrorMessage="false" showInputMessage="false" sqref="G5:G500" type="list">
      <formula1>"Aktif,Tidak Aktif"</formula1>
      <formula2>0</formula2>
    </dataValidation>
    <dataValidation allowBlank="true" errorStyle="stop" operator="between" showDropDown="false" showErrorMessage="false" showInputMessage="false" sqref="F5:F500" type="list">
      <formula1>"Operasi,Pelaburan,Pembiayaan,Tidak Berkaitan"</formula1>
      <formula2>0</formula2>
    </dataValidation>
    <dataValidation allowBlank="true" errorStyle="stop" operator="between" showDropDown="false" showErrorMessage="false" showInputMessage="false" sqref="I5:I150" type="list">
      <formula1>"Semasa,Bukan Semasa"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B6" activeCellId="0" sqref="B6"/>
    </sheetView>
  </sheetViews>
  <sheetFormatPr defaultColWidth="14.43359375" defaultRowHeight="15" zeroHeight="false" outlineLevelRow="0" outlineLevelCol="0"/>
  <cols>
    <col collapsed="false" customWidth="true" hidden="false" outlineLevel="0" max="1" min="1" style="1" width="12"/>
    <col collapsed="false" customWidth="true" hidden="false" outlineLevel="0" max="2" min="2" style="1" width="34"/>
    <col collapsed="false" customWidth="true" hidden="false" outlineLevel="0" max="3" min="3" style="1" width="14"/>
    <col collapsed="false" customWidth="true" hidden="false" outlineLevel="0" max="5" min="4" style="1" width="16"/>
    <col collapsed="false" customWidth="true" hidden="false" outlineLevel="0" max="6" min="6" style="1" width="10"/>
    <col collapsed="false" customWidth="true" hidden="false" outlineLevel="0" max="26" min="7" style="1" width="8.71"/>
  </cols>
  <sheetData>
    <row r="1" customFormat="false" ht="17.25" hidden="false" customHeight="true" outlineLevel="0" collapsed="false">
      <c r="A1" s="9" t="s">
        <v>406</v>
      </c>
    </row>
    <row r="2" customFormat="false" ht="48" hidden="false" customHeight="true" outlineLevel="0" collapsed="false">
      <c r="A2" s="26" t="s">
        <v>407</v>
      </c>
    </row>
    <row r="3" customFormat="false" ht="15" hidden="false" customHeight="true" outlineLevel="0" collapsed="false"/>
    <row r="4" customFormat="false" ht="25.5" hidden="false" customHeight="true" outlineLevel="0" collapsed="false">
      <c r="A4" s="11" t="s">
        <v>267</v>
      </c>
      <c r="B4" s="11" t="s">
        <v>408</v>
      </c>
      <c r="C4" s="11" t="s">
        <v>409</v>
      </c>
      <c r="D4" s="11" t="s">
        <v>95</v>
      </c>
      <c r="E4" s="11" t="s">
        <v>98</v>
      </c>
      <c r="F4" s="11" t="s">
        <v>273</v>
      </c>
    </row>
    <row r="5" customFormat="false" ht="15" hidden="false" customHeight="true" outlineLevel="0" collapsed="false">
      <c r="A5" s="27"/>
      <c r="B5" s="24" t="str">
        <f aca="false" t="array" ref="B5:B5">IFERROR(INDEX(Akaun!$C$5:$C$150,MATCH(A5,Akaun!$A$5:$A$150,0)),"")</f>
        <v/>
      </c>
      <c r="C5" s="24" t="str">
        <f aca="false" t="array" ref="C5:C5">IFERROR(INDEX(Akaun!$D$5:$D$150,MATCH(A5,Akaun!$A$5:$A$150,0)),"")</f>
        <v/>
      </c>
      <c r="D5" s="27"/>
      <c r="E5" s="27"/>
      <c r="F5" s="27"/>
    </row>
    <row r="6" customFormat="false" ht="15" hidden="false" customHeight="true" outlineLevel="0" collapsed="false">
      <c r="A6" s="27"/>
      <c r="B6" s="24" t="str">
        <f aca="false" t="array" ref="B6:B6">IFERROR(INDEX(Akaun!$C$5:$C$150,MATCH(A6,Akaun!$A$5:$A$150,0)),"")</f>
        <v/>
      </c>
      <c r="C6" s="24" t="str">
        <f aca="false" t="array" ref="C6:C6">IFERROR(INDEX(Akaun!$D$5:$D$150,MATCH(A6,Akaun!$A$5:$A$150,0)),"")</f>
        <v/>
      </c>
      <c r="D6" s="27"/>
      <c r="E6" s="27"/>
      <c r="F6" s="27"/>
    </row>
    <row r="7" customFormat="false" ht="15" hidden="false" customHeight="true" outlineLevel="0" collapsed="false">
      <c r="A7" s="27"/>
      <c r="B7" s="24" t="str">
        <f aca="false" t="array" ref="B7:B7">IFERROR(INDEX(Akaun!$C$5:$C$150,MATCH(A7,Akaun!$A$5:$A$150,0)),"")</f>
        <v/>
      </c>
      <c r="C7" s="24" t="str">
        <f aca="false" t="array" ref="C7:C7">IFERROR(INDEX(Akaun!$D$5:$D$150,MATCH(A7,Akaun!$A$5:$A$150,0)),"")</f>
        <v/>
      </c>
      <c r="D7" s="27"/>
      <c r="E7" s="27"/>
      <c r="F7" s="27"/>
    </row>
    <row r="8" customFormat="false" ht="15" hidden="false" customHeight="true" outlineLevel="0" collapsed="false">
      <c r="A8" s="27"/>
      <c r="B8" s="24" t="str">
        <f aca="false" t="array" ref="B8:B8">IFERROR(INDEX(Akaun!$C$5:$C$150,MATCH(A8,Akaun!$A$5:$A$150,0)),"")</f>
        <v/>
      </c>
      <c r="C8" s="24" t="str">
        <f aca="false" t="array" ref="C8:C8">IFERROR(INDEX(Akaun!$D$5:$D$150,MATCH(A8,Akaun!$A$5:$A$150,0)),"")</f>
        <v/>
      </c>
      <c r="D8" s="27"/>
      <c r="E8" s="27"/>
      <c r="F8" s="27"/>
    </row>
    <row r="9" customFormat="false" ht="15" hidden="false" customHeight="true" outlineLevel="0" collapsed="false">
      <c r="A9" s="27"/>
      <c r="B9" s="24" t="str">
        <f aca="false" t="array" ref="B9:B9">IFERROR(INDEX(Akaun!$C$5:$C$150,MATCH(A9,Akaun!$A$5:$A$150,0)),"")</f>
        <v/>
      </c>
      <c r="C9" s="24" t="str">
        <f aca="false" t="array" ref="C9:C9">IFERROR(INDEX(Akaun!$D$5:$D$150,MATCH(A9,Akaun!$A$5:$A$150,0)),"")</f>
        <v/>
      </c>
      <c r="D9" s="27"/>
      <c r="E9" s="27"/>
      <c r="F9" s="27"/>
    </row>
    <row r="10" customFormat="false" ht="15" hidden="false" customHeight="true" outlineLevel="0" collapsed="false">
      <c r="A10" s="27"/>
      <c r="B10" s="24" t="str">
        <f aca="false" t="array" ref="B10:B10">IFERROR(INDEX(Akaun!$C$5:$C$150,MATCH(A10,Akaun!$A$5:$A$150,0)),"")</f>
        <v/>
      </c>
      <c r="C10" s="24" t="str">
        <f aca="false" t="array" ref="C10:C10">IFERROR(INDEX(Akaun!$D$5:$D$150,MATCH(A10,Akaun!$A$5:$A$150,0)),"")</f>
        <v/>
      </c>
      <c r="D10" s="27"/>
      <c r="E10" s="27"/>
      <c r="F10" s="27"/>
    </row>
    <row r="11" customFormat="false" ht="15" hidden="false" customHeight="true" outlineLevel="0" collapsed="false">
      <c r="A11" s="27"/>
      <c r="B11" s="24" t="str">
        <f aca="false" t="array" ref="B11:B11">IFERROR(INDEX(Akaun!$C$5:$C$150,MATCH(A11,Akaun!$A$5:$A$150,0)),"")</f>
        <v/>
      </c>
      <c r="C11" s="24" t="str">
        <f aca="false" t="array" ref="C11:C11">IFERROR(INDEX(Akaun!$D$5:$D$150,MATCH(A11,Akaun!$A$5:$A$150,0)),"")</f>
        <v/>
      </c>
      <c r="D11" s="27"/>
      <c r="E11" s="27"/>
      <c r="F11" s="27"/>
    </row>
    <row r="12" customFormat="false" ht="15" hidden="false" customHeight="true" outlineLevel="0" collapsed="false">
      <c r="A12" s="27"/>
      <c r="B12" s="24" t="str">
        <f aca="false" t="array" ref="B12:B12">IFERROR(INDEX(Akaun!$C$5:$C$150,MATCH(A12,Akaun!$A$5:$A$150,0)),"")</f>
        <v/>
      </c>
      <c r="C12" s="24" t="str">
        <f aca="false" t="array" ref="C12:C12">IFERROR(INDEX(Akaun!$D$5:$D$150,MATCH(A12,Akaun!$A$5:$A$150,0)),"")</f>
        <v/>
      </c>
      <c r="D12" s="27"/>
      <c r="E12" s="27"/>
      <c r="F12" s="27"/>
    </row>
    <row r="13" customFormat="false" ht="15" hidden="false" customHeight="true" outlineLevel="0" collapsed="false">
      <c r="A13" s="27"/>
      <c r="B13" s="24" t="str">
        <f aca="false" t="array" ref="B13:B13">IFERROR(INDEX(Akaun!$C$5:$C$150,MATCH(A13,Akaun!$A$5:$A$150,0)),"")</f>
        <v/>
      </c>
      <c r="C13" s="24" t="str">
        <f aca="false" t="array" ref="C13:C13">IFERROR(INDEX(Akaun!$D$5:$D$150,MATCH(A13,Akaun!$A$5:$A$150,0)),"")</f>
        <v/>
      </c>
      <c r="D13" s="27"/>
      <c r="E13" s="27"/>
      <c r="F13" s="27"/>
    </row>
    <row r="14" customFormat="false" ht="15" hidden="false" customHeight="true" outlineLevel="0" collapsed="false">
      <c r="A14" s="27"/>
      <c r="B14" s="24" t="str">
        <f aca="false" t="array" ref="B14:B14">IFERROR(INDEX(Akaun!$C$5:$C$150,MATCH(A14,Akaun!$A$5:$A$150,0)),"")</f>
        <v/>
      </c>
      <c r="C14" s="24" t="str">
        <f aca="false" t="array" ref="C14:C14">IFERROR(INDEX(Akaun!$D$5:$D$150,MATCH(A14,Akaun!$A$5:$A$150,0)),"")</f>
        <v/>
      </c>
      <c r="D14" s="27"/>
      <c r="E14" s="27"/>
      <c r="F14" s="27"/>
    </row>
    <row r="15" customFormat="false" ht="15" hidden="false" customHeight="true" outlineLevel="0" collapsed="false">
      <c r="A15" s="27"/>
      <c r="B15" s="24" t="str">
        <f aca="false" t="array" ref="B15:B15">IFERROR(INDEX(Akaun!$C$5:$C$150,MATCH(A15,Akaun!$A$5:$A$150,0)),"")</f>
        <v/>
      </c>
      <c r="C15" s="24" t="str">
        <f aca="false" t="array" ref="C15:C15">IFERROR(INDEX(Akaun!$D$5:$D$150,MATCH(A15,Akaun!$A$5:$A$150,0)),"")</f>
        <v/>
      </c>
      <c r="D15" s="27"/>
      <c r="E15" s="27"/>
      <c r="F15" s="27"/>
    </row>
    <row r="16" customFormat="false" ht="15" hidden="false" customHeight="true" outlineLevel="0" collapsed="false">
      <c r="A16" s="27"/>
      <c r="B16" s="24" t="str">
        <f aca="false" t="array" ref="B16:B16">IFERROR(INDEX(Akaun!$C$5:$C$150,MATCH(A16,Akaun!$A$5:$A$150,0)),"")</f>
        <v/>
      </c>
      <c r="C16" s="24" t="str">
        <f aca="false" t="array" ref="C16:C16">IFERROR(INDEX(Akaun!$D$5:$D$150,MATCH(A16,Akaun!$A$5:$A$150,0)),"")</f>
        <v/>
      </c>
      <c r="D16" s="27"/>
      <c r="E16" s="27"/>
      <c r="F16" s="27"/>
    </row>
    <row r="17" customFormat="false" ht="15" hidden="false" customHeight="true" outlineLevel="0" collapsed="false">
      <c r="A17" s="27"/>
      <c r="B17" s="24" t="str">
        <f aca="false" t="array" ref="B17:B17">IFERROR(INDEX(Akaun!$C$5:$C$150,MATCH(A17,Akaun!$A$5:$A$150,0)),"")</f>
        <v/>
      </c>
      <c r="C17" s="24" t="str">
        <f aca="false" t="array" ref="C17:C17">IFERROR(INDEX(Akaun!$D$5:$D$150,MATCH(A17,Akaun!$A$5:$A$150,0)),"")</f>
        <v/>
      </c>
      <c r="D17" s="27"/>
      <c r="E17" s="27"/>
      <c r="F17" s="27"/>
    </row>
    <row r="18" customFormat="false" ht="15" hidden="false" customHeight="true" outlineLevel="0" collapsed="false">
      <c r="A18" s="27"/>
      <c r="B18" s="24" t="str">
        <f aca="false" t="array" ref="B18:B18">IFERROR(INDEX(Akaun!$C$5:$C$150,MATCH(A18,Akaun!$A$5:$A$150,0)),"")</f>
        <v/>
      </c>
      <c r="C18" s="24" t="str">
        <f aca="false" t="array" ref="C18:C18">IFERROR(INDEX(Akaun!$D$5:$D$150,MATCH(A18,Akaun!$A$5:$A$150,0)),"")</f>
        <v/>
      </c>
      <c r="D18" s="27"/>
      <c r="E18" s="27"/>
      <c r="F18" s="27"/>
    </row>
    <row r="19" customFormat="false" ht="15" hidden="false" customHeight="true" outlineLevel="0" collapsed="false">
      <c r="A19" s="27"/>
      <c r="B19" s="24" t="str">
        <f aca="false" t="array" ref="B19:B19">IFERROR(INDEX(Akaun!$C$5:$C$150,MATCH(A19,Akaun!$A$5:$A$150,0)),"")</f>
        <v/>
      </c>
      <c r="C19" s="24" t="str">
        <f aca="false" t="array" ref="C19:C19">IFERROR(INDEX(Akaun!$D$5:$D$150,MATCH(A19,Akaun!$A$5:$A$150,0)),"")</f>
        <v/>
      </c>
      <c r="D19" s="27"/>
      <c r="E19" s="27"/>
      <c r="F19" s="27"/>
    </row>
    <row r="20" customFormat="false" ht="15" hidden="false" customHeight="true" outlineLevel="0" collapsed="false">
      <c r="A20" s="27"/>
      <c r="B20" s="24" t="str">
        <f aca="false" t="array" ref="B20:B20">IFERROR(INDEX(Akaun!$C$5:$C$150,MATCH(A20,Akaun!$A$5:$A$150,0)),"")</f>
        <v/>
      </c>
      <c r="C20" s="24" t="str">
        <f aca="false" t="array" ref="C20:C20">IFERROR(INDEX(Akaun!$D$5:$D$150,MATCH(A20,Akaun!$A$5:$A$150,0)),"")</f>
        <v/>
      </c>
      <c r="D20" s="27"/>
      <c r="E20" s="27"/>
      <c r="F20" s="27"/>
    </row>
    <row r="21" customFormat="false" ht="15" hidden="false" customHeight="true" outlineLevel="0" collapsed="false">
      <c r="A21" s="27"/>
      <c r="B21" s="24" t="str">
        <f aca="false" t="array" ref="B21:B21">IFERROR(INDEX(Akaun!$C$5:$C$150,MATCH(A21,Akaun!$A$5:$A$150,0)),"")</f>
        <v/>
      </c>
      <c r="C21" s="24" t="str">
        <f aca="false" t="array" ref="C21:C21">IFERROR(INDEX(Akaun!$D$5:$D$150,MATCH(A21,Akaun!$A$5:$A$150,0)),"")</f>
        <v/>
      </c>
      <c r="D21" s="27"/>
      <c r="E21" s="27"/>
      <c r="F21" s="27"/>
    </row>
    <row r="22" customFormat="false" ht="15" hidden="false" customHeight="true" outlineLevel="0" collapsed="false">
      <c r="A22" s="27"/>
      <c r="B22" s="24" t="str">
        <f aca="false" t="array" ref="B22:B22">IFERROR(INDEX(Akaun!$C$5:$C$150,MATCH(A22,Akaun!$A$5:$A$150,0)),"")</f>
        <v/>
      </c>
      <c r="C22" s="24" t="str">
        <f aca="false" t="array" ref="C22:C22">IFERROR(INDEX(Akaun!$D$5:$D$150,MATCH(A22,Akaun!$A$5:$A$150,0)),"")</f>
        <v/>
      </c>
      <c r="D22" s="27"/>
      <c r="E22" s="27"/>
      <c r="F22" s="27"/>
    </row>
    <row r="23" customFormat="false" ht="15" hidden="false" customHeight="true" outlineLevel="0" collapsed="false">
      <c r="A23" s="27"/>
      <c r="B23" s="24" t="str">
        <f aca="false" t="array" ref="B23:B23">IFERROR(INDEX(Akaun!$C$5:$C$150,MATCH(A23,Akaun!$A$5:$A$150,0)),"")</f>
        <v/>
      </c>
      <c r="C23" s="24" t="str">
        <f aca="false" t="array" ref="C23:C23">IFERROR(INDEX(Akaun!$D$5:$D$150,MATCH(A23,Akaun!$A$5:$A$150,0)),"")</f>
        <v/>
      </c>
      <c r="D23" s="27"/>
      <c r="E23" s="27"/>
      <c r="F23" s="27"/>
    </row>
    <row r="24" customFormat="false" ht="15" hidden="false" customHeight="true" outlineLevel="0" collapsed="false">
      <c r="A24" s="27"/>
      <c r="B24" s="24" t="str">
        <f aca="false" t="array" ref="B24:B24">IFERROR(INDEX(Akaun!$C$5:$C$150,MATCH(A24,Akaun!$A$5:$A$150,0)),"")</f>
        <v/>
      </c>
      <c r="C24" s="24" t="str">
        <f aca="false" t="array" ref="C24:C24">IFERROR(INDEX(Akaun!$D$5:$D$150,MATCH(A24,Akaun!$A$5:$A$150,0)),"")</f>
        <v/>
      </c>
      <c r="D24" s="27"/>
      <c r="E24" s="27"/>
      <c r="F24" s="27"/>
    </row>
    <row r="25" customFormat="false" ht="15" hidden="false" customHeight="true" outlineLevel="0" collapsed="false">
      <c r="A25" s="27"/>
      <c r="B25" s="24" t="str">
        <f aca="false" t="array" ref="B25:B25">IFERROR(INDEX(Akaun!$C$5:$C$150,MATCH(A25,Akaun!$A$5:$A$150,0)),"")</f>
        <v/>
      </c>
      <c r="C25" s="24" t="str">
        <f aca="false" t="array" ref="C25:C25">IFERROR(INDEX(Akaun!$D$5:$D$150,MATCH(A25,Akaun!$A$5:$A$150,0)),"")</f>
        <v/>
      </c>
      <c r="D25" s="27"/>
      <c r="E25" s="27"/>
      <c r="F25" s="27"/>
    </row>
    <row r="26" customFormat="false" ht="15" hidden="false" customHeight="true" outlineLevel="0" collapsed="false">
      <c r="A26" s="27"/>
      <c r="B26" s="24" t="str">
        <f aca="false" t="array" ref="B26:B26">IFERROR(INDEX(Akaun!$C$5:$C$150,MATCH(A26,Akaun!$A$5:$A$150,0)),"")</f>
        <v/>
      </c>
      <c r="C26" s="24" t="str">
        <f aca="false" t="array" ref="C26:C26">IFERROR(INDEX(Akaun!$D$5:$D$150,MATCH(A26,Akaun!$A$5:$A$150,0)),"")</f>
        <v/>
      </c>
      <c r="D26" s="27"/>
      <c r="E26" s="27"/>
      <c r="F26" s="27"/>
    </row>
    <row r="27" customFormat="false" ht="15" hidden="false" customHeight="true" outlineLevel="0" collapsed="false">
      <c r="A27" s="27"/>
      <c r="B27" s="24" t="str">
        <f aca="false" t="array" ref="B27:B27">IFERROR(INDEX(Akaun!$C$5:$C$150,MATCH(A27,Akaun!$A$5:$A$150,0)),"")</f>
        <v/>
      </c>
      <c r="C27" s="24" t="str">
        <f aca="false" t="array" ref="C27:C27">IFERROR(INDEX(Akaun!$D$5:$D$150,MATCH(A27,Akaun!$A$5:$A$150,0)),"")</f>
        <v/>
      </c>
      <c r="D27" s="27"/>
      <c r="E27" s="27"/>
      <c r="F27" s="27"/>
    </row>
    <row r="28" customFormat="false" ht="15" hidden="false" customHeight="true" outlineLevel="0" collapsed="false">
      <c r="A28" s="27"/>
      <c r="B28" s="24" t="str">
        <f aca="false" t="array" ref="B28:B28">IFERROR(INDEX(Akaun!$C$5:$C$150,MATCH(A28,Akaun!$A$5:$A$150,0)),"")</f>
        <v/>
      </c>
      <c r="C28" s="24" t="str">
        <f aca="false" t="array" ref="C28:C28">IFERROR(INDEX(Akaun!$D$5:$D$150,MATCH(A28,Akaun!$A$5:$A$150,0)),"")</f>
        <v/>
      </c>
      <c r="D28" s="27"/>
      <c r="E28" s="27"/>
      <c r="F28" s="27"/>
    </row>
    <row r="29" customFormat="false" ht="15" hidden="false" customHeight="true" outlineLevel="0" collapsed="false">
      <c r="A29" s="27"/>
      <c r="B29" s="24" t="str">
        <f aca="false" t="array" ref="B29:B29">IFERROR(INDEX(Akaun!$C$5:$C$150,MATCH(A29,Akaun!$A$5:$A$150,0)),"")</f>
        <v/>
      </c>
      <c r="C29" s="24" t="str">
        <f aca="false" t="array" ref="C29:C29">IFERROR(INDEX(Akaun!$D$5:$D$150,MATCH(A29,Akaun!$A$5:$A$150,0)),"")</f>
        <v/>
      </c>
      <c r="D29" s="27"/>
      <c r="E29" s="27"/>
      <c r="F29" s="27"/>
    </row>
    <row r="30" customFormat="false" ht="15" hidden="false" customHeight="true" outlineLevel="0" collapsed="false">
      <c r="A30" s="27"/>
      <c r="B30" s="24" t="str">
        <f aca="false" t="array" ref="B30:B30">IFERROR(INDEX(Akaun!$C$5:$C$150,MATCH(A30,Akaun!$A$5:$A$150,0)),"")</f>
        <v/>
      </c>
      <c r="C30" s="24" t="str">
        <f aca="false" t="array" ref="C30:C30">IFERROR(INDEX(Akaun!$D$5:$D$150,MATCH(A30,Akaun!$A$5:$A$150,0)),"")</f>
        <v/>
      </c>
      <c r="D30" s="27"/>
      <c r="E30" s="27"/>
      <c r="F30" s="27"/>
    </row>
    <row r="31" customFormat="false" ht="15" hidden="false" customHeight="true" outlineLevel="0" collapsed="false">
      <c r="A31" s="27"/>
      <c r="B31" s="24" t="str">
        <f aca="false" t="array" ref="B31:B31">IFERROR(INDEX(Akaun!$C$5:$C$150,MATCH(A31,Akaun!$A$5:$A$150,0)),"")</f>
        <v/>
      </c>
      <c r="C31" s="24" t="str">
        <f aca="false" t="array" ref="C31:C31">IFERROR(INDEX(Akaun!$D$5:$D$150,MATCH(A31,Akaun!$A$5:$A$150,0)),"")</f>
        <v/>
      </c>
      <c r="D31" s="27"/>
      <c r="E31" s="27"/>
      <c r="F31" s="27"/>
    </row>
    <row r="32" customFormat="false" ht="15" hidden="false" customHeight="true" outlineLevel="0" collapsed="false">
      <c r="A32" s="27"/>
      <c r="B32" s="24" t="str">
        <f aca="false" t="array" ref="B32:B32">IFERROR(INDEX(Akaun!$C$5:$C$150,MATCH(A32,Akaun!$A$5:$A$150,0)),"")</f>
        <v/>
      </c>
      <c r="C32" s="24" t="str">
        <f aca="false" t="array" ref="C32:C32">IFERROR(INDEX(Akaun!$D$5:$D$150,MATCH(A32,Akaun!$A$5:$A$150,0)),"")</f>
        <v/>
      </c>
      <c r="D32" s="27"/>
      <c r="E32" s="27"/>
      <c r="F32" s="27"/>
    </row>
    <row r="33" customFormat="false" ht="15" hidden="false" customHeight="true" outlineLevel="0" collapsed="false">
      <c r="A33" s="27"/>
      <c r="B33" s="24" t="str">
        <f aca="false" t="array" ref="B33:B33">IFERROR(INDEX(Akaun!$C$5:$C$150,MATCH(A33,Akaun!$A$5:$A$150,0)),"")</f>
        <v/>
      </c>
      <c r="C33" s="24" t="str">
        <f aca="false" t="array" ref="C33:C33">IFERROR(INDEX(Akaun!$D$5:$D$150,MATCH(A33,Akaun!$A$5:$A$150,0)),"")</f>
        <v/>
      </c>
      <c r="D33" s="27"/>
      <c r="E33" s="27"/>
      <c r="F33" s="27"/>
    </row>
    <row r="34" customFormat="false" ht="15" hidden="false" customHeight="true" outlineLevel="0" collapsed="false">
      <c r="A34" s="27"/>
      <c r="B34" s="24" t="str">
        <f aca="false" t="array" ref="B34:B34">IFERROR(INDEX(Akaun!$C$5:$C$150,MATCH(A34,Akaun!$A$5:$A$150,0)),"")</f>
        <v/>
      </c>
      <c r="C34" s="24" t="str">
        <f aca="false" t="array" ref="C34:C34">IFERROR(INDEX(Akaun!$D$5:$D$150,MATCH(A34,Akaun!$A$5:$A$150,0)),"")</f>
        <v/>
      </c>
      <c r="D34" s="27"/>
      <c r="E34" s="27"/>
      <c r="F34" s="27"/>
    </row>
    <row r="35" customFormat="false" ht="15" hidden="false" customHeight="true" outlineLevel="0" collapsed="false">
      <c r="A35" s="27"/>
      <c r="B35" s="24" t="str">
        <f aca="false" t="array" ref="B35:B35">IFERROR(INDEX(Akaun!$C$5:$C$150,MATCH(A35,Akaun!$A$5:$A$150,0)),"")</f>
        <v/>
      </c>
      <c r="C35" s="24" t="str">
        <f aca="false" t="array" ref="C35:C35">IFERROR(INDEX(Akaun!$D$5:$D$150,MATCH(A35,Akaun!$A$5:$A$150,0)),"")</f>
        <v/>
      </c>
      <c r="D35" s="27"/>
      <c r="E35" s="27"/>
      <c r="F35" s="27"/>
    </row>
    <row r="36" customFormat="false" ht="15" hidden="false" customHeight="true" outlineLevel="0" collapsed="false">
      <c r="A36" s="27"/>
      <c r="B36" s="24" t="str">
        <f aca="false" t="array" ref="B36:B36">IFERROR(INDEX(Akaun!$C$5:$C$150,MATCH(A36,Akaun!$A$5:$A$150,0)),"")</f>
        <v/>
      </c>
      <c r="C36" s="24" t="str">
        <f aca="false" t="array" ref="C36:C36">IFERROR(INDEX(Akaun!$D$5:$D$150,MATCH(A36,Akaun!$A$5:$A$150,0)),"")</f>
        <v/>
      </c>
      <c r="D36" s="27"/>
      <c r="E36" s="27"/>
      <c r="F36" s="27"/>
    </row>
    <row r="37" customFormat="false" ht="15" hidden="false" customHeight="true" outlineLevel="0" collapsed="false">
      <c r="A37" s="27"/>
      <c r="B37" s="24" t="str">
        <f aca="false" t="array" ref="B37:B37">IFERROR(INDEX(Akaun!$C$5:$C$150,MATCH(A37,Akaun!$A$5:$A$150,0)),"")</f>
        <v/>
      </c>
      <c r="C37" s="24" t="str">
        <f aca="false" t="array" ref="C37:C37">IFERROR(INDEX(Akaun!$D$5:$D$150,MATCH(A37,Akaun!$A$5:$A$150,0)),"")</f>
        <v/>
      </c>
      <c r="D37" s="27"/>
      <c r="E37" s="27"/>
      <c r="F37" s="27"/>
    </row>
    <row r="38" customFormat="false" ht="15" hidden="false" customHeight="true" outlineLevel="0" collapsed="false">
      <c r="A38" s="27"/>
      <c r="B38" s="24" t="str">
        <f aca="false" t="array" ref="B38:B38">IFERROR(INDEX(Akaun!$C$5:$C$150,MATCH(A38,Akaun!$A$5:$A$150,0)),"")</f>
        <v/>
      </c>
      <c r="C38" s="24" t="str">
        <f aca="false" t="array" ref="C38:C38">IFERROR(INDEX(Akaun!$D$5:$D$150,MATCH(A38,Akaun!$A$5:$A$150,0)),"")</f>
        <v/>
      </c>
      <c r="D38" s="27"/>
      <c r="E38" s="27"/>
      <c r="F38" s="27"/>
    </row>
    <row r="39" customFormat="false" ht="15" hidden="false" customHeight="true" outlineLevel="0" collapsed="false">
      <c r="A39" s="27"/>
      <c r="B39" s="24" t="str">
        <f aca="false" t="array" ref="B39:B39">IFERROR(INDEX(Akaun!$C$5:$C$150,MATCH(A39,Akaun!$A$5:$A$150,0)),"")</f>
        <v/>
      </c>
      <c r="C39" s="24" t="str">
        <f aca="false" t="array" ref="C39:C39">IFERROR(INDEX(Akaun!$D$5:$D$150,MATCH(A39,Akaun!$A$5:$A$150,0)),"")</f>
        <v/>
      </c>
      <c r="D39" s="27"/>
      <c r="E39" s="27"/>
      <c r="F39" s="27"/>
    </row>
    <row r="40" customFormat="false" ht="15" hidden="false" customHeight="true" outlineLevel="0" collapsed="false">
      <c r="A40" s="27"/>
      <c r="B40" s="24" t="str">
        <f aca="false" t="array" ref="B40:B40">IFERROR(INDEX(Akaun!$C$5:$C$150,MATCH(A40,Akaun!$A$5:$A$150,0)),"")</f>
        <v/>
      </c>
      <c r="C40" s="24" t="str">
        <f aca="false" t="array" ref="C40:C40">IFERROR(INDEX(Akaun!$D$5:$D$150,MATCH(A40,Akaun!$A$5:$A$150,0)),"")</f>
        <v/>
      </c>
      <c r="D40" s="27"/>
      <c r="E40" s="27"/>
      <c r="F40" s="27"/>
    </row>
    <row r="41" customFormat="false" ht="15" hidden="false" customHeight="true" outlineLevel="0" collapsed="false">
      <c r="A41" s="27"/>
      <c r="B41" s="24" t="str">
        <f aca="false" t="array" ref="B41:B41">IFERROR(INDEX(Akaun!$C$5:$C$150,MATCH(A41,Akaun!$A$5:$A$150,0)),"")</f>
        <v/>
      </c>
      <c r="C41" s="24" t="str">
        <f aca="false" t="array" ref="C41:C41">IFERROR(INDEX(Akaun!$D$5:$D$150,MATCH(A41,Akaun!$A$5:$A$150,0)),"")</f>
        <v/>
      </c>
      <c r="D41" s="27"/>
      <c r="E41" s="27"/>
      <c r="F41" s="27"/>
    </row>
    <row r="42" customFormat="false" ht="15" hidden="false" customHeight="true" outlineLevel="0" collapsed="false">
      <c r="A42" s="27"/>
      <c r="B42" s="24" t="str">
        <f aca="false" t="array" ref="B42:B42">IFERROR(INDEX(Akaun!$C$5:$C$150,MATCH(A42,Akaun!$A$5:$A$150,0)),"")</f>
        <v/>
      </c>
      <c r="C42" s="24" t="str">
        <f aca="false" t="array" ref="C42:C42">IFERROR(INDEX(Akaun!$D$5:$D$150,MATCH(A42,Akaun!$A$5:$A$150,0)),"")</f>
        <v/>
      </c>
      <c r="D42" s="27"/>
      <c r="E42" s="27"/>
      <c r="F42" s="27"/>
    </row>
    <row r="43" customFormat="false" ht="15" hidden="false" customHeight="true" outlineLevel="0" collapsed="false">
      <c r="A43" s="27"/>
      <c r="B43" s="24" t="str">
        <f aca="false" t="array" ref="B43:B43">IFERROR(INDEX(Akaun!$C$5:$C$150,MATCH(A43,Akaun!$A$5:$A$150,0)),"")</f>
        <v/>
      </c>
      <c r="C43" s="24" t="str">
        <f aca="false" t="array" ref="C43:C43">IFERROR(INDEX(Akaun!$D$5:$D$150,MATCH(A43,Akaun!$A$5:$A$150,0)),"")</f>
        <v/>
      </c>
      <c r="D43" s="27"/>
      <c r="E43" s="27"/>
      <c r="F43" s="27"/>
    </row>
    <row r="44" customFormat="false" ht="15" hidden="false" customHeight="true" outlineLevel="0" collapsed="false">
      <c r="A44" s="27"/>
      <c r="B44" s="24" t="str">
        <f aca="false" t="array" ref="B44:B44">IFERROR(INDEX(Akaun!$C$5:$C$150,MATCH(A44,Akaun!$A$5:$A$150,0)),"")</f>
        <v/>
      </c>
      <c r="C44" s="24" t="str">
        <f aca="false" t="array" ref="C44:C44">IFERROR(INDEX(Akaun!$D$5:$D$150,MATCH(A44,Akaun!$A$5:$A$150,0)),"")</f>
        <v/>
      </c>
      <c r="D44" s="27"/>
      <c r="E44" s="27"/>
      <c r="F44" s="27"/>
    </row>
    <row r="45" customFormat="false" ht="15" hidden="false" customHeight="true" outlineLevel="0" collapsed="false">
      <c r="A45" s="27"/>
      <c r="B45" s="24" t="str">
        <f aca="false" t="array" ref="B45:B45">IFERROR(INDEX(Akaun!$C$5:$C$150,MATCH(A45,Akaun!$A$5:$A$150,0)),"")</f>
        <v/>
      </c>
      <c r="C45" s="24" t="str">
        <f aca="false" t="array" ref="C45:C45">IFERROR(INDEX(Akaun!$D$5:$D$150,MATCH(A45,Akaun!$A$5:$A$150,0)),"")</f>
        <v/>
      </c>
      <c r="D45" s="27"/>
      <c r="E45" s="27"/>
      <c r="F45" s="27"/>
    </row>
    <row r="46" customFormat="false" ht="15" hidden="false" customHeight="true" outlineLevel="0" collapsed="false">
      <c r="A46" s="27"/>
      <c r="B46" s="24" t="str">
        <f aca="false" t="array" ref="B46:B46">IFERROR(INDEX(Akaun!$C$5:$C$150,MATCH(A46,Akaun!$A$5:$A$150,0)),"")</f>
        <v/>
      </c>
      <c r="C46" s="24" t="str">
        <f aca="false" t="array" ref="C46:C46">IFERROR(INDEX(Akaun!$D$5:$D$150,MATCH(A46,Akaun!$A$5:$A$150,0)),"")</f>
        <v/>
      </c>
      <c r="D46" s="27"/>
      <c r="E46" s="27"/>
      <c r="F46" s="27"/>
    </row>
    <row r="47" customFormat="false" ht="15" hidden="false" customHeight="true" outlineLevel="0" collapsed="false">
      <c r="A47" s="27"/>
      <c r="B47" s="24" t="str">
        <f aca="false" t="array" ref="B47:B47">IFERROR(INDEX(Akaun!$C$5:$C$150,MATCH(A47,Akaun!$A$5:$A$150,0)),"")</f>
        <v/>
      </c>
      <c r="C47" s="24" t="str">
        <f aca="false" t="array" ref="C47:C47">IFERROR(INDEX(Akaun!$D$5:$D$150,MATCH(A47,Akaun!$A$5:$A$150,0)),"")</f>
        <v/>
      </c>
      <c r="D47" s="27"/>
      <c r="E47" s="27"/>
      <c r="F47" s="27"/>
    </row>
    <row r="48" customFormat="false" ht="15" hidden="false" customHeight="true" outlineLevel="0" collapsed="false">
      <c r="A48" s="27"/>
      <c r="B48" s="24" t="str">
        <f aca="false" t="array" ref="B48:B48">IFERROR(INDEX(Akaun!$C$5:$C$150,MATCH(A48,Akaun!$A$5:$A$150,0)),"")</f>
        <v/>
      </c>
      <c r="C48" s="24" t="str">
        <f aca="false" t="array" ref="C48:C48">IFERROR(INDEX(Akaun!$D$5:$D$150,MATCH(A48,Akaun!$A$5:$A$150,0)),"")</f>
        <v/>
      </c>
      <c r="D48" s="27"/>
      <c r="E48" s="27"/>
      <c r="F48" s="27"/>
    </row>
    <row r="49" customFormat="false" ht="15" hidden="false" customHeight="true" outlineLevel="0" collapsed="false">
      <c r="A49" s="27"/>
      <c r="B49" s="24" t="str">
        <f aca="false" t="array" ref="B49:B49">IFERROR(INDEX(Akaun!$C$5:$C$150,MATCH(A49,Akaun!$A$5:$A$150,0)),"")</f>
        <v/>
      </c>
      <c r="C49" s="24" t="str">
        <f aca="false" t="array" ref="C49:C49">IFERROR(INDEX(Akaun!$D$5:$D$150,MATCH(A49,Akaun!$A$5:$A$150,0)),"")</f>
        <v/>
      </c>
      <c r="D49" s="27"/>
      <c r="E49" s="27"/>
      <c r="F49" s="27"/>
    </row>
    <row r="50" customFormat="false" ht="15" hidden="false" customHeight="true" outlineLevel="0" collapsed="false">
      <c r="A50" s="27"/>
      <c r="B50" s="24" t="str">
        <f aca="false" t="array" ref="B50:B50">IFERROR(INDEX(Akaun!$C$5:$C$150,MATCH(A50,Akaun!$A$5:$A$150,0)),"")</f>
        <v/>
      </c>
      <c r="C50" s="24" t="str">
        <f aca="false" t="array" ref="C50:C50">IFERROR(INDEX(Akaun!$D$5:$D$150,MATCH(A50,Akaun!$A$5:$A$150,0)),"")</f>
        <v/>
      </c>
      <c r="D50" s="27"/>
      <c r="E50" s="27"/>
      <c r="F50" s="27"/>
    </row>
    <row r="51" customFormat="false" ht="15" hidden="false" customHeight="true" outlineLevel="0" collapsed="false">
      <c r="A51" s="27"/>
      <c r="B51" s="24" t="str">
        <f aca="false" t="array" ref="B51:B51">IFERROR(INDEX(Akaun!$C$5:$C$150,MATCH(A51,Akaun!$A$5:$A$150,0)),"")</f>
        <v/>
      </c>
      <c r="C51" s="24" t="str">
        <f aca="false" t="array" ref="C51:C51">IFERROR(INDEX(Akaun!$D$5:$D$150,MATCH(A51,Akaun!$A$5:$A$150,0)),"")</f>
        <v/>
      </c>
      <c r="D51" s="27"/>
      <c r="E51" s="27"/>
      <c r="F51" s="27"/>
    </row>
    <row r="52" customFormat="false" ht="15" hidden="false" customHeight="true" outlineLevel="0" collapsed="false">
      <c r="A52" s="27"/>
      <c r="B52" s="24" t="str">
        <f aca="false" t="array" ref="B52:B52">IFERROR(INDEX(Akaun!$C$5:$C$150,MATCH(A52,Akaun!$A$5:$A$150,0)),"")</f>
        <v/>
      </c>
      <c r="C52" s="24" t="str">
        <f aca="false" t="array" ref="C52:C52">IFERROR(INDEX(Akaun!$D$5:$D$150,MATCH(A52,Akaun!$A$5:$A$150,0)),"")</f>
        <v/>
      </c>
      <c r="D52" s="27"/>
      <c r="E52" s="27"/>
      <c r="F52" s="27"/>
    </row>
    <row r="53" customFormat="false" ht="15" hidden="false" customHeight="true" outlineLevel="0" collapsed="false">
      <c r="A53" s="27"/>
      <c r="B53" s="24" t="str">
        <f aca="false" t="array" ref="B53:B53">IFERROR(INDEX(Akaun!$C$5:$C$150,MATCH(A53,Akaun!$A$5:$A$150,0)),"")</f>
        <v/>
      </c>
      <c r="C53" s="24" t="str">
        <f aca="false" t="array" ref="C53:C53">IFERROR(INDEX(Akaun!$D$5:$D$150,MATCH(A53,Akaun!$A$5:$A$150,0)),"")</f>
        <v/>
      </c>
      <c r="D53" s="27"/>
      <c r="E53" s="27"/>
      <c r="F53" s="27"/>
    </row>
    <row r="54" customFormat="false" ht="15" hidden="false" customHeight="true" outlineLevel="0" collapsed="false">
      <c r="A54" s="27"/>
      <c r="B54" s="24" t="str">
        <f aca="false" t="array" ref="B54:B54">IFERROR(INDEX(Akaun!$C$5:$C$150,MATCH(A54,Akaun!$A$5:$A$150,0)),"")</f>
        <v/>
      </c>
      <c r="C54" s="24" t="str">
        <f aca="false" t="array" ref="C54:C54">IFERROR(INDEX(Akaun!$D$5:$D$150,MATCH(A54,Akaun!$A$5:$A$150,0)),"")</f>
        <v/>
      </c>
      <c r="D54" s="27"/>
      <c r="E54" s="27"/>
      <c r="F54" s="27"/>
    </row>
    <row r="55" customFormat="false" ht="15.75" hidden="false" customHeight="true" outlineLevel="0" collapsed="false"/>
    <row r="56" customFormat="false" ht="15.75" hidden="false" customHeight="true" outlineLevel="0" collapsed="false"/>
    <row r="57" customFormat="false" ht="15" hidden="false" customHeight="true" outlineLevel="0" collapsed="false">
      <c r="A57" s="28" t="s">
        <v>410</v>
      </c>
      <c r="D57" s="29" t="n">
        <f aca="false">SUM(D5:D54)</f>
        <v>0</v>
      </c>
      <c r="E57" s="29" t="n">
        <f aca="false">SUM(E5:E54)</f>
        <v>0</v>
      </c>
    </row>
    <row r="58" customFormat="false" ht="15" hidden="false" customHeight="true" outlineLevel="0" collapsed="false">
      <c r="A58" s="1" t="s">
        <v>411</v>
      </c>
      <c r="B58" s="28" t="str">
        <f aca="false">IF(ROUND(D57-E57,2)=0,"SEIMBANG - sedia untuk pos","TIDAK SEIMBANG - beza RM"&amp;TEXT(D57-E57,"#,##0.00"))</f>
        <v>SEIMBANG - sedia untuk pos</v>
      </c>
    </row>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1" width="22"/>
    <col collapsed="false" customWidth="true" hidden="false" outlineLevel="0" max="4" min="2" style="1" width="14"/>
    <col collapsed="false" customWidth="true" hidden="false" outlineLevel="0" max="6" min="5" style="1" width="12"/>
    <col collapsed="false" customWidth="true" hidden="false" outlineLevel="0" max="7" min="7" style="1" width="14"/>
    <col collapsed="false" customWidth="true" hidden="false" outlineLevel="0" max="8" min="8" style="1" width="12"/>
    <col collapsed="false" customWidth="true" hidden="false" outlineLevel="0" max="9" min="9" style="1" width="16"/>
    <col collapsed="false" customWidth="true" hidden="false" outlineLevel="0" max="10" min="10" style="1" width="18"/>
    <col collapsed="false" customWidth="true" hidden="false" outlineLevel="0" max="11" min="11" style="1" width="16"/>
    <col collapsed="false" customWidth="true" hidden="false" outlineLevel="0" max="26" min="12" style="1" width="8.71"/>
  </cols>
  <sheetData>
    <row r="1" customFormat="false" ht="17.25" hidden="false" customHeight="true" outlineLevel="0" collapsed="false">
      <c r="A1" s="9" t="s">
        <v>412</v>
      </c>
    </row>
    <row r="2" customFormat="false" ht="39.75" hidden="false" customHeight="true" outlineLevel="0" collapsed="false">
      <c r="A2" s="26" t="s">
        <v>413</v>
      </c>
    </row>
    <row r="3" customFormat="false" ht="15" hidden="false" customHeight="true" outlineLevel="0" collapsed="false"/>
    <row r="4" customFormat="false" ht="42" hidden="false" customHeight="true" outlineLevel="0" collapsed="false">
      <c r="A4" s="30" t="s">
        <v>414</v>
      </c>
      <c r="B4" s="30" t="s">
        <v>415</v>
      </c>
      <c r="C4" s="30" t="s">
        <v>416</v>
      </c>
      <c r="D4" s="30" t="s">
        <v>417</v>
      </c>
      <c r="E4" s="30" t="s">
        <v>418</v>
      </c>
      <c r="F4" s="30" t="s">
        <v>419</v>
      </c>
      <c r="G4" s="30" t="s">
        <v>420</v>
      </c>
      <c r="H4" s="30" t="s">
        <v>421</v>
      </c>
      <c r="I4" s="30" t="s">
        <v>422</v>
      </c>
      <c r="J4" s="30" t="s">
        <v>423</v>
      </c>
      <c r="K4" s="30" t="s">
        <v>424</v>
      </c>
    </row>
    <row r="5" customFormat="false" ht="15" hidden="false" customHeight="true" outlineLevel="0" collapsed="false">
      <c r="A5" s="27"/>
      <c r="B5" s="27"/>
      <c r="C5" s="31"/>
      <c r="D5" s="27"/>
      <c r="E5" s="27"/>
      <c r="F5" s="27"/>
      <c r="G5" s="27"/>
      <c r="H5" s="27"/>
      <c r="I5" s="32" t="str">
        <f aca="true">IF(OR(D5="",F5=""),"",IF(G5="Baki Berkurangan",MIN(D5*(1-(1-H5/100)^MAX(0,MIN(YEARFRAC(C5,TODAY(),1),F5))),D5-E5),MIN(((D5-E5)/F5)*MAX(0,MIN(YEARFRAC(C5,TODAY(),1),F5)),D5-E5)))</f>
        <v/>
      </c>
      <c r="J5" s="32" t="str">
        <f aca="false">IF(D5="","",D5-I5)</f>
        <v/>
      </c>
      <c r="K5" s="32" t="str">
        <f aca="true">IF(D5="","",I5-(IF(G5="Baki Berkurangan",MIN(D5*(1-(1-H5/100)^MAX(0,MIN(YEARFRAC(C5,TODAY(),1)-1,F5))),D5-E5),MIN(((D5-E5)/F5)*MAX(0,MIN(YEARFRAC(C5,TODAY(),1)-1,F5)),D5-E5))))</f>
        <v/>
      </c>
    </row>
    <row r="6" customFormat="false" ht="15" hidden="false" customHeight="true" outlineLevel="0" collapsed="false">
      <c r="A6" s="27"/>
      <c r="B6" s="27"/>
      <c r="C6" s="31"/>
      <c r="D6" s="27"/>
      <c r="E6" s="27"/>
      <c r="F6" s="27"/>
      <c r="G6" s="27"/>
      <c r="H6" s="27"/>
      <c r="I6" s="32" t="str">
        <f aca="true">IF(OR(D6="",F6=""),"",IF(G6="Baki Berkurangan",MIN(D6*(1-(1-H6/100)^MAX(0,MIN(YEARFRAC(C6,TODAY(),1),F6))),D6-E6),MIN(((D6-E6)/F6)*MAX(0,MIN(YEARFRAC(C6,TODAY(),1),F6)),D6-E6)))</f>
        <v/>
      </c>
      <c r="J6" s="32" t="str">
        <f aca="false">IF(D6="","",D6-I6)</f>
        <v/>
      </c>
      <c r="K6" s="32" t="str">
        <f aca="true">IF(D6="","",I6-(IF(G6="Baki Berkurangan",MIN(D6*(1-(1-H6/100)^MAX(0,MIN(YEARFRAC(C6,TODAY(),1)-1,F6))),D6-E6),MIN(((D6-E6)/F6)*MAX(0,MIN(YEARFRAC(C6,TODAY(),1)-1,F6)),D6-E6))))</f>
        <v/>
      </c>
    </row>
    <row r="7" customFormat="false" ht="15" hidden="false" customHeight="true" outlineLevel="0" collapsed="false">
      <c r="A7" s="27"/>
      <c r="B7" s="27"/>
      <c r="C7" s="27"/>
      <c r="D7" s="27"/>
      <c r="E7" s="27"/>
      <c r="F7" s="27"/>
      <c r="G7" s="27"/>
      <c r="H7" s="27"/>
      <c r="I7" s="32" t="str">
        <f aca="true">IF(OR(D7="",F7=""),"",IF(G7="Baki Berkurangan",MIN(D7*(1-(1-H7/100)^MAX(0,MIN(YEARFRAC(C7,TODAY()),F7))),D7-E7),MIN(((D7-E7)/F7)*MAX(0,MIN(YEARFRAC(C7,TODAY()),F7)),D7-E7)))</f>
        <v/>
      </c>
      <c r="J7" s="32" t="str">
        <f aca="false">IF(D7="","",D7-I7)</f>
        <v/>
      </c>
      <c r="K7" s="32" t="str">
        <f aca="true">IF(D7="","",I7-(IF(G7="Baki Berkurangan",MIN(D7*(1-(1-H7/100)^MAX(0,MIN(YEARFRAC(C7,TODAY())-1,F7))),D7-E7),MIN(((D7-E7)/F7)*MAX(0,MIN(YEARFRAC(C7,TODAY())-1,F7)),D7-E7))))</f>
        <v/>
      </c>
    </row>
    <row r="8" customFormat="false" ht="15" hidden="false" customHeight="true" outlineLevel="0" collapsed="false">
      <c r="A8" s="27"/>
      <c r="B8" s="27"/>
      <c r="C8" s="27"/>
      <c r="D8" s="27"/>
      <c r="E8" s="27"/>
      <c r="F8" s="27"/>
      <c r="G8" s="27"/>
      <c r="H8" s="27"/>
      <c r="I8" s="32" t="str">
        <f aca="true">IF(OR(D8="",F8=""),"",IF(G8="Baki Berkurangan",MIN(D8*(1-(1-H8/100)^MAX(0,MIN(YEARFRAC(C8,TODAY()),F8))),D8-E8),MIN(((D8-E8)/F8)*MAX(0,MIN(YEARFRAC(C8,TODAY()),F8)),D8-E8)))</f>
        <v/>
      </c>
      <c r="J8" s="32" t="str">
        <f aca="false">IF(D8="","",D8-I8)</f>
        <v/>
      </c>
      <c r="K8" s="32" t="str">
        <f aca="true">IF(D8="","",I8-(IF(G8="Baki Berkurangan",MIN(D8*(1-(1-H8/100)^MAX(0,MIN(YEARFRAC(C8,TODAY())-1,F8))),D8-E8),MIN(((D8-E8)/F8)*MAX(0,MIN(YEARFRAC(C8,TODAY())-1,F8)),D8-E8))))</f>
        <v/>
      </c>
    </row>
    <row r="9" customFormat="false" ht="15" hidden="false" customHeight="true" outlineLevel="0" collapsed="false">
      <c r="A9" s="27"/>
      <c r="B9" s="27"/>
      <c r="C9" s="27"/>
      <c r="D9" s="27"/>
      <c r="E9" s="27"/>
      <c r="F9" s="27"/>
      <c r="G9" s="27"/>
      <c r="H9" s="27"/>
      <c r="I9" s="32" t="str">
        <f aca="true">IF(OR(D9="",F9=""),"",IF(G9="Baki Berkurangan",MIN(D9*(1-(1-H9/100)^MAX(0,MIN(YEARFRAC(C9,TODAY()),F9))),D9-E9),MIN(((D9-E9)/F9)*MAX(0,MIN(YEARFRAC(C9,TODAY()),F9)),D9-E9)))</f>
        <v/>
      </c>
      <c r="J9" s="32" t="str">
        <f aca="false">IF(D9="","",D9-I9)</f>
        <v/>
      </c>
      <c r="K9" s="32" t="str">
        <f aca="true">IF(D9="","",I9-(IF(G9="Baki Berkurangan",MIN(D9*(1-(1-H9/100)^MAX(0,MIN(YEARFRAC(C9,TODAY())-1,F9))),D9-E9),MIN(((D9-E9)/F9)*MAX(0,MIN(YEARFRAC(C9,TODAY())-1,F9)),D9-E9))))</f>
        <v/>
      </c>
    </row>
    <row r="10" customFormat="false" ht="15" hidden="false" customHeight="true" outlineLevel="0" collapsed="false">
      <c r="A10" s="27"/>
      <c r="B10" s="27"/>
      <c r="C10" s="27"/>
      <c r="D10" s="27"/>
      <c r="E10" s="27"/>
      <c r="F10" s="27"/>
      <c r="G10" s="27"/>
      <c r="H10" s="27"/>
      <c r="I10" s="32" t="str">
        <f aca="true">IF(OR(D10="",F10=""),"",IF(G10="Baki Berkurangan",MIN(D10*(1-(1-H10/100)^MAX(0,MIN(YEARFRAC(C10,TODAY()),F10))),D10-E10),MIN(((D10-E10)/F10)*MAX(0,MIN(YEARFRAC(C10,TODAY()),F10)),D10-E10)))</f>
        <v/>
      </c>
      <c r="J10" s="32" t="str">
        <f aca="false">IF(D10="","",D10-I10)</f>
        <v/>
      </c>
      <c r="K10" s="32" t="str">
        <f aca="true">IF(D10="","",I10-(IF(G10="Baki Berkurangan",MIN(D10*(1-(1-H10/100)^MAX(0,MIN(YEARFRAC(C10,TODAY())-1,F10))),D10-E10),MIN(((D10-E10)/F10)*MAX(0,MIN(YEARFRAC(C10,TODAY())-1,F10)),D10-E10))))</f>
        <v/>
      </c>
    </row>
    <row r="11" customFormat="false" ht="15" hidden="false" customHeight="true" outlineLevel="0" collapsed="false">
      <c r="A11" s="27"/>
      <c r="B11" s="27"/>
      <c r="C11" s="27"/>
      <c r="D11" s="27"/>
      <c r="E11" s="27"/>
      <c r="F11" s="27"/>
      <c r="G11" s="27"/>
      <c r="H11" s="27"/>
      <c r="I11" s="32" t="str">
        <f aca="true">IF(OR(D11="",F11=""),"",IF(G11="Baki Berkurangan",MIN(D11*(1-(1-H11/100)^MAX(0,MIN(YEARFRAC(C11,TODAY()),F11))),D11-E11),MIN(((D11-E11)/F11)*MAX(0,MIN(YEARFRAC(C11,TODAY()),F11)),D11-E11)))</f>
        <v/>
      </c>
      <c r="J11" s="32" t="str">
        <f aca="false">IF(D11="","",D11-I11)</f>
        <v/>
      </c>
      <c r="K11" s="32" t="str">
        <f aca="true">IF(D11="","",I11-(IF(G11="Baki Berkurangan",MIN(D11*(1-(1-H11/100)^MAX(0,MIN(YEARFRAC(C11,TODAY())-1,F11))),D11-E11),MIN(((D11-E11)/F11)*MAX(0,MIN(YEARFRAC(C11,TODAY())-1,F11)),D11-E11))))</f>
        <v/>
      </c>
    </row>
    <row r="12" customFormat="false" ht="15" hidden="false" customHeight="true" outlineLevel="0" collapsed="false">
      <c r="A12" s="27"/>
      <c r="B12" s="27"/>
      <c r="C12" s="27"/>
      <c r="D12" s="27"/>
      <c r="E12" s="27"/>
      <c r="F12" s="27"/>
      <c r="G12" s="27"/>
      <c r="H12" s="27"/>
      <c r="I12" s="32" t="str">
        <f aca="true">IF(OR(D12="",F12=""),"",IF(G12="Baki Berkurangan",MIN(D12*(1-(1-H12/100)^MAX(0,MIN(YEARFRAC(C12,TODAY()),F12))),D12-E12),MIN(((D12-E12)/F12)*MAX(0,MIN(YEARFRAC(C12,TODAY()),F12)),D12-E12)))</f>
        <v/>
      </c>
      <c r="J12" s="32" t="str">
        <f aca="false">IF(D12="","",D12-I12)</f>
        <v/>
      </c>
      <c r="K12" s="32" t="str">
        <f aca="true">IF(D12="","",I12-(IF(G12="Baki Berkurangan",MIN(D12*(1-(1-H12/100)^MAX(0,MIN(YEARFRAC(C12,TODAY())-1,F12))),D12-E12),MIN(((D12-E12)/F12)*MAX(0,MIN(YEARFRAC(C12,TODAY())-1,F12)),D12-E12))))</f>
        <v/>
      </c>
    </row>
    <row r="13" customFormat="false" ht="15" hidden="false" customHeight="true" outlineLevel="0" collapsed="false">
      <c r="A13" s="27"/>
      <c r="B13" s="27"/>
      <c r="C13" s="27"/>
      <c r="D13" s="27"/>
      <c r="E13" s="27"/>
      <c r="F13" s="27"/>
      <c r="G13" s="27"/>
      <c r="H13" s="27"/>
      <c r="I13" s="32" t="str">
        <f aca="true">IF(OR(D13="",F13=""),"",IF(G13="Baki Berkurangan",MIN(D13*(1-(1-H13/100)^MAX(0,MIN(YEARFRAC(C13,TODAY()),F13))),D13-E13),MIN(((D13-E13)/F13)*MAX(0,MIN(YEARFRAC(C13,TODAY()),F13)),D13-E13)))</f>
        <v/>
      </c>
      <c r="J13" s="32" t="str">
        <f aca="false">IF(D13="","",D13-I13)</f>
        <v/>
      </c>
      <c r="K13" s="32" t="str">
        <f aca="true">IF(D13="","",I13-(IF(G13="Baki Berkurangan",MIN(D13*(1-(1-H13/100)^MAX(0,MIN(YEARFRAC(C13,TODAY())-1,F13))),D13-E13),MIN(((D13-E13)/F13)*MAX(0,MIN(YEARFRAC(C13,TODAY())-1,F13)),D13-E13))))</f>
        <v/>
      </c>
    </row>
    <row r="14" customFormat="false" ht="15" hidden="false" customHeight="true" outlineLevel="0" collapsed="false">
      <c r="A14" s="27"/>
      <c r="B14" s="27"/>
      <c r="C14" s="27"/>
      <c r="D14" s="27"/>
      <c r="E14" s="27"/>
      <c r="F14" s="27"/>
      <c r="G14" s="27"/>
      <c r="H14" s="27"/>
      <c r="I14" s="32" t="str">
        <f aca="true">IF(OR(D14="",F14=""),"",IF(G14="Baki Berkurangan",MIN(D14*(1-(1-H14/100)^MAX(0,MIN(YEARFRAC(C14,TODAY()),F14))),D14-E14),MIN(((D14-E14)/F14)*MAX(0,MIN(YEARFRAC(C14,TODAY()),F14)),D14-E14)))</f>
        <v/>
      </c>
      <c r="J14" s="32" t="str">
        <f aca="false">IF(D14="","",D14-I14)</f>
        <v/>
      </c>
      <c r="K14" s="32" t="str">
        <f aca="true">IF(D14="","",I14-(IF(G14="Baki Berkurangan",MIN(D14*(1-(1-H14/100)^MAX(0,MIN(YEARFRAC(C14,TODAY())-1,F14))),D14-E14),MIN(((D14-E14)/F14)*MAX(0,MIN(YEARFRAC(C14,TODAY())-1,F14)),D14-E14))))</f>
        <v/>
      </c>
    </row>
    <row r="15" customFormat="false" ht="15" hidden="false" customHeight="true" outlineLevel="0" collapsed="false">
      <c r="A15" s="27"/>
      <c r="B15" s="27"/>
      <c r="C15" s="27"/>
      <c r="D15" s="27"/>
      <c r="E15" s="27"/>
      <c r="F15" s="27"/>
      <c r="G15" s="27"/>
      <c r="H15" s="27"/>
      <c r="I15" s="32" t="str">
        <f aca="true">IF(OR(D15="",F15=""),"",IF(G15="Baki Berkurangan",MIN(D15*(1-(1-H15/100)^MAX(0,MIN(YEARFRAC(C15,TODAY()),F15))),D15-E15),MIN(((D15-E15)/F15)*MAX(0,MIN(YEARFRAC(C15,TODAY()),F15)),D15-E15)))</f>
        <v/>
      </c>
      <c r="J15" s="32" t="str">
        <f aca="false">IF(D15="","",D15-I15)</f>
        <v/>
      </c>
      <c r="K15" s="32" t="str">
        <f aca="true">IF(D15="","",I15-(IF(G15="Baki Berkurangan",MIN(D15*(1-(1-H15/100)^MAX(0,MIN(YEARFRAC(C15,TODAY())-1,F15))),D15-E15),MIN(((D15-E15)/F15)*MAX(0,MIN(YEARFRAC(C15,TODAY())-1,F15)),D15-E15))))</f>
        <v/>
      </c>
    </row>
    <row r="16" customFormat="false" ht="15" hidden="false" customHeight="true" outlineLevel="0" collapsed="false">
      <c r="A16" s="27"/>
      <c r="B16" s="27"/>
      <c r="C16" s="27"/>
      <c r="D16" s="27"/>
      <c r="E16" s="27"/>
      <c r="F16" s="27"/>
      <c r="G16" s="27"/>
      <c r="H16" s="27"/>
      <c r="I16" s="32" t="str">
        <f aca="true">IF(OR(D16="",F16=""),"",IF(G16="Baki Berkurangan",MIN(D16*(1-(1-H16/100)^MAX(0,MIN(YEARFRAC(C16,TODAY()),F16))),D16-E16),MIN(((D16-E16)/F16)*MAX(0,MIN(YEARFRAC(C16,TODAY()),F16)),D16-E16)))</f>
        <v/>
      </c>
      <c r="J16" s="32" t="str">
        <f aca="false">IF(D16="","",D16-I16)</f>
        <v/>
      </c>
      <c r="K16" s="32" t="str">
        <f aca="true">IF(D16="","",I16-(IF(G16="Baki Berkurangan",MIN(D16*(1-(1-H16/100)^MAX(0,MIN(YEARFRAC(C16,TODAY())-1,F16))),D16-E16),MIN(((D16-E16)/F16)*MAX(0,MIN(YEARFRAC(C16,TODAY())-1,F16)),D16-E16))))</f>
        <v/>
      </c>
    </row>
    <row r="17" customFormat="false" ht="15" hidden="false" customHeight="true" outlineLevel="0" collapsed="false">
      <c r="A17" s="27"/>
      <c r="B17" s="27"/>
      <c r="C17" s="27"/>
      <c r="D17" s="27"/>
      <c r="E17" s="27"/>
      <c r="F17" s="27"/>
      <c r="G17" s="27"/>
      <c r="H17" s="27"/>
      <c r="I17" s="32" t="str">
        <f aca="true">IF(OR(D17="",F17=""),"",IF(G17="Baki Berkurangan",MIN(D17*(1-(1-H17/100)^MAX(0,MIN(YEARFRAC(C17,TODAY()),F17))),D17-E17),MIN(((D17-E17)/F17)*MAX(0,MIN(YEARFRAC(C17,TODAY()),F17)),D17-E17)))</f>
        <v/>
      </c>
      <c r="J17" s="32" t="str">
        <f aca="false">IF(D17="","",D17-I17)</f>
        <v/>
      </c>
      <c r="K17" s="32" t="str">
        <f aca="true">IF(D17="","",I17-(IF(G17="Baki Berkurangan",MIN(D17*(1-(1-H17/100)^MAX(0,MIN(YEARFRAC(C17,TODAY())-1,F17))),D17-E17),MIN(((D17-E17)/F17)*MAX(0,MIN(YEARFRAC(C17,TODAY())-1,F17)),D17-E17))))</f>
        <v/>
      </c>
    </row>
    <row r="18" customFormat="false" ht="15" hidden="false" customHeight="true" outlineLevel="0" collapsed="false">
      <c r="A18" s="27"/>
      <c r="B18" s="27"/>
      <c r="C18" s="27"/>
      <c r="D18" s="27"/>
      <c r="E18" s="27"/>
      <c r="F18" s="27"/>
      <c r="G18" s="27"/>
      <c r="H18" s="27"/>
      <c r="I18" s="32" t="str">
        <f aca="true">IF(OR(D18="",F18=""),"",IF(G18="Baki Berkurangan",MIN(D18*(1-(1-H18/100)^MAX(0,MIN(YEARFRAC(C18,TODAY()),F18))),D18-E18),MIN(((D18-E18)/F18)*MAX(0,MIN(YEARFRAC(C18,TODAY()),F18)),D18-E18)))</f>
        <v/>
      </c>
      <c r="J18" s="32" t="str">
        <f aca="false">IF(D18="","",D18-I18)</f>
        <v/>
      </c>
      <c r="K18" s="32" t="str">
        <f aca="true">IF(D18="","",I18-(IF(G18="Baki Berkurangan",MIN(D18*(1-(1-H18/100)^MAX(0,MIN(YEARFRAC(C18,TODAY())-1,F18))),D18-E18),MIN(((D18-E18)/F18)*MAX(0,MIN(YEARFRAC(C18,TODAY())-1,F18)),D18-E18))))</f>
        <v/>
      </c>
    </row>
    <row r="19" customFormat="false" ht="15" hidden="false" customHeight="true" outlineLevel="0" collapsed="false">
      <c r="A19" s="27"/>
      <c r="B19" s="27"/>
      <c r="C19" s="27"/>
      <c r="D19" s="27"/>
      <c r="E19" s="27"/>
      <c r="F19" s="27"/>
      <c r="G19" s="27"/>
      <c r="H19" s="27"/>
      <c r="I19" s="32" t="str">
        <f aca="true">IF(OR(D19="",F19=""),"",IF(G19="Baki Berkurangan",MIN(D19*(1-(1-H19/100)^MAX(0,MIN(YEARFRAC(C19,TODAY()),F19))),D19-E19),MIN(((D19-E19)/F19)*MAX(0,MIN(YEARFRAC(C19,TODAY()),F19)),D19-E19)))</f>
        <v/>
      </c>
      <c r="J19" s="32" t="str">
        <f aca="false">IF(D19="","",D19-I19)</f>
        <v/>
      </c>
      <c r="K19" s="32" t="str">
        <f aca="true">IF(D19="","",I19-(IF(G19="Baki Berkurangan",MIN(D19*(1-(1-H19/100)^MAX(0,MIN(YEARFRAC(C19,TODAY())-1,F19))),D19-E19),MIN(((D19-E19)/F19)*MAX(0,MIN(YEARFRAC(C19,TODAY())-1,F19)),D19-E19))))</f>
        <v/>
      </c>
    </row>
    <row r="20" customFormat="false" ht="15" hidden="false" customHeight="true" outlineLevel="0" collapsed="false">
      <c r="A20" s="27"/>
      <c r="B20" s="27"/>
      <c r="C20" s="27"/>
      <c r="D20" s="27"/>
      <c r="E20" s="27"/>
      <c r="F20" s="27"/>
      <c r="G20" s="27"/>
      <c r="H20" s="27"/>
      <c r="I20" s="32" t="str">
        <f aca="true">IF(OR(D20="",F20=""),"",IF(G20="Baki Berkurangan",MIN(D20*(1-(1-H20/100)^MAX(0,MIN(YEARFRAC(C20,TODAY()),F20))),D20-E20),MIN(((D20-E20)/F20)*MAX(0,MIN(YEARFRAC(C20,TODAY()),F20)),D20-E20)))</f>
        <v/>
      </c>
      <c r="J20" s="32" t="str">
        <f aca="false">IF(D20="","",D20-I20)</f>
        <v/>
      </c>
      <c r="K20" s="32" t="str">
        <f aca="true">IF(D20="","",I20-(IF(G20="Baki Berkurangan",MIN(D20*(1-(1-H20/100)^MAX(0,MIN(YEARFRAC(C20,TODAY())-1,F20))),D20-E20),MIN(((D20-E20)/F20)*MAX(0,MIN(YEARFRAC(C20,TODAY())-1,F20)),D20-E20))))</f>
        <v/>
      </c>
    </row>
    <row r="21" customFormat="false" ht="15" hidden="false" customHeight="true" outlineLevel="0" collapsed="false">
      <c r="A21" s="27"/>
      <c r="B21" s="27"/>
      <c r="C21" s="27"/>
      <c r="D21" s="27"/>
      <c r="E21" s="27"/>
      <c r="F21" s="27"/>
      <c r="G21" s="27"/>
      <c r="H21" s="27"/>
      <c r="I21" s="32" t="str">
        <f aca="true">IF(OR(D21="",F21=""),"",IF(G21="Baki Berkurangan",MIN(D21*(1-(1-H21/100)^MAX(0,MIN(YEARFRAC(C21,TODAY()),F21))),D21-E21),MIN(((D21-E21)/F21)*MAX(0,MIN(YEARFRAC(C21,TODAY()),F21)),D21-E21)))</f>
        <v/>
      </c>
      <c r="J21" s="32" t="str">
        <f aca="false">IF(D21="","",D21-I21)</f>
        <v/>
      </c>
      <c r="K21" s="32" t="str">
        <f aca="true">IF(D21="","",I21-(IF(G21="Baki Berkurangan",MIN(D21*(1-(1-H21/100)^MAX(0,MIN(YEARFRAC(C21,TODAY())-1,F21))),D21-E21),MIN(((D21-E21)/F21)*MAX(0,MIN(YEARFRAC(C21,TODAY())-1,F21)),D21-E21))))</f>
        <v/>
      </c>
    </row>
    <row r="22" customFormat="false" ht="15" hidden="false" customHeight="true" outlineLevel="0" collapsed="false">
      <c r="A22" s="27"/>
      <c r="B22" s="27"/>
      <c r="C22" s="27"/>
      <c r="D22" s="27"/>
      <c r="E22" s="27"/>
      <c r="F22" s="27"/>
      <c r="G22" s="27"/>
      <c r="H22" s="27"/>
      <c r="I22" s="32" t="str">
        <f aca="true">IF(OR(D22="",F22=""),"",IF(G22="Baki Berkurangan",MIN(D22*(1-(1-H22/100)^MAX(0,MIN(YEARFRAC(C22,TODAY()),F22))),D22-E22),MIN(((D22-E22)/F22)*MAX(0,MIN(YEARFRAC(C22,TODAY()),F22)),D22-E22)))</f>
        <v/>
      </c>
      <c r="J22" s="32" t="str">
        <f aca="false">IF(D22="","",D22-I22)</f>
        <v/>
      </c>
      <c r="K22" s="32" t="str">
        <f aca="true">IF(D22="","",I22-(IF(G22="Baki Berkurangan",MIN(D22*(1-(1-H22/100)^MAX(0,MIN(YEARFRAC(C22,TODAY())-1,F22))),D22-E22),MIN(((D22-E22)/F22)*MAX(0,MIN(YEARFRAC(C22,TODAY())-1,F22)),D22-E22))))</f>
        <v/>
      </c>
    </row>
    <row r="23" customFormat="false" ht="15" hidden="false" customHeight="true" outlineLevel="0" collapsed="false">
      <c r="A23" s="27"/>
      <c r="B23" s="27"/>
      <c r="C23" s="27"/>
      <c r="D23" s="27"/>
      <c r="E23" s="27"/>
      <c r="F23" s="27"/>
      <c r="G23" s="27"/>
      <c r="H23" s="27"/>
      <c r="I23" s="32" t="str">
        <f aca="true">IF(OR(D23="",F23=""),"",IF(G23="Baki Berkurangan",MIN(D23*(1-(1-H23/100)^MAX(0,MIN(YEARFRAC(C23,TODAY()),F23))),D23-E23),MIN(((D23-E23)/F23)*MAX(0,MIN(YEARFRAC(C23,TODAY()),F23)),D23-E23)))</f>
        <v/>
      </c>
      <c r="J23" s="32" t="str">
        <f aca="false">IF(D23="","",D23-I23)</f>
        <v/>
      </c>
      <c r="K23" s="32" t="str">
        <f aca="true">IF(D23="","",I23-(IF(G23="Baki Berkurangan",MIN(D23*(1-(1-H23/100)^MAX(0,MIN(YEARFRAC(C23,TODAY())-1,F23))),D23-E23),MIN(((D23-E23)/F23)*MAX(0,MIN(YEARFRAC(C23,TODAY())-1,F23)),D23-E23))))</f>
        <v/>
      </c>
    </row>
    <row r="24" customFormat="false" ht="15" hidden="false" customHeight="true" outlineLevel="0" collapsed="false">
      <c r="A24" s="27"/>
      <c r="B24" s="27"/>
      <c r="C24" s="27"/>
      <c r="D24" s="27"/>
      <c r="E24" s="27"/>
      <c r="F24" s="27"/>
      <c r="G24" s="27"/>
      <c r="H24" s="27"/>
      <c r="I24" s="32" t="str">
        <f aca="true">IF(OR(D24="",F24=""),"",IF(G24="Baki Berkurangan",MIN(D24*(1-(1-H24/100)^MAX(0,MIN(YEARFRAC(C24,TODAY()),F24))),D24-E24),MIN(((D24-E24)/F24)*MAX(0,MIN(YEARFRAC(C24,TODAY()),F24)),D24-E24)))</f>
        <v/>
      </c>
      <c r="J24" s="32" t="str">
        <f aca="false">IF(D24="","",D24-I24)</f>
        <v/>
      </c>
      <c r="K24" s="32" t="str">
        <f aca="true">IF(D24="","",I24-(IF(G24="Baki Berkurangan",MIN(D24*(1-(1-H24/100)^MAX(0,MIN(YEARFRAC(C24,TODAY())-1,F24))),D24-E24),MIN(((D24-E24)/F24)*MAX(0,MIN(YEARFRAC(C24,TODAY())-1,F24)),D24-E24))))</f>
        <v/>
      </c>
    </row>
    <row r="25" customFormat="false" ht="15" hidden="false" customHeight="true" outlineLevel="0" collapsed="false">
      <c r="A25" s="27"/>
      <c r="B25" s="27"/>
      <c r="C25" s="27"/>
      <c r="D25" s="27"/>
      <c r="E25" s="27"/>
      <c r="F25" s="27"/>
      <c r="G25" s="27"/>
      <c r="H25" s="27"/>
      <c r="I25" s="32" t="str">
        <f aca="true">IF(OR(D25="",F25=""),"",IF(G25="Baki Berkurangan",MIN(D25*(1-(1-H25/100)^MAX(0,MIN(YEARFRAC(C25,TODAY()),F25))),D25-E25),MIN(((D25-E25)/F25)*MAX(0,MIN(YEARFRAC(C25,TODAY()),F25)),D25-E25)))</f>
        <v/>
      </c>
      <c r="J25" s="32" t="str">
        <f aca="false">IF(D25="","",D25-I25)</f>
        <v/>
      </c>
      <c r="K25" s="32" t="str">
        <f aca="true">IF(D25="","",I25-(IF(G25="Baki Berkurangan",MIN(D25*(1-(1-H25/100)^MAX(0,MIN(YEARFRAC(C25,TODAY())-1,F25))),D25-E25),MIN(((D25-E25)/F25)*MAX(0,MIN(YEARFRAC(C25,TODAY())-1,F25)),D25-E25))))</f>
        <v/>
      </c>
    </row>
    <row r="26" customFormat="false" ht="15" hidden="false" customHeight="true" outlineLevel="0" collapsed="false">
      <c r="A26" s="27"/>
      <c r="B26" s="27"/>
      <c r="C26" s="27"/>
      <c r="D26" s="27"/>
      <c r="E26" s="27"/>
      <c r="F26" s="27"/>
      <c r="G26" s="27"/>
      <c r="H26" s="27"/>
      <c r="I26" s="32" t="str">
        <f aca="true">IF(OR(D26="",F26=""),"",IF(G26="Baki Berkurangan",MIN(D26*(1-(1-H26/100)^MAX(0,MIN(YEARFRAC(C26,TODAY()),F26))),D26-E26),MIN(((D26-E26)/F26)*MAX(0,MIN(YEARFRAC(C26,TODAY()),F26)),D26-E26)))</f>
        <v/>
      </c>
      <c r="J26" s="32" t="str">
        <f aca="false">IF(D26="","",D26-I26)</f>
        <v/>
      </c>
      <c r="K26" s="32" t="str">
        <f aca="true">IF(D26="","",I26-(IF(G26="Baki Berkurangan",MIN(D26*(1-(1-H26/100)^MAX(0,MIN(YEARFRAC(C26,TODAY())-1,F26))),D26-E26),MIN(((D26-E26)/F26)*MAX(0,MIN(YEARFRAC(C26,TODAY())-1,F26)),D26-E26))))</f>
        <v/>
      </c>
    </row>
    <row r="27" customFormat="false" ht="15" hidden="false" customHeight="true" outlineLevel="0" collapsed="false">
      <c r="A27" s="27"/>
      <c r="B27" s="27"/>
      <c r="C27" s="27"/>
      <c r="D27" s="27"/>
      <c r="E27" s="27"/>
      <c r="F27" s="27"/>
      <c r="G27" s="27"/>
      <c r="H27" s="27"/>
      <c r="I27" s="32" t="str">
        <f aca="true">IF(OR(D27="",F27=""),"",IF(G27="Baki Berkurangan",MIN(D27*(1-(1-H27/100)^MAX(0,MIN(YEARFRAC(C27,TODAY()),F27))),D27-E27),MIN(((D27-E27)/F27)*MAX(0,MIN(YEARFRAC(C27,TODAY()),F27)),D27-E27)))</f>
        <v/>
      </c>
      <c r="J27" s="32" t="str">
        <f aca="false">IF(D27="","",D27-I27)</f>
        <v/>
      </c>
      <c r="K27" s="32" t="str">
        <f aca="true">IF(D27="","",I27-(IF(G27="Baki Berkurangan",MIN(D27*(1-(1-H27/100)^MAX(0,MIN(YEARFRAC(C27,TODAY())-1,F27))),D27-E27),MIN(((D27-E27)/F27)*MAX(0,MIN(YEARFRAC(C27,TODAY())-1,F27)),D27-E27))))</f>
        <v/>
      </c>
    </row>
    <row r="28" customFormat="false" ht="15" hidden="false" customHeight="true" outlineLevel="0" collapsed="false">
      <c r="A28" s="27"/>
      <c r="B28" s="27"/>
      <c r="C28" s="27"/>
      <c r="D28" s="27"/>
      <c r="E28" s="27"/>
      <c r="F28" s="27"/>
      <c r="G28" s="27"/>
      <c r="H28" s="27"/>
      <c r="I28" s="32" t="str">
        <f aca="true">IF(OR(D28="",F28=""),"",IF(G28="Baki Berkurangan",MIN(D28*(1-(1-H28/100)^MAX(0,MIN(YEARFRAC(C28,TODAY()),F28))),D28-E28),MIN(((D28-E28)/F28)*MAX(0,MIN(YEARFRAC(C28,TODAY()),F28)),D28-E28)))</f>
        <v/>
      </c>
      <c r="J28" s="32" t="str">
        <f aca="false">IF(D28="","",D28-I28)</f>
        <v/>
      </c>
      <c r="K28" s="32" t="str">
        <f aca="true">IF(D28="","",I28-(IF(G28="Baki Berkurangan",MIN(D28*(1-(1-H28/100)^MAX(0,MIN(YEARFRAC(C28,TODAY())-1,F28))),D28-E28),MIN(((D28-E28)/F28)*MAX(0,MIN(YEARFRAC(C28,TODAY())-1,F28)),D28-E28))))</f>
        <v/>
      </c>
    </row>
    <row r="29" customFormat="false" ht="15" hidden="false" customHeight="true" outlineLevel="0" collapsed="false">
      <c r="A29" s="27"/>
      <c r="B29" s="27"/>
      <c r="C29" s="27"/>
      <c r="D29" s="27"/>
      <c r="E29" s="27"/>
      <c r="F29" s="27"/>
      <c r="G29" s="27"/>
      <c r="H29" s="27"/>
      <c r="I29" s="32" t="str">
        <f aca="true">IF(OR(D29="",F29=""),"",IF(G29="Baki Berkurangan",MIN(D29*(1-(1-H29/100)^MAX(0,MIN(YEARFRAC(C29,TODAY()),F29))),D29-E29),MIN(((D29-E29)/F29)*MAX(0,MIN(YEARFRAC(C29,TODAY()),F29)),D29-E29)))</f>
        <v/>
      </c>
      <c r="J29" s="32" t="str">
        <f aca="false">IF(D29="","",D29-I29)</f>
        <v/>
      </c>
      <c r="K29" s="32" t="str">
        <f aca="true">IF(D29="","",I29-(IF(G29="Baki Berkurangan",MIN(D29*(1-(1-H29/100)^MAX(0,MIN(YEARFRAC(C29,TODAY())-1,F29))),D29-E29),MIN(((D29-E29)/F29)*MAX(0,MIN(YEARFRAC(C29,TODAY())-1,F29)),D29-E29))))</f>
        <v/>
      </c>
    </row>
    <row r="30" customFormat="false" ht="15" hidden="false" customHeight="true" outlineLevel="0" collapsed="false">
      <c r="A30" s="27"/>
      <c r="B30" s="27"/>
      <c r="C30" s="27"/>
      <c r="D30" s="27"/>
      <c r="E30" s="27"/>
      <c r="F30" s="27"/>
      <c r="G30" s="27"/>
      <c r="H30" s="27"/>
      <c r="I30" s="32" t="str">
        <f aca="true">IF(OR(D30="",F30=""),"",IF(G30="Baki Berkurangan",MIN(D30*(1-(1-H30/100)^MAX(0,MIN(YEARFRAC(C30,TODAY()),F30))),D30-E30),MIN(((D30-E30)/F30)*MAX(0,MIN(YEARFRAC(C30,TODAY()),F30)),D30-E30)))</f>
        <v/>
      </c>
      <c r="J30" s="32" t="str">
        <f aca="false">IF(D30="","",D30-I30)</f>
        <v/>
      </c>
      <c r="K30" s="32" t="str">
        <f aca="true">IF(D30="","",I30-(IF(G30="Baki Berkurangan",MIN(D30*(1-(1-H30/100)^MAX(0,MIN(YEARFRAC(C30,TODAY())-1,F30))),D30-E30),MIN(((D30-E30)/F30)*MAX(0,MIN(YEARFRAC(C30,TODAY())-1,F30)),D30-E30))))</f>
        <v/>
      </c>
    </row>
    <row r="31" customFormat="false" ht="15" hidden="false" customHeight="true" outlineLevel="0" collapsed="false">
      <c r="A31" s="27"/>
      <c r="B31" s="27"/>
      <c r="C31" s="27"/>
      <c r="D31" s="27"/>
      <c r="E31" s="27"/>
      <c r="F31" s="27"/>
      <c r="G31" s="27"/>
      <c r="H31" s="27"/>
      <c r="I31" s="32" t="str">
        <f aca="true">IF(OR(D31="",F31=""),"",IF(G31="Baki Berkurangan",MIN(D31*(1-(1-H31/100)^MAX(0,MIN(YEARFRAC(C31,TODAY()),F31))),D31-E31),MIN(((D31-E31)/F31)*MAX(0,MIN(YEARFRAC(C31,TODAY()),F31)),D31-E31)))</f>
        <v/>
      </c>
      <c r="J31" s="32" t="str">
        <f aca="false">IF(D31="","",D31-I31)</f>
        <v/>
      </c>
      <c r="K31" s="32" t="str">
        <f aca="true">IF(D31="","",I31-(IF(G31="Baki Berkurangan",MIN(D31*(1-(1-H31/100)^MAX(0,MIN(YEARFRAC(C31,TODAY())-1,F31))),D31-E31),MIN(((D31-E31)/F31)*MAX(0,MIN(YEARFRAC(C31,TODAY())-1,F31)),D31-E31))))</f>
        <v/>
      </c>
    </row>
    <row r="32" customFormat="false" ht="15" hidden="false" customHeight="true" outlineLevel="0" collapsed="false">
      <c r="A32" s="27"/>
      <c r="B32" s="27"/>
      <c r="C32" s="27"/>
      <c r="D32" s="27"/>
      <c r="E32" s="27"/>
      <c r="F32" s="27"/>
      <c r="G32" s="27"/>
      <c r="H32" s="27"/>
      <c r="I32" s="32" t="str">
        <f aca="true">IF(OR(D32="",F32=""),"",IF(G32="Baki Berkurangan",MIN(D32*(1-(1-H32/100)^MAX(0,MIN(YEARFRAC(C32,TODAY()),F32))),D32-E32),MIN(((D32-E32)/F32)*MAX(0,MIN(YEARFRAC(C32,TODAY()),F32)),D32-E32)))</f>
        <v/>
      </c>
      <c r="J32" s="32" t="str">
        <f aca="false">IF(D32="","",D32-I32)</f>
        <v/>
      </c>
      <c r="K32" s="32" t="str">
        <f aca="true">IF(D32="","",I32-(IF(G32="Baki Berkurangan",MIN(D32*(1-(1-H32/100)^MAX(0,MIN(YEARFRAC(C32,TODAY())-1,F32))),D32-E32),MIN(((D32-E32)/F32)*MAX(0,MIN(YEARFRAC(C32,TODAY())-1,F32)),D32-E32))))</f>
        <v/>
      </c>
    </row>
    <row r="33" customFormat="false" ht="15" hidden="false" customHeight="true" outlineLevel="0" collapsed="false">
      <c r="A33" s="27"/>
      <c r="B33" s="27"/>
      <c r="C33" s="27"/>
      <c r="D33" s="27"/>
      <c r="E33" s="27"/>
      <c r="F33" s="27"/>
      <c r="G33" s="27"/>
      <c r="H33" s="27"/>
      <c r="I33" s="32" t="str">
        <f aca="true">IF(OR(D33="",F33=""),"",IF(G33="Baki Berkurangan",MIN(D33*(1-(1-H33/100)^MAX(0,MIN(YEARFRAC(C33,TODAY()),F33))),D33-E33),MIN(((D33-E33)/F33)*MAX(0,MIN(YEARFRAC(C33,TODAY()),F33)),D33-E33)))</f>
        <v/>
      </c>
      <c r="J33" s="32" t="str">
        <f aca="false">IF(D33="","",D33-I33)</f>
        <v/>
      </c>
      <c r="K33" s="32" t="str">
        <f aca="true">IF(D33="","",I33-(IF(G33="Baki Berkurangan",MIN(D33*(1-(1-H33/100)^MAX(0,MIN(YEARFRAC(C33,TODAY())-1,F33))),D33-E33),MIN(((D33-E33)/F33)*MAX(0,MIN(YEARFRAC(C33,TODAY())-1,F33)),D33-E33))))</f>
        <v/>
      </c>
    </row>
    <row r="34" customFormat="false" ht="15" hidden="false" customHeight="true" outlineLevel="0" collapsed="false">
      <c r="A34" s="27"/>
      <c r="B34" s="27"/>
      <c r="C34" s="27"/>
      <c r="D34" s="27"/>
      <c r="E34" s="27"/>
      <c r="F34" s="27"/>
      <c r="G34" s="27"/>
      <c r="H34" s="27"/>
      <c r="I34" s="32" t="str">
        <f aca="true">IF(OR(D34="",F34=""),"",IF(G34="Baki Berkurangan",MIN(D34*(1-(1-H34/100)^MAX(0,MIN(YEARFRAC(C34,TODAY()),F34))),D34-E34),MIN(((D34-E34)/F34)*MAX(0,MIN(YEARFRAC(C34,TODAY()),F34)),D34-E34)))</f>
        <v/>
      </c>
      <c r="J34" s="32" t="str">
        <f aca="false">IF(D34="","",D34-I34)</f>
        <v/>
      </c>
      <c r="K34" s="32" t="str">
        <f aca="true">IF(D34="","",I34-(IF(G34="Baki Berkurangan",MIN(D34*(1-(1-H34/100)^MAX(0,MIN(YEARFRAC(C34,TODAY())-1,F34))),D34-E34),MIN(((D34-E34)/F34)*MAX(0,MIN(YEARFRAC(C34,TODAY())-1,F34)),D34-E34))))</f>
        <v/>
      </c>
    </row>
    <row r="35" customFormat="false" ht="15" hidden="false" customHeight="true" outlineLevel="0" collapsed="false">
      <c r="A35" s="27"/>
      <c r="B35" s="27"/>
      <c r="C35" s="27"/>
      <c r="D35" s="27"/>
      <c r="E35" s="27"/>
      <c r="F35" s="27"/>
      <c r="G35" s="27"/>
      <c r="H35" s="27"/>
      <c r="I35" s="32" t="str">
        <f aca="true">IF(OR(D35="",F35=""),"",IF(G35="Baki Berkurangan",MIN(D35*(1-(1-H35/100)^MAX(0,MIN(YEARFRAC(C35,TODAY()),F35))),D35-E35),MIN(((D35-E35)/F35)*MAX(0,MIN(YEARFRAC(C35,TODAY()),F35)),D35-E35)))</f>
        <v/>
      </c>
      <c r="J35" s="32" t="str">
        <f aca="false">IF(D35="","",D35-I35)</f>
        <v/>
      </c>
      <c r="K35" s="32" t="str">
        <f aca="true">IF(D35="","",I35-(IF(G35="Baki Berkurangan",MIN(D35*(1-(1-H35/100)^MAX(0,MIN(YEARFRAC(C35,TODAY())-1,F35))),D35-E35),MIN(((D35-E35)/F35)*MAX(0,MIN(YEARFRAC(C35,TODAY())-1,F35)),D35-E35))))</f>
        <v/>
      </c>
    </row>
    <row r="36" customFormat="false" ht="15" hidden="false" customHeight="true" outlineLevel="0" collapsed="false">
      <c r="A36" s="27"/>
      <c r="B36" s="27"/>
      <c r="C36" s="27"/>
      <c r="D36" s="27"/>
      <c r="E36" s="27"/>
      <c r="F36" s="27"/>
      <c r="G36" s="27"/>
      <c r="H36" s="27"/>
      <c r="I36" s="32" t="str">
        <f aca="true">IF(OR(D36="",F36=""),"",IF(G36="Baki Berkurangan",MIN(D36*(1-(1-H36/100)^MAX(0,MIN(YEARFRAC(C36,TODAY()),F36))),D36-E36),MIN(((D36-E36)/F36)*MAX(0,MIN(YEARFRAC(C36,TODAY()),F36)),D36-E36)))</f>
        <v/>
      </c>
      <c r="J36" s="32" t="str">
        <f aca="false">IF(D36="","",D36-I36)</f>
        <v/>
      </c>
      <c r="K36" s="32" t="str">
        <f aca="true">IF(D36="","",I36-(IF(G36="Baki Berkurangan",MIN(D36*(1-(1-H36/100)^MAX(0,MIN(YEARFRAC(C36,TODAY())-1,F36))),D36-E36),MIN(((D36-E36)/F36)*MAX(0,MIN(YEARFRAC(C36,TODAY())-1,F36)),D36-E36))))</f>
        <v/>
      </c>
    </row>
    <row r="37" customFormat="false" ht="15" hidden="false" customHeight="true" outlineLevel="0" collapsed="false">
      <c r="A37" s="27"/>
      <c r="B37" s="27"/>
      <c r="C37" s="27"/>
      <c r="D37" s="27"/>
      <c r="E37" s="27"/>
      <c r="F37" s="27"/>
      <c r="G37" s="27"/>
      <c r="H37" s="27"/>
      <c r="I37" s="32" t="str">
        <f aca="true">IF(OR(D37="",F37=""),"",IF(G37="Baki Berkurangan",MIN(D37*(1-(1-H37/100)^MAX(0,MIN(YEARFRAC(C37,TODAY()),F37))),D37-E37),MIN(((D37-E37)/F37)*MAX(0,MIN(YEARFRAC(C37,TODAY()),F37)),D37-E37)))</f>
        <v/>
      </c>
      <c r="J37" s="32" t="str">
        <f aca="false">IF(D37="","",D37-I37)</f>
        <v/>
      </c>
      <c r="K37" s="32" t="str">
        <f aca="true">IF(D37="","",I37-(IF(G37="Baki Berkurangan",MIN(D37*(1-(1-H37/100)^MAX(0,MIN(YEARFRAC(C37,TODAY())-1,F37))),D37-E37),MIN(((D37-E37)/F37)*MAX(0,MIN(YEARFRAC(C37,TODAY())-1,F37)),D37-E37))))</f>
        <v/>
      </c>
    </row>
    <row r="38" customFormat="false" ht="15" hidden="false" customHeight="true" outlineLevel="0" collapsed="false">
      <c r="A38" s="27"/>
      <c r="B38" s="27"/>
      <c r="C38" s="27"/>
      <c r="D38" s="27"/>
      <c r="E38" s="27"/>
      <c r="F38" s="27"/>
      <c r="G38" s="27"/>
      <c r="H38" s="27"/>
      <c r="I38" s="32" t="str">
        <f aca="true">IF(OR(D38="",F38=""),"",IF(G38="Baki Berkurangan",MIN(D38*(1-(1-H38/100)^MAX(0,MIN(YEARFRAC(C38,TODAY()),F38))),D38-E38),MIN(((D38-E38)/F38)*MAX(0,MIN(YEARFRAC(C38,TODAY()),F38)),D38-E38)))</f>
        <v/>
      </c>
      <c r="J38" s="32" t="str">
        <f aca="false">IF(D38="","",D38-I38)</f>
        <v/>
      </c>
      <c r="K38" s="32" t="str">
        <f aca="true">IF(D38="","",I38-(IF(G38="Baki Berkurangan",MIN(D38*(1-(1-H38/100)^MAX(0,MIN(YEARFRAC(C38,TODAY())-1,F38))),D38-E38),MIN(((D38-E38)/F38)*MAX(0,MIN(YEARFRAC(C38,TODAY())-1,F38)),D38-E38))))</f>
        <v/>
      </c>
    </row>
    <row r="39" customFormat="false" ht="15" hidden="false" customHeight="true" outlineLevel="0" collapsed="false">
      <c r="A39" s="27"/>
      <c r="B39" s="27"/>
      <c r="C39" s="27"/>
      <c r="D39" s="27"/>
      <c r="E39" s="27"/>
      <c r="F39" s="27"/>
      <c r="G39" s="27"/>
      <c r="H39" s="27"/>
      <c r="I39" s="32" t="str">
        <f aca="true">IF(OR(D39="",F39=""),"",IF(G39="Baki Berkurangan",MIN(D39*(1-(1-H39/100)^MAX(0,MIN(YEARFRAC(C39,TODAY()),F39))),D39-E39),MIN(((D39-E39)/F39)*MAX(0,MIN(YEARFRAC(C39,TODAY()),F39)),D39-E39)))</f>
        <v/>
      </c>
      <c r="J39" s="32" t="str">
        <f aca="false">IF(D39="","",D39-I39)</f>
        <v/>
      </c>
      <c r="K39" s="32" t="str">
        <f aca="true">IF(D39="","",I39-(IF(G39="Baki Berkurangan",MIN(D39*(1-(1-H39/100)^MAX(0,MIN(YEARFRAC(C39,TODAY())-1,F39))),D39-E39),MIN(((D39-E39)/F39)*MAX(0,MIN(YEARFRAC(C39,TODAY())-1,F39)),D39-E39))))</f>
        <v/>
      </c>
    </row>
    <row r="40" customFormat="false" ht="15" hidden="false" customHeight="true" outlineLevel="0" collapsed="false">
      <c r="A40" s="27"/>
      <c r="B40" s="27"/>
      <c r="C40" s="27"/>
      <c r="D40" s="27"/>
      <c r="E40" s="27"/>
      <c r="F40" s="27"/>
      <c r="G40" s="27"/>
      <c r="H40" s="27"/>
      <c r="I40" s="32" t="str">
        <f aca="true">IF(OR(D40="",F40=""),"",IF(G40="Baki Berkurangan",MIN(D40*(1-(1-H40/100)^MAX(0,MIN(YEARFRAC(C40,TODAY()),F40))),D40-E40),MIN(((D40-E40)/F40)*MAX(0,MIN(YEARFRAC(C40,TODAY()),F40)),D40-E40)))</f>
        <v/>
      </c>
      <c r="J40" s="32" t="str">
        <f aca="false">IF(D40="","",D40-I40)</f>
        <v/>
      </c>
      <c r="K40" s="32" t="str">
        <f aca="true">IF(D40="","",I40-(IF(G40="Baki Berkurangan",MIN(D40*(1-(1-H40/100)^MAX(0,MIN(YEARFRAC(C40,TODAY())-1,F40))),D40-E40),MIN(((D40-E40)/F40)*MAX(0,MIN(YEARFRAC(C40,TODAY())-1,F40)),D40-E40))))</f>
        <v/>
      </c>
    </row>
    <row r="41" customFormat="false" ht="15" hidden="false" customHeight="true" outlineLevel="0" collapsed="false">
      <c r="A41" s="27"/>
      <c r="B41" s="27"/>
      <c r="C41" s="27"/>
      <c r="D41" s="27"/>
      <c r="E41" s="27"/>
      <c r="F41" s="27"/>
      <c r="G41" s="27"/>
      <c r="H41" s="27"/>
      <c r="I41" s="32" t="str">
        <f aca="true">IF(OR(D41="",F41=""),"",IF(G41="Baki Berkurangan",MIN(D41*(1-(1-H41/100)^MAX(0,MIN(YEARFRAC(C41,TODAY()),F41))),D41-E41),MIN(((D41-E41)/F41)*MAX(0,MIN(YEARFRAC(C41,TODAY()),F41)),D41-E41)))</f>
        <v/>
      </c>
      <c r="J41" s="32" t="str">
        <f aca="false">IF(D41="","",D41-I41)</f>
        <v/>
      </c>
      <c r="K41" s="32" t="str">
        <f aca="true">IF(D41="","",I41-(IF(G41="Baki Berkurangan",MIN(D41*(1-(1-H41/100)^MAX(0,MIN(YEARFRAC(C41,TODAY())-1,F41))),D41-E41),MIN(((D41-E41)/F41)*MAX(0,MIN(YEARFRAC(C41,TODAY())-1,F41)),D41-E41))))</f>
        <v/>
      </c>
    </row>
    <row r="42" customFormat="false" ht="15" hidden="false" customHeight="true" outlineLevel="0" collapsed="false">
      <c r="A42" s="27"/>
      <c r="B42" s="27"/>
      <c r="C42" s="27"/>
      <c r="D42" s="27"/>
      <c r="E42" s="27"/>
      <c r="F42" s="27"/>
      <c r="G42" s="27"/>
      <c r="H42" s="27"/>
      <c r="I42" s="32" t="str">
        <f aca="true">IF(OR(D42="",F42=""),"",IF(G42="Baki Berkurangan",MIN(D42*(1-(1-H42/100)^MAX(0,MIN(YEARFRAC(C42,TODAY()),F42))),D42-E42),MIN(((D42-E42)/F42)*MAX(0,MIN(YEARFRAC(C42,TODAY()),F42)),D42-E42)))</f>
        <v/>
      </c>
      <c r="J42" s="32" t="str">
        <f aca="false">IF(D42="","",D42-I42)</f>
        <v/>
      </c>
      <c r="K42" s="32" t="str">
        <f aca="true">IF(D42="","",I42-(IF(G42="Baki Berkurangan",MIN(D42*(1-(1-H42/100)^MAX(0,MIN(YEARFRAC(C42,TODAY())-1,F42))),D42-E42),MIN(((D42-E42)/F42)*MAX(0,MIN(YEARFRAC(C42,TODAY())-1,F42)),D42-E42))))</f>
        <v/>
      </c>
    </row>
    <row r="43" customFormat="false" ht="15" hidden="false" customHeight="true" outlineLevel="0" collapsed="false">
      <c r="A43" s="27"/>
      <c r="B43" s="27"/>
      <c r="C43" s="27"/>
      <c r="D43" s="27"/>
      <c r="E43" s="27"/>
      <c r="F43" s="27"/>
      <c r="G43" s="27"/>
      <c r="H43" s="27"/>
      <c r="I43" s="32" t="str">
        <f aca="true">IF(OR(D43="",F43=""),"",IF(G43="Baki Berkurangan",MIN(D43*(1-(1-H43/100)^MAX(0,MIN(YEARFRAC(C43,TODAY()),F43))),D43-E43),MIN(((D43-E43)/F43)*MAX(0,MIN(YEARFRAC(C43,TODAY()),F43)),D43-E43)))</f>
        <v/>
      </c>
      <c r="J43" s="32" t="str">
        <f aca="false">IF(D43="","",D43-I43)</f>
        <v/>
      </c>
      <c r="K43" s="32" t="str">
        <f aca="true">IF(D43="","",I43-(IF(G43="Baki Berkurangan",MIN(D43*(1-(1-H43/100)^MAX(0,MIN(YEARFRAC(C43,TODAY())-1,F43))),D43-E43),MIN(((D43-E43)/F43)*MAX(0,MIN(YEARFRAC(C43,TODAY())-1,F43)),D43-E43))))</f>
        <v/>
      </c>
    </row>
    <row r="44" customFormat="false" ht="15" hidden="false" customHeight="true" outlineLevel="0" collapsed="false">
      <c r="A44" s="27"/>
      <c r="B44" s="27"/>
      <c r="C44" s="27"/>
      <c r="D44" s="27"/>
      <c r="E44" s="27"/>
      <c r="F44" s="27"/>
      <c r="G44" s="27"/>
      <c r="H44" s="27"/>
      <c r="I44" s="32" t="str">
        <f aca="true">IF(OR(D44="",F44=""),"",IF(G44="Baki Berkurangan",MIN(D44*(1-(1-H44/100)^MAX(0,MIN(YEARFRAC(C44,TODAY()),F44))),D44-E44),MIN(((D44-E44)/F44)*MAX(0,MIN(YEARFRAC(C44,TODAY()),F44)),D44-E44)))</f>
        <v/>
      </c>
      <c r="J44" s="32" t="str">
        <f aca="false">IF(D44="","",D44-I44)</f>
        <v/>
      </c>
      <c r="K44" s="32" t="str">
        <f aca="true">IF(D44="","",I44-(IF(G44="Baki Berkurangan",MIN(D44*(1-(1-H44/100)^MAX(0,MIN(YEARFRAC(C44,TODAY())-1,F44))),D44-E44),MIN(((D44-E44)/F44)*MAX(0,MIN(YEARFRAC(C44,TODAY())-1,F44)),D44-E44))))</f>
        <v/>
      </c>
    </row>
    <row r="45" customFormat="false" ht="15" hidden="false" customHeight="true" outlineLevel="0" collapsed="false">
      <c r="A45" s="27"/>
      <c r="B45" s="27"/>
      <c r="C45" s="27"/>
      <c r="D45" s="27"/>
      <c r="E45" s="27"/>
      <c r="F45" s="27"/>
      <c r="G45" s="27"/>
      <c r="H45" s="27"/>
      <c r="I45" s="32" t="str">
        <f aca="true">IF(OR(D45="",F45=""),"",IF(G45="Baki Berkurangan",MIN(D45*(1-(1-H45/100)^MAX(0,MIN(YEARFRAC(C45,TODAY()),F45))),D45-E45),MIN(((D45-E45)/F45)*MAX(0,MIN(YEARFRAC(C45,TODAY()),F45)),D45-E45)))</f>
        <v/>
      </c>
      <c r="J45" s="32" t="str">
        <f aca="false">IF(D45="","",D45-I45)</f>
        <v/>
      </c>
      <c r="K45" s="32" t="str">
        <f aca="true">IF(D45="","",I45-(IF(G45="Baki Berkurangan",MIN(D45*(1-(1-H45/100)^MAX(0,MIN(YEARFRAC(C45,TODAY())-1,F45))),D45-E45),MIN(((D45-E45)/F45)*MAX(0,MIN(YEARFRAC(C45,TODAY())-1,F45)),D45-E45))))</f>
        <v/>
      </c>
    </row>
    <row r="46" customFormat="false" ht="15" hidden="false" customHeight="true" outlineLevel="0" collapsed="false">
      <c r="A46" s="27"/>
      <c r="B46" s="27"/>
      <c r="C46" s="27"/>
      <c r="D46" s="27"/>
      <c r="E46" s="27"/>
      <c r="F46" s="27"/>
      <c r="G46" s="27"/>
      <c r="H46" s="27"/>
      <c r="I46" s="32" t="str">
        <f aca="true">IF(OR(D46="",F46=""),"",IF(G46="Baki Berkurangan",MIN(D46*(1-(1-H46/100)^MAX(0,MIN(YEARFRAC(C46,TODAY()),F46))),D46-E46),MIN(((D46-E46)/F46)*MAX(0,MIN(YEARFRAC(C46,TODAY()),F46)),D46-E46)))</f>
        <v/>
      </c>
      <c r="J46" s="32" t="str">
        <f aca="false">IF(D46="","",D46-I46)</f>
        <v/>
      </c>
      <c r="K46" s="32" t="str">
        <f aca="true">IF(D46="","",I46-(IF(G46="Baki Berkurangan",MIN(D46*(1-(1-H46/100)^MAX(0,MIN(YEARFRAC(C46,TODAY())-1,F46))),D46-E46),MIN(((D46-E46)/F46)*MAX(0,MIN(YEARFRAC(C46,TODAY())-1,F46)),D46-E46))))</f>
        <v/>
      </c>
    </row>
    <row r="47" customFormat="false" ht="15" hidden="false" customHeight="true" outlineLevel="0" collapsed="false">
      <c r="A47" s="27"/>
      <c r="B47" s="27"/>
      <c r="C47" s="27"/>
      <c r="D47" s="27"/>
      <c r="E47" s="27"/>
      <c r="F47" s="27"/>
      <c r="G47" s="27"/>
      <c r="H47" s="27"/>
      <c r="I47" s="32" t="str">
        <f aca="true">IF(OR(D47="",F47=""),"",IF(G47="Baki Berkurangan",MIN(D47*(1-(1-H47/100)^MAX(0,MIN(YEARFRAC(C47,TODAY()),F47))),D47-E47),MIN(((D47-E47)/F47)*MAX(0,MIN(YEARFRAC(C47,TODAY()),F47)),D47-E47)))</f>
        <v/>
      </c>
      <c r="J47" s="32" t="str">
        <f aca="false">IF(D47="","",D47-I47)</f>
        <v/>
      </c>
      <c r="K47" s="32" t="str">
        <f aca="true">IF(D47="","",I47-(IF(G47="Baki Berkurangan",MIN(D47*(1-(1-H47/100)^MAX(0,MIN(YEARFRAC(C47,TODAY())-1,F47))),D47-E47),MIN(((D47-E47)/F47)*MAX(0,MIN(YEARFRAC(C47,TODAY())-1,F47)),D47-E47))))</f>
        <v/>
      </c>
    </row>
    <row r="48" customFormat="false" ht="15" hidden="false" customHeight="true" outlineLevel="0" collapsed="false">
      <c r="A48" s="27"/>
      <c r="B48" s="27"/>
      <c r="C48" s="27"/>
      <c r="D48" s="27"/>
      <c r="E48" s="27"/>
      <c r="F48" s="27"/>
      <c r="G48" s="27"/>
      <c r="H48" s="27"/>
      <c r="I48" s="32" t="str">
        <f aca="true">IF(OR(D48="",F48=""),"",IF(G48="Baki Berkurangan",MIN(D48*(1-(1-H48/100)^MAX(0,MIN(YEARFRAC(C48,TODAY()),F48))),D48-E48),MIN(((D48-E48)/F48)*MAX(0,MIN(YEARFRAC(C48,TODAY()),F48)),D48-E48)))</f>
        <v/>
      </c>
      <c r="J48" s="32" t="str">
        <f aca="false">IF(D48="","",D48-I48)</f>
        <v/>
      </c>
      <c r="K48" s="32" t="str">
        <f aca="true">IF(D48="","",I48-(IF(G48="Baki Berkurangan",MIN(D48*(1-(1-H48/100)^MAX(0,MIN(YEARFRAC(C48,TODAY())-1,F48))),D48-E48),MIN(((D48-E48)/F48)*MAX(0,MIN(YEARFRAC(C48,TODAY())-1,F48)),D48-E48))))</f>
        <v/>
      </c>
    </row>
    <row r="49" customFormat="false" ht="15" hidden="false" customHeight="true" outlineLevel="0" collapsed="false">
      <c r="A49" s="27"/>
      <c r="B49" s="27"/>
      <c r="C49" s="27"/>
      <c r="D49" s="27"/>
      <c r="E49" s="27"/>
      <c r="F49" s="27"/>
      <c r="G49" s="27"/>
      <c r="H49" s="27"/>
      <c r="I49" s="32" t="str">
        <f aca="true">IF(OR(D49="",F49=""),"",IF(G49="Baki Berkurangan",MIN(D49*(1-(1-H49/100)^MAX(0,MIN(YEARFRAC(C49,TODAY()),F49))),D49-E49),MIN(((D49-E49)/F49)*MAX(0,MIN(YEARFRAC(C49,TODAY()),F49)),D49-E49)))</f>
        <v/>
      </c>
      <c r="J49" s="32" t="str">
        <f aca="false">IF(D49="","",D49-I49)</f>
        <v/>
      </c>
      <c r="K49" s="32" t="str">
        <f aca="true">IF(D49="","",I49-(IF(G49="Baki Berkurangan",MIN(D49*(1-(1-H49/100)^MAX(0,MIN(YEARFRAC(C49,TODAY())-1,F49))),D49-E49),MIN(((D49-E49)/F49)*MAX(0,MIN(YEARFRAC(C49,TODAY())-1,F49)),D49-E49))))</f>
        <v/>
      </c>
    </row>
    <row r="50" customFormat="false" ht="15" hidden="false" customHeight="true" outlineLevel="0" collapsed="false">
      <c r="A50" s="27"/>
      <c r="B50" s="27"/>
      <c r="C50" s="27"/>
      <c r="D50" s="27"/>
      <c r="E50" s="27"/>
      <c r="F50" s="27"/>
      <c r="G50" s="27"/>
      <c r="H50" s="27"/>
      <c r="I50" s="32" t="str">
        <f aca="true">IF(OR(D50="",F50=""),"",IF(G50="Baki Berkurangan",MIN(D50*(1-(1-H50/100)^MAX(0,MIN(YEARFRAC(C50,TODAY()),F50))),D50-E50),MIN(((D50-E50)/F50)*MAX(0,MIN(YEARFRAC(C50,TODAY()),F50)),D50-E50)))</f>
        <v/>
      </c>
      <c r="J50" s="32" t="str">
        <f aca="false">IF(D50="","",D50-I50)</f>
        <v/>
      </c>
      <c r="K50" s="32" t="str">
        <f aca="true">IF(D50="","",I50-(IF(G50="Baki Berkurangan",MIN(D50*(1-(1-H50/100)^MAX(0,MIN(YEARFRAC(C50,TODAY())-1,F50))),D50-E50),MIN(((D50-E50)/F50)*MAX(0,MIN(YEARFRAC(C50,TODAY())-1,F50)),D50-E50))))</f>
        <v/>
      </c>
    </row>
    <row r="51" customFormat="false" ht="15" hidden="false" customHeight="true" outlineLevel="0" collapsed="false">
      <c r="A51" s="27"/>
      <c r="B51" s="27"/>
      <c r="C51" s="27"/>
      <c r="D51" s="27"/>
      <c r="E51" s="27"/>
      <c r="F51" s="27"/>
      <c r="G51" s="27"/>
      <c r="H51" s="27"/>
      <c r="I51" s="32" t="str">
        <f aca="true">IF(OR(D51="",F51=""),"",IF(G51="Baki Berkurangan",MIN(D51*(1-(1-H51/100)^MAX(0,MIN(YEARFRAC(C51,TODAY()),F51))),D51-E51),MIN(((D51-E51)/F51)*MAX(0,MIN(YEARFRAC(C51,TODAY()),F51)),D51-E51)))</f>
        <v/>
      </c>
      <c r="J51" s="32" t="str">
        <f aca="false">IF(D51="","",D51-I51)</f>
        <v/>
      </c>
      <c r="K51" s="32" t="str">
        <f aca="true">IF(D51="","",I51-(IF(G51="Baki Berkurangan",MIN(D51*(1-(1-H51/100)^MAX(0,MIN(YEARFRAC(C51,TODAY())-1,F51))),D51-E51),MIN(((D51-E51)/F51)*MAX(0,MIN(YEARFRAC(C51,TODAY())-1,F51)),D51-E51))))</f>
        <v/>
      </c>
    </row>
    <row r="52" customFormat="false" ht="15" hidden="false" customHeight="true" outlineLevel="0" collapsed="false">
      <c r="A52" s="27"/>
      <c r="B52" s="27"/>
      <c r="C52" s="27"/>
      <c r="D52" s="27"/>
      <c r="E52" s="27"/>
      <c r="F52" s="27"/>
      <c r="G52" s="27"/>
      <c r="H52" s="27"/>
      <c r="I52" s="32" t="str">
        <f aca="true">IF(OR(D52="",F52=""),"",IF(G52="Baki Berkurangan",MIN(D52*(1-(1-H52/100)^MAX(0,MIN(YEARFRAC(C52,TODAY()),F52))),D52-E52),MIN(((D52-E52)/F52)*MAX(0,MIN(YEARFRAC(C52,TODAY()),F52)),D52-E52)))</f>
        <v/>
      </c>
      <c r="J52" s="32" t="str">
        <f aca="false">IF(D52="","",D52-I52)</f>
        <v/>
      </c>
      <c r="K52" s="32" t="str">
        <f aca="true">IF(D52="","",I52-(IF(G52="Baki Berkurangan",MIN(D52*(1-(1-H52/100)^MAX(0,MIN(YEARFRAC(C52,TODAY())-1,F52))),D52-E52),MIN(((D52-E52)/F52)*MAX(0,MIN(YEARFRAC(C52,TODAY())-1,F52)),D52-E52))))</f>
        <v/>
      </c>
    </row>
    <row r="53" customFormat="false" ht="15" hidden="false" customHeight="true" outlineLevel="0" collapsed="false">
      <c r="A53" s="27"/>
      <c r="B53" s="27"/>
      <c r="C53" s="27"/>
      <c r="D53" s="27"/>
      <c r="E53" s="27"/>
      <c r="F53" s="27"/>
      <c r="G53" s="27"/>
      <c r="H53" s="27"/>
      <c r="I53" s="32" t="str">
        <f aca="true">IF(OR(D53="",F53=""),"",IF(G53="Baki Berkurangan",MIN(D53*(1-(1-H53/100)^MAX(0,MIN(YEARFRAC(C53,TODAY()),F53))),D53-E53),MIN(((D53-E53)/F53)*MAX(0,MIN(YEARFRAC(C53,TODAY()),F53)),D53-E53)))</f>
        <v/>
      </c>
      <c r="J53" s="32" t="str">
        <f aca="false">IF(D53="","",D53-I53)</f>
        <v/>
      </c>
      <c r="K53" s="32" t="str">
        <f aca="true">IF(D53="","",I53-(IF(G53="Baki Berkurangan",MIN(D53*(1-(1-H53/100)^MAX(0,MIN(YEARFRAC(C53,TODAY())-1,F53))),D53-E53),MIN(((D53-E53)/F53)*MAX(0,MIN(YEARFRAC(C53,TODAY())-1,F53)),D53-E53))))</f>
        <v/>
      </c>
    </row>
    <row r="54" customFormat="false" ht="15" hidden="false" customHeight="true" outlineLevel="0" collapsed="false">
      <c r="A54" s="27"/>
      <c r="B54" s="27"/>
      <c r="C54" s="27"/>
      <c r="D54" s="27"/>
      <c r="E54" s="27"/>
      <c r="F54" s="27"/>
      <c r="G54" s="27"/>
      <c r="H54" s="27"/>
      <c r="I54" s="32" t="str">
        <f aca="true">IF(OR(D54="",F54=""),"",IF(G54="Baki Berkurangan",MIN(D54*(1-(1-H54/100)^MAX(0,MIN(YEARFRAC(C54,TODAY()),F54))),D54-E54),MIN(((D54-E54)/F54)*MAX(0,MIN(YEARFRAC(C54,TODAY()),F54)),D54-E54)))</f>
        <v/>
      </c>
      <c r="J54" s="32" t="str">
        <f aca="false">IF(D54="","",D54-I54)</f>
        <v/>
      </c>
      <c r="K54" s="32" t="str">
        <f aca="true">IF(D54="","",I54-(IF(G54="Baki Berkurangan",MIN(D54*(1-(1-H54/100)^MAX(0,MIN(YEARFRAC(C54,TODAY())-1,F54))),D54-E54),MIN(((D54-E54)/F54)*MAX(0,MIN(YEARFRAC(C54,TODAY())-1,F54)),D54-E54))))</f>
        <v/>
      </c>
    </row>
    <row r="55" customFormat="false" ht="15" hidden="false" customHeight="true" outlineLevel="0" collapsed="false">
      <c r="A55" s="33" t="s">
        <v>425</v>
      </c>
      <c r="D55" s="34" t="n">
        <f aca="false">SUM(D5:D54)</f>
        <v>0</v>
      </c>
      <c r="I55" s="34" t="n">
        <f aca="false">SUM(I5:I54)</f>
        <v>0</v>
      </c>
      <c r="J55" s="34" t="n">
        <f aca="false">SUM(J5:J54)</f>
        <v>0</v>
      </c>
      <c r="K55" s="34" t="n">
        <f aca="false">SUM(K5:K54)</f>
        <v>0</v>
      </c>
    </row>
    <row r="56" customFormat="false" ht="15.75" hidden="false" customHeight="true" outlineLevel="0" collapsed="false"/>
    <row r="57" customFormat="false" ht="15" hidden="false" customHeight="true" outlineLevel="0" collapsed="false">
      <c r="A57" s="28" t="s">
        <v>426</v>
      </c>
    </row>
    <row r="58" customFormat="false" ht="15" hidden="false" customHeight="true" outlineLevel="0" collapsed="false">
      <c r="A58" s="1" t="s">
        <v>427</v>
      </c>
      <c r="B58" s="35" t="n">
        <f aca="false">J55</f>
        <v>0</v>
      </c>
    </row>
    <row r="59" customFormat="false" ht="15" hidden="false" customHeight="true" outlineLevel="0" collapsed="false">
      <c r="A59" s="1" t="s">
        <v>428</v>
      </c>
      <c r="B59" s="35" t="n">
        <f aca="false">SUMIF(Imbangan_Duga!$A$5:$A$150,1040,Imbangan_Duga!$H$5:$H$150)+SUMIF(Imbangan_Duga!$A$5:$A$150,1045,Imbangan_Duga!$H$5:$H$150)</f>
        <v>0</v>
      </c>
    </row>
    <row r="60" customFormat="false" ht="15" hidden="false" customHeight="true" outlineLevel="0" collapsed="false">
      <c r="A60" s="28" t="s">
        <v>429</v>
      </c>
      <c r="B60" s="28" t="str">
        <f aca="false">IF(ROUND(B58-B59,2)=0,"SEPADAN","TIDAK SEPADAN - beza RM"&amp;TEXT(B58-B59,"#,##0.00")&amp;" - ada aset didaftar tanpa dipos, atau sebaliknya")</f>
        <v>SEPADAN</v>
      </c>
    </row>
    <row r="61" customFormat="false" ht="15.75" hidden="false" customHeight="true" outlineLevel="0" collapsed="false"/>
    <row r="62" customFormat="false" ht="54.75" hidden="false" customHeight="true" outlineLevel="0" collapsed="false">
      <c r="A62" s="36" t="s">
        <v>430</v>
      </c>
    </row>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dataValidations count="2">
    <dataValidation allowBlank="true" errorStyle="stop" operator="between" showDropDown="false" showErrorMessage="false" showInputMessage="false" sqref="G5:G54" type="list">
      <formula1>"Garis Lurus,Baki Berkurangan"</formula1>
      <formula2>0</formula2>
    </dataValidation>
    <dataValidation allowBlank="true" errorStyle="stop" operator="between" showDropDown="false" showErrorMessage="false" showInputMessage="false" sqref="B5:B54" type="list">
      <formula1>"Tanah,Bangunan,Kenderaan,Komputer &amp; IT,Loji &amp; Peralatan,Lain-lain"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B6" activeCellId="0" sqref="B6"/>
    </sheetView>
  </sheetViews>
  <sheetFormatPr defaultColWidth="14.43359375" defaultRowHeight="15" zeroHeight="false" outlineLevelRow="0" outlineLevelCol="0"/>
  <cols>
    <col collapsed="false" customWidth="true" hidden="false" outlineLevel="0" max="1" min="1" style="1" width="14"/>
    <col collapsed="false" customWidth="true" hidden="false" outlineLevel="0" max="2" min="2" style="1" width="12"/>
    <col collapsed="false" customWidth="true" hidden="false" outlineLevel="0" max="3" min="3" style="1" width="34"/>
    <col collapsed="false" customWidth="true" hidden="false" outlineLevel="0" max="4" min="4" style="1" width="16"/>
    <col collapsed="false" customWidth="true" hidden="false" outlineLevel="0" max="6" min="5" style="1" width="12"/>
    <col collapsed="false" customWidth="true" hidden="false" outlineLevel="0" max="7" min="7" style="1" width="30"/>
    <col collapsed="false" customWidth="true" hidden="false" outlineLevel="0" max="26" min="8" style="1" width="8.71"/>
  </cols>
  <sheetData>
    <row r="1" customFormat="false" ht="17.25" hidden="false" customHeight="true" outlineLevel="0" collapsed="false">
      <c r="A1" s="9" t="s">
        <v>431</v>
      </c>
    </row>
    <row r="2" customFormat="false" ht="15" hidden="false" customHeight="true" outlineLevel="0" collapsed="false">
      <c r="A2" s="10" t="s">
        <v>432</v>
      </c>
    </row>
    <row r="3" customFormat="false" ht="15" hidden="false" customHeight="true" outlineLevel="0" collapsed="false">
      <c r="A3" s="37"/>
    </row>
    <row r="4" customFormat="false" ht="27.75" hidden="false" customHeight="true" outlineLevel="0" collapsed="false">
      <c r="A4" s="11" t="s">
        <v>433</v>
      </c>
      <c r="B4" s="11" t="s">
        <v>434</v>
      </c>
      <c r="C4" s="11" t="s">
        <v>435</v>
      </c>
      <c r="D4" s="11" t="s">
        <v>436</v>
      </c>
      <c r="E4" s="11" t="s">
        <v>420</v>
      </c>
      <c r="F4" s="11" t="s">
        <v>273</v>
      </c>
      <c r="G4" s="11" t="s">
        <v>437</v>
      </c>
    </row>
    <row r="5" customFormat="false" ht="15" hidden="false" customHeight="true" outlineLevel="0" collapsed="false">
      <c r="A5" s="20"/>
      <c r="B5" s="20"/>
      <c r="C5" s="20"/>
      <c r="D5" s="20"/>
      <c r="E5" s="20"/>
      <c r="F5" s="20"/>
      <c r="G5" s="20"/>
    </row>
    <row r="6" customFormat="false" ht="15" hidden="false" customHeight="true" outlineLevel="0" collapsed="false">
      <c r="A6" s="20"/>
      <c r="B6" s="20"/>
      <c r="C6" s="20"/>
      <c r="D6" s="20"/>
      <c r="E6" s="20"/>
      <c r="F6" s="20"/>
      <c r="G6" s="20"/>
    </row>
    <row r="7" customFormat="false" ht="15" hidden="false" customHeight="true" outlineLevel="0" collapsed="false">
      <c r="A7" s="20"/>
      <c r="B7" s="20"/>
      <c r="C7" s="20"/>
      <c r="D7" s="20"/>
      <c r="E7" s="20"/>
      <c r="F7" s="20"/>
      <c r="G7" s="20"/>
    </row>
    <row r="8" customFormat="false" ht="15" hidden="false" customHeight="true" outlineLevel="0" collapsed="false">
      <c r="A8" s="20"/>
      <c r="B8" s="20"/>
      <c r="C8" s="20"/>
      <c r="D8" s="20"/>
      <c r="E8" s="20"/>
      <c r="F8" s="20"/>
      <c r="G8" s="20"/>
    </row>
    <row r="9" customFormat="false" ht="15" hidden="false" customHeight="true" outlineLevel="0" collapsed="false">
      <c r="A9" s="20"/>
      <c r="B9" s="20"/>
      <c r="C9" s="20"/>
      <c r="D9" s="20"/>
      <c r="E9" s="20"/>
      <c r="F9" s="20"/>
      <c r="G9" s="20"/>
    </row>
    <row r="10" customFormat="false" ht="15" hidden="false" customHeight="true" outlineLevel="0" collapsed="false">
      <c r="B10" s="38"/>
    </row>
    <row r="11" customFormat="false" ht="15" hidden="false" customHeight="true" outlineLevel="0" collapsed="false">
      <c r="B11" s="38"/>
    </row>
    <row r="12" customFormat="false" ht="15" hidden="false" customHeight="true" outlineLevel="0" collapsed="false"/>
    <row r="13" customFormat="false" ht="15" hidden="false" customHeight="true" outlineLevel="0" collapsed="false"/>
    <row r="14" customFormat="false" ht="15" hidden="false" customHeight="true" outlineLevel="0" collapsed="false"/>
    <row r="15" customFormat="false" ht="15" hidden="false" customHeight="true" outlineLevel="0" collapsed="false"/>
    <row r="16" customFormat="false" ht="15" hidden="false" customHeight="true" outlineLevel="0" collapsed="false"/>
    <row r="17" customFormat="false" ht="15" hidden="false" customHeight="true" outlineLevel="0" collapsed="false"/>
    <row r="18" customFormat="false" ht="15" hidden="false" customHeight="true" outlineLevel="0" collapsed="false"/>
    <row r="19" customFormat="false" ht="15" hidden="false" customHeight="true" outlineLevel="0" collapsed="false"/>
    <row r="20" customFormat="false" ht="15" hidden="false" customHeight="true" outlineLevel="0" collapsed="false"/>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dataValidations count="2">
    <dataValidation allowBlank="true" errorStyle="stop" operator="between" showDropDown="false" showErrorMessage="false" showInputMessage="false" sqref="F5:F1000" type="list">
      <formula1>"Draf,Disahkan"</formula1>
      <formula2>0</formula2>
    </dataValidation>
    <dataValidation allowBlank="true" errorStyle="stop" operator="between" showDropDown="false" showErrorMessage="false" showInputMessage="false" sqref="E5:E1000" type="list">
      <formula1>"Tunai,Bank,Online"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B6" activeCellId="0" sqref="B6"/>
    </sheetView>
  </sheetViews>
  <sheetFormatPr defaultColWidth="14.43359375" defaultRowHeight="15" zeroHeight="false" outlineLevelRow="0" outlineLevelCol="0"/>
  <cols>
    <col collapsed="false" customWidth="true" hidden="false" outlineLevel="0" max="1" min="1" style="1" width="10"/>
    <col collapsed="false" customWidth="true" hidden="false" outlineLevel="0" max="2" min="2" style="1" width="14"/>
    <col collapsed="false" customWidth="true" hidden="false" outlineLevel="0" max="3" min="3" style="1" width="12"/>
    <col collapsed="false" customWidth="true" hidden="false" outlineLevel="0" max="5" min="4" style="1" width="16"/>
    <col collapsed="false" customWidth="true" hidden="false" outlineLevel="0" max="6" min="6" style="1" width="34"/>
    <col collapsed="false" customWidth="true" hidden="false" outlineLevel="0" max="7" min="7" style="1" width="20"/>
    <col collapsed="false" customWidth="true" hidden="false" outlineLevel="0" max="26" min="8" style="1" width="16"/>
  </cols>
  <sheetData>
    <row r="1" customFormat="false" ht="17.25" hidden="false" customHeight="true" outlineLevel="0" collapsed="false">
      <c r="A1" s="9" t="s">
        <v>438</v>
      </c>
    </row>
    <row r="2" customFormat="false" ht="15" hidden="false" customHeight="true" outlineLevel="0" collapsed="false">
      <c r="A2" s="10" t="s">
        <v>439</v>
      </c>
    </row>
    <row r="3" customFormat="false" ht="15" hidden="false" customHeight="true" outlineLevel="0" collapsed="false"/>
    <row r="4" customFormat="false" ht="27.75" hidden="false" customHeight="true" outlineLevel="0" collapsed="false">
      <c r="A4" s="11" t="s">
        <v>440</v>
      </c>
      <c r="B4" s="11" t="s">
        <v>433</v>
      </c>
      <c r="C4" s="11" t="s">
        <v>267</v>
      </c>
      <c r="D4" s="11" t="s">
        <v>95</v>
      </c>
      <c r="E4" s="11" t="s">
        <v>98</v>
      </c>
      <c r="F4" s="11" t="s">
        <v>441</v>
      </c>
      <c r="G4" s="11" t="s">
        <v>233</v>
      </c>
      <c r="H4" s="11" t="s">
        <v>442</v>
      </c>
    </row>
    <row r="5" customFormat="false" ht="15" hidden="false" customHeight="true" outlineLevel="0" collapsed="false">
      <c r="A5" s="20"/>
      <c r="B5" s="20"/>
      <c r="C5" s="20"/>
      <c r="D5" s="39"/>
      <c r="E5" s="39"/>
      <c r="F5" s="20"/>
      <c r="G5" s="24" t="str">
        <f aca="false" t="array" ref="G5:G5">IF(C5="","",INDEX(Akaun!$F$5:$F$150,MATCH(C5,Akaun!$A$5:$A$150,0)))</f>
        <v/>
      </c>
      <c r="H5" s="24" t="str">
        <f aca="false">IF(C5="","",INDEX(Akaun!$D$5:$D$150,MATCH(C5,Akaun!$A$5:$A$150,0)))</f>
        <v/>
      </c>
    </row>
    <row r="6" customFormat="false" ht="15" hidden="false" customHeight="true" outlineLevel="0" collapsed="false">
      <c r="A6" s="20"/>
      <c r="B6" s="20"/>
      <c r="C6" s="20"/>
      <c r="D6" s="39"/>
      <c r="E6" s="39"/>
      <c r="F6" s="20"/>
      <c r="G6" s="24" t="str">
        <f aca="false" t="array" ref="G6:G6">IF(C6="","",INDEX(Akaun!$F$5:$F$150,MATCH(C6,Akaun!$A$5:$A$150,0)))</f>
        <v/>
      </c>
      <c r="H6" s="24" t="str">
        <f aca="false">IF(C6="","",INDEX(Akaun!$D$5:$D$150,MATCH(C6,Akaun!$A$5:$A$150,0)))</f>
        <v/>
      </c>
    </row>
    <row r="7" customFormat="false" ht="15" hidden="false" customHeight="true" outlineLevel="0" collapsed="false">
      <c r="A7" s="20"/>
      <c r="B7" s="20"/>
      <c r="C7" s="20"/>
      <c r="D7" s="39"/>
      <c r="E7" s="39"/>
      <c r="F7" s="20"/>
      <c r="G7" s="24" t="str">
        <f aca="false" t="array" ref="G7:G7">IF(C7="","",INDEX(Akaun!$F$5:$F$150,MATCH(C7,Akaun!$A$5:$A$150,0)))</f>
        <v/>
      </c>
      <c r="H7" s="24" t="str">
        <f aca="false">IF(C7="","",INDEX(Akaun!$D$5:$D$150,MATCH(C7,Akaun!$A$5:$A$150,0)))</f>
        <v/>
      </c>
    </row>
    <row r="8" customFormat="false" ht="15" hidden="false" customHeight="true" outlineLevel="0" collapsed="false">
      <c r="A8" s="20"/>
      <c r="B8" s="20"/>
      <c r="C8" s="20"/>
      <c r="D8" s="39"/>
      <c r="E8" s="39"/>
      <c r="F8" s="20"/>
      <c r="G8" s="24" t="str">
        <f aca="false" t="array" ref="G8:G8">IF(C8="","",INDEX(Akaun!$F$5:$F$150,MATCH(C8,Akaun!$A$5:$A$150,0)))</f>
        <v/>
      </c>
      <c r="H8" s="24" t="str">
        <f aca="false">IF(C8="","",INDEX(Akaun!$D$5:$D$150,MATCH(C8,Akaun!$A$5:$A$150,0)))</f>
        <v/>
      </c>
    </row>
    <row r="9" customFormat="false" ht="15" hidden="false" customHeight="true" outlineLevel="0" collapsed="false">
      <c r="A9" s="20"/>
      <c r="B9" s="20"/>
      <c r="C9" s="20"/>
      <c r="D9" s="39"/>
      <c r="E9" s="39"/>
      <c r="F9" s="20"/>
      <c r="G9" s="24" t="str">
        <f aca="false" t="array" ref="G9:G9">IF(C9="","",INDEX(Akaun!$F$5:$F$150,MATCH(C9,Akaun!$A$5:$A$150,0)))</f>
        <v/>
      </c>
      <c r="H9" s="24" t="str">
        <f aca="false">IF(C9="","",INDEX(Akaun!$D$5:$D$150,MATCH(C9,Akaun!$A$5:$A$150,0)))</f>
        <v/>
      </c>
    </row>
    <row r="10" customFormat="false" ht="15" hidden="false" customHeight="true" outlineLevel="0" collapsed="false">
      <c r="A10" s="20"/>
      <c r="B10" s="20"/>
      <c r="C10" s="20"/>
      <c r="D10" s="39"/>
      <c r="E10" s="39"/>
      <c r="F10" s="20"/>
      <c r="G10" s="24" t="str">
        <f aca="false" t="array" ref="G10:G10">IF(C10="","",INDEX(Akaun!$F$5:$F$150,MATCH(C10,Akaun!$A$5:$A$150,0)))</f>
        <v/>
      </c>
      <c r="H10" s="24" t="str">
        <f aca="false">IF(C10="","",INDEX(Akaun!$D$5:$D$150,MATCH(C10,Akaun!$A$5:$A$150,0)))</f>
        <v/>
      </c>
    </row>
    <row r="11" customFormat="false" ht="15" hidden="false" customHeight="true" outlineLevel="0" collapsed="false">
      <c r="A11" s="20"/>
      <c r="B11" s="20"/>
      <c r="C11" s="20"/>
      <c r="D11" s="39"/>
      <c r="E11" s="39"/>
      <c r="F11" s="20"/>
      <c r="G11" s="24" t="str">
        <f aca="false" t="array" ref="G11:G11">IF(C11="","",INDEX(Akaun!$F$5:$F$150,MATCH(C11,Akaun!$A$5:$A$150,0)))</f>
        <v/>
      </c>
      <c r="H11" s="24" t="str">
        <f aca="false">IF(C11="","",INDEX(Akaun!$D$5:$D$150,MATCH(C11,Akaun!$A$5:$A$150,0)))</f>
        <v/>
      </c>
    </row>
    <row r="12" customFormat="false" ht="15" hidden="false" customHeight="true" outlineLevel="0" collapsed="false">
      <c r="A12" s="20"/>
      <c r="B12" s="20"/>
      <c r="C12" s="20"/>
      <c r="D12" s="39"/>
      <c r="E12" s="39"/>
      <c r="F12" s="20"/>
      <c r="G12" s="24" t="str">
        <f aca="false" t="array" ref="G12:G12">IF(C12="","",INDEX(Akaun!$F$5:$F$150,MATCH(C12,Akaun!$A$5:$A$150,0)))</f>
        <v/>
      </c>
      <c r="H12" s="24" t="str">
        <f aca="false">IF(C12="","",INDEX(Akaun!$D$5:$D$150,MATCH(C12,Akaun!$A$5:$A$150,0)))</f>
        <v/>
      </c>
    </row>
    <row r="13" customFormat="false" ht="15" hidden="false" customHeight="true" outlineLevel="0" collapsed="false">
      <c r="A13" s="20"/>
      <c r="B13" s="20"/>
      <c r="C13" s="20"/>
      <c r="D13" s="39"/>
      <c r="E13" s="39"/>
      <c r="F13" s="20"/>
      <c r="G13" s="24" t="str">
        <f aca="false" t="array" ref="G13:G13">IF(C13="","",INDEX(Akaun!$F$5:$F$150,MATCH(C13,Akaun!$A$5:$A$150,0)))</f>
        <v/>
      </c>
      <c r="H13" s="24" t="str">
        <f aca="false">IF(C13="","",INDEX(Akaun!$D$5:$D$150,MATCH(C13,Akaun!$A$5:$A$150,0)))</f>
        <v/>
      </c>
    </row>
    <row r="14" customFormat="false" ht="15" hidden="false" customHeight="true" outlineLevel="0" collapsed="false">
      <c r="A14" s="20"/>
      <c r="B14" s="20"/>
      <c r="C14" s="20"/>
      <c r="D14" s="39"/>
      <c r="E14" s="39"/>
      <c r="F14" s="20"/>
      <c r="G14" s="24" t="str">
        <f aca="false" t="array" ref="G14:G14">IF(C14="","",INDEX(Akaun!$F$5:$F$150,MATCH(C14,Akaun!$A$5:$A$150,0)))</f>
        <v/>
      </c>
      <c r="H14" s="24" t="str">
        <f aca="false">IF(C14="","",INDEX(Akaun!$D$5:$D$150,MATCH(C14,Akaun!$A$5:$A$150,0)))</f>
        <v/>
      </c>
    </row>
    <row r="15" customFormat="false" ht="15" hidden="false" customHeight="true" outlineLevel="0" collapsed="false">
      <c r="A15" s="20"/>
      <c r="B15" s="20"/>
      <c r="C15" s="20"/>
      <c r="D15" s="39"/>
      <c r="E15" s="39"/>
      <c r="F15" s="20"/>
      <c r="G15" s="24" t="str">
        <f aca="false" t="array" ref="G15:G15">IF(C15="","",INDEX(Akaun!$F$5:$F$150,MATCH(C15,Akaun!$A$5:$A$150,0)))</f>
        <v/>
      </c>
      <c r="H15" s="24" t="str">
        <f aca="false">IF(C15="","",INDEX(Akaun!$D$5:$D$150,MATCH(C15,Akaun!$A$5:$A$150,0)))</f>
        <v/>
      </c>
    </row>
    <row r="16" customFormat="false" ht="15" hidden="false" customHeight="true" outlineLevel="0" collapsed="false">
      <c r="A16" s="20"/>
      <c r="B16" s="20"/>
      <c r="C16" s="20"/>
      <c r="D16" s="39"/>
      <c r="E16" s="39"/>
      <c r="F16" s="20"/>
      <c r="G16" s="24" t="str">
        <f aca="false" t="array" ref="G16:G16">IF(C16="","",INDEX(Akaun!$F$5:$F$150,MATCH(C16,Akaun!$A$5:$A$150,0)))</f>
        <v/>
      </c>
      <c r="H16" s="24" t="str">
        <f aca="false">IF(C16="","",INDEX(Akaun!$D$5:$D$150,MATCH(C16,Akaun!$A$5:$A$150,0)))</f>
        <v/>
      </c>
    </row>
    <row r="17" customFormat="false" ht="15" hidden="false" customHeight="true" outlineLevel="0" collapsed="false">
      <c r="A17" s="20"/>
      <c r="B17" s="20"/>
      <c r="C17" s="20"/>
      <c r="D17" s="39"/>
      <c r="E17" s="39"/>
      <c r="F17" s="20"/>
      <c r="G17" s="24" t="str">
        <f aca="false" t="array" ref="G17:G17">IF(C17="","",INDEX(Akaun!$F$5:$F$150,MATCH(C17,Akaun!$A$5:$A$150,0)))</f>
        <v/>
      </c>
      <c r="H17" s="24" t="str">
        <f aca="false">IF(C17="","",INDEX(Akaun!$D$5:$D$150,MATCH(C17,Akaun!$A$5:$A$150,0)))</f>
        <v/>
      </c>
    </row>
    <row r="18" customFormat="false" ht="15" hidden="false" customHeight="true" outlineLevel="0" collapsed="false">
      <c r="G18" s="1" t="str">
        <f aca="false" t="array" ref="G18:G18">IF(C18="","",INDEX(Akaun!$F$5:$F$150,MATCH(C18,Akaun!$A$5:$A$150,0)))</f>
        <v/>
      </c>
      <c r="H18" s="1" t="str">
        <f aca="false">IF(C18="","",INDEX(Akaun!$D$5:$D$150,MATCH(C18,Akaun!$A$5:$A$150,0)))</f>
        <v/>
      </c>
    </row>
    <row r="19" customFormat="false" ht="15" hidden="false" customHeight="true" outlineLevel="0" collapsed="false">
      <c r="G19" s="1" t="str">
        <f aca="false" t="array" ref="G19:G19">IF(C19="","",INDEX(Akaun!$F$5:$F$150,MATCH(C19,Akaun!$A$5:$A$150,0)))</f>
        <v/>
      </c>
      <c r="H19" s="1" t="str">
        <f aca="false">IF(C19="","",INDEX(Akaun!$D$5:$D$150,MATCH(C19,Akaun!$A$5:$A$150,0)))</f>
        <v/>
      </c>
    </row>
    <row r="20" customFormat="false" ht="15" hidden="false" customHeight="true" outlineLevel="0" collapsed="false">
      <c r="G20" s="1" t="str">
        <f aca="false" t="array" ref="G20:G20">IF(C20="","",INDEX(Akaun!$F$5:$F$150,MATCH(C20,Akaun!$A$5:$A$150,0)))</f>
        <v/>
      </c>
      <c r="H20" s="1" t="str">
        <f aca="false">IF(C20="","",INDEX(Akaun!$D$5:$D$150,MATCH(C20,Akaun!$A$5:$A$150,0)))</f>
        <v/>
      </c>
    </row>
    <row r="21" customFormat="false" ht="15" hidden="false" customHeight="true" outlineLevel="0" collapsed="false">
      <c r="G21" s="1" t="str">
        <f aca="false" t="array" ref="G21:G21">IF(C21="","",INDEX(Akaun!$F$5:$F$150,MATCH(C21,Akaun!$A$5:$A$150,0)))</f>
        <v/>
      </c>
      <c r="H21" s="1" t="str">
        <f aca="false">IF(C21="","",INDEX(Akaun!$D$5:$D$150,MATCH(C21,Akaun!$A$5:$A$150,0)))</f>
        <v/>
      </c>
    </row>
    <row r="22" customFormat="false" ht="15" hidden="false" customHeight="true" outlineLevel="0" collapsed="false">
      <c r="G22" s="1" t="str">
        <f aca="false" t="array" ref="G22:G22">IF(C22="","",INDEX(Akaun!$F$5:$F$150,MATCH(C22,Akaun!$A$5:$A$150,0)))</f>
        <v/>
      </c>
      <c r="H22" s="1" t="str">
        <f aca="false">IF(C22="","",INDEX(Akaun!$D$5:$D$150,MATCH(C22,Akaun!$A$5:$A$150,0)))</f>
        <v/>
      </c>
    </row>
    <row r="23" customFormat="false" ht="15" hidden="false" customHeight="true" outlineLevel="0" collapsed="false">
      <c r="G23" s="1" t="str">
        <f aca="false" t="array" ref="G23:G23">IF(C23="","",INDEX(Akaun!$F$5:$F$150,MATCH(C23,Akaun!$A$5:$A$150,0)))</f>
        <v/>
      </c>
      <c r="H23" s="1" t="str">
        <f aca="false">IF(C23="","",INDEX(Akaun!$D$5:$D$150,MATCH(C23,Akaun!$A$5:$A$150,0)))</f>
        <v/>
      </c>
    </row>
    <row r="24" customFormat="false" ht="15" hidden="false" customHeight="true" outlineLevel="0" collapsed="false">
      <c r="G24" s="1" t="str">
        <f aca="false" t="array" ref="G24:G24">IF(C24="","",INDEX(Akaun!$F$5:$F$150,MATCH(C24,Akaun!$A$5:$A$150,0)))</f>
        <v/>
      </c>
      <c r="H24" s="1" t="str">
        <f aca="false">IF(C24="","",INDEX(Akaun!$D$5:$D$150,MATCH(C24,Akaun!$A$5:$A$150,0)))</f>
        <v/>
      </c>
    </row>
    <row r="25" customFormat="false" ht="15" hidden="false" customHeight="true" outlineLevel="0" collapsed="false">
      <c r="G25" s="1" t="str">
        <f aca="false" t="array" ref="G25:G25">IF(C25="","",INDEX(Akaun!$F$5:$F$150,MATCH(C25,Akaun!$A$5:$A$150,0)))</f>
        <v/>
      </c>
      <c r="H25" s="1" t="str">
        <f aca="false">IF(C25="","",INDEX(Akaun!$D$5:$D$150,MATCH(C25,Akaun!$A$5:$A$150,0)))</f>
        <v/>
      </c>
    </row>
    <row r="26" customFormat="false" ht="15" hidden="false" customHeight="true" outlineLevel="0" collapsed="false">
      <c r="G26" s="1" t="str">
        <f aca="false" t="array" ref="G26:G26">IF(C26="","",INDEX(Akaun!$F$5:$F$150,MATCH(C26,Akaun!$A$5:$A$150,0)))</f>
        <v/>
      </c>
      <c r="H26" s="1" t="str">
        <f aca="false">IF(C26="","",INDEX(Akaun!$D$5:$D$150,MATCH(C26,Akaun!$A$5:$A$150,0)))</f>
        <v/>
      </c>
    </row>
    <row r="27" customFormat="false" ht="15" hidden="false" customHeight="true" outlineLevel="0" collapsed="false">
      <c r="G27" s="1" t="str">
        <f aca="false" t="array" ref="G27:G27">IF(C27="","",INDEX(Akaun!$F$5:$F$150,MATCH(C27,Akaun!$A$5:$A$150,0)))</f>
        <v/>
      </c>
      <c r="H27" s="1" t="str">
        <f aca="false">IF(C27="","",INDEX(Akaun!$D$5:$D$150,MATCH(C27,Akaun!$A$5:$A$150,0)))</f>
        <v/>
      </c>
    </row>
    <row r="28" customFormat="false" ht="15" hidden="false" customHeight="true" outlineLevel="0" collapsed="false">
      <c r="G28" s="1" t="str">
        <f aca="false" t="array" ref="G28:G28">IF(C28="","",INDEX(Akaun!$F$5:$F$150,MATCH(C28,Akaun!$A$5:$A$150,0)))</f>
        <v/>
      </c>
      <c r="H28" s="1" t="str">
        <f aca="false">IF(C28="","",INDEX(Akaun!$D$5:$D$150,MATCH(C28,Akaun!$A$5:$A$150,0)))</f>
        <v/>
      </c>
    </row>
    <row r="29" customFormat="false" ht="15" hidden="false" customHeight="true" outlineLevel="0" collapsed="false">
      <c r="G29" s="1" t="str">
        <f aca="false" t="array" ref="G29:G29">IF(C29="","",INDEX(Akaun!$F$5:$F$150,MATCH(C29,Akaun!$A$5:$A$150,0)))</f>
        <v/>
      </c>
      <c r="H29" s="1" t="str">
        <f aca="false">IF(C29="","",INDEX(Akaun!$D$5:$D$150,MATCH(C29,Akaun!$A$5:$A$150,0)))</f>
        <v/>
      </c>
    </row>
    <row r="30" customFormat="false" ht="15" hidden="false" customHeight="true" outlineLevel="0" collapsed="false">
      <c r="G30" s="1" t="str">
        <f aca="false" t="array" ref="G30:G30">IF(C30="","",INDEX(Akaun!$F$5:$F$150,MATCH(C30,Akaun!$A$5:$A$150,0)))</f>
        <v/>
      </c>
      <c r="H30" s="1" t="str">
        <f aca="false">IF(C30="","",INDEX(Akaun!$D$5:$D$150,MATCH(C30,Akaun!$A$5:$A$150,0)))</f>
        <v/>
      </c>
    </row>
    <row r="31" customFormat="false" ht="15" hidden="false" customHeight="true" outlineLevel="0" collapsed="false">
      <c r="G31" s="1" t="str">
        <f aca="false" t="array" ref="G31:G31">IF(C31="","",INDEX(Akaun!$F$5:$F$150,MATCH(C31,Akaun!$A$5:$A$150,0)))</f>
        <v/>
      </c>
      <c r="H31" s="1" t="str">
        <f aca="false">IF(C31="","",INDEX(Akaun!$D$5:$D$150,MATCH(C31,Akaun!$A$5:$A$150,0)))</f>
        <v/>
      </c>
    </row>
    <row r="32" customFormat="false" ht="15" hidden="false" customHeight="true" outlineLevel="0" collapsed="false">
      <c r="G32" s="1" t="str">
        <f aca="false" t="array" ref="G32:G32">IF(C32="","",INDEX(Akaun!$F$5:$F$150,MATCH(C32,Akaun!$A$5:$A$150,0)))</f>
        <v/>
      </c>
      <c r="H32" s="1" t="str">
        <f aca="false">IF(C32="","",INDEX(Akaun!$D$5:$D$150,MATCH(C32,Akaun!$A$5:$A$150,0)))</f>
        <v/>
      </c>
    </row>
    <row r="33" customFormat="false" ht="15" hidden="false" customHeight="true" outlineLevel="0" collapsed="false">
      <c r="G33" s="1" t="str">
        <f aca="false" t="array" ref="G33:G33">IF(C33="","",INDEX(Akaun!$F$5:$F$150,MATCH(C33,Akaun!$A$5:$A$150,0)))</f>
        <v/>
      </c>
      <c r="H33" s="1" t="str">
        <f aca="false">IF(C33="","",INDEX(Akaun!$D$5:$D$150,MATCH(C33,Akaun!$A$5:$A$150,0)))</f>
        <v/>
      </c>
    </row>
    <row r="34" customFormat="false" ht="15" hidden="false" customHeight="true" outlineLevel="0" collapsed="false">
      <c r="G34" s="1" t="str">
        <f aca="false" t="array" ref="G34:G34">IF(C34="","",INDEX(Akaun!$F$5:$F$150,MATCH(C34,Akaun!$A$5:$A$150,0)))</f>
        <v/>
      </c>
      <c r="H34" s="1" t="str">
        <f aca="false">IF(C34="","",INDEX(Akaun!$D$5:$D$150,MATCH(C34,Akaun!$A$5:$A$150,0)))</f>
        <v/>
      </c>
    </row>
    <row r="35" customFormat="false" ht="15" hidden="false" customHeight="true" outlineLevel="0" collapsed="false">
      <c r="G35" s="1" t="str">
        <f aca="false" t="array" ref="G35:G35">IF(C35="","",INDEX(Akaun!$F$5:$F$150,MATCH(C35,Akaun!$A$5:$A$150,0)))</f>
        <v/>
      </c>
      <c r="H35" s="1" t="str">
        <f aca="false">IF(C35="","",INDEX(Akaun!$D$5:$D$150,MATCH(C35,Akaun!$A$5:$A$150,0)))</f>
        <v/>
      </c>
    </row>
    <row r="36" customFormat="false" ht="15" hidden="false" customHeight="true" outlineLevel="0" collapsed="false">
      <c r="G36" s="1" t="str">
        <f aca="false" t="array" ref="G36:G36">IF(C36="","",INDEX(Akaun!$F$5:$F$150,MATCH(C36,Akaun!$A$5:$A$150,0)))</f>
        <v/>
      </c>
      <c r="H36" s="1" t="str">
        <f aca="false">IF(C36="","",INDEX(Akaun!$D$5:$D$150,MATCH(C36,Akaun!$A$5:$A$150,0)))</f>
        <v/>
      </c>
    </row>
    <row r="37" customFormat="false" ht="15" hidden="false" customHeight="true" outlineLevel="0" collapsed="false">
      <c r="G37" s="1" t="str">
        <f aca="false" t="array" ref="G37:G37">IF(C37="","",INDEX(Akaun!$F$5:$F$150,MATCH(C37,Akaun!$A$5:$A$150,0)))</f>
        <v/>
      </c>
      <c r="H37" s="1" t="str">
        <f aca="false">IF(C37="","",INDEX(Akaun!$D$5:$D$150,MATCH(C37,Akaun!$A$5:$A$150,0)))</f>
        <v/>
      </c>
    </row>
    <row r="38" customFormat="false" ht="15" hidden="false" customHeight="true" outlineLevel="0" collapsed="false">
      <c r="G38" s="1" t="str">
        <f aca="false" t="array" ref="G38:G38">IF(C38="","",INDEX(Akaun!$F$5:$F$150,MATCH(C38,Akaun!$A$5:$A$150,0)))</f>
        <v/>
      </c>
      <c r="H38" s="1" t="str">
        <f aca="false">IF(C38="","",INDEX(Akaun!$D$5:$D$150,MATCH(C38,Akaun!$A$5:$A$150,0)))</f>
        <v/>
      </c>
    </row>
    <row r="39" customFormat="false" ht="15" hidden="false" customHeight="true" outlineLevel="0" collapsed="false">
      <c r="G39" s="1" t="str">
        <f aca="false" t="array" ref="G39:G39">IF(C39="","",INDEX(Akaun!$F$5:$F$150,MATCH(C39,Akaun!$A$5:$A$150,0)))</f>
        <v/>
      </c>
      <c r="H39" s="1" t="str">
        <f aca="false">IF(C39="","",INDEX(Akaun!$D$5:$D$150,MATCH(C39,Akaun!$A$5:$A$150,0)))</f>
        <v/>
      </c>
    </row>
    <row r="40" customFormat="false" ht="15" hidden="false" customHeight="true" outlineLevel="0" collapsed="false">
      <c r="G40" s="1" t="str">
        <f aca="false" t="array" ref="G40:G40">IF(C40="","",INDEX(Akaun!$F$5:$F$150,MATCH(C40,Akaun!$A$5:$A$150,0)))</f>
        <v/>
      </c>
      <c r="H40" s="1" t="str">
        <f aca="false">IF(C40="","",INDEX(Akaun!$D$5:$D$150,MATCH(C40,Akaun!$A$5:$A$150,0)))</f>
        <v/>
      </c>
    </row>
    <row r="41" customFormat="false" ht="15" hidden="false" customHeight="true" outlineLevel="0" collapsed="false">
      <c r="G41" s="1" t="str">
        <f aca="false" t="array" ref="G41:G41">IF(C41="","",INDEX(Akaun!$F$5:$F$150,MATCH(C41,Akaun!$A$5:$A$150,0)))</f>
        <v/>
      </c>
      <c r="H41" s="1" t="str">
        <f aca="false">IF(C41="","",INDEX(Akaun!$D$5:$D$150,MATCH(C41,Akaun!$A$5:$A$150,0)))</f>
        <v/>
      </c>
    </row>
    <row r="42" customFormat="false" ht="15" hidden="false" customHeight="true" outlineLevel="0" collapsed="false">
      <c r="G42" s="1" t="str">
        <f aca="false" t="array" ref="G42:G42">IF(C42="","",INDEX(Akaun!$F$5:$F$150,MATCH(C42,Akaun!$A$5:$A$150,0)))</f>
        <v/>
      </c>
      <c r="H42" s="1" t="str">
        <f aca="false">IF(C42="","",INDEX(Akaun!$D$5:$D$150,MATCH(C42,Akaun!$A$5:$A$150,0)))</f>
        <v/>
      </c>
    </row>
    <row r="43" customFormat="false" ht="15" hidden="false" customHeight="true" outlineLevel="0" collapsed="false">
      <c r="G43" s="1" t="str">
        <f aca="false" t="array" ref="G43:G43">IF(C43="","",INDEX(Akaun!$F$5:$F$150,MATCH(C43,Akaun!$A$5:$A$150,0)))</f>
        <v/>
      </c>
      <c r="H43" s="1" t="str">
        <f aca="false">IF(C43="","",INDEX(Akaun!$D$5:$D$150,MATCH(C43,Akaun!$A$5:$A$150,0)))</f>
        <v/>
      </c>
    </row>
    <row r="44" customFormat="false" ht="15" hidden="false" customHeight="true" outlineLevel="0" collapsed="false">
      <c r="G44" s="1" t="str">
        <f aca="false" t="array" ref="G44:G44">IF(C44="","",INDEX(Akaun!$F$5:$F$150,MATCH(C44,Akaun!$A$5:$A$150,0)))</f>
        <v/>
      </c>
      <c r="H44" s="1" t="str">
        <f aca="false">IF(C44="","",INDEX(Akaun!$D$5:$D$150,MATCH(C44,Akaun!$A$5:$A$150,0)))</f>
        <v/>
      </c>
    </row>
    <row r="45" customFormat="false" ht="15" hidden="false" customHeight="true" outlineLevel="0" collapsed="false">
      <c r="G45" s="1" t="str">
        <f aca="false" t="array" ref="G45:G45">IF(C45="","",INDEX(Akaun!$F$5:$F$150,MATCH(C45,Akaun!$A$5:$A$150,0)))</f>
        <v/>
      </c>
      <c r="H45" s="1" t="str">
        <f aca="false">IF(C45="","",INDEX(Akaun!$D$5:$D$150,MATCH(C45,Akaun!$A$5:$A$150,0)))</f>
        <v/>
      </c>
    </row>
    <row r="46" customFormat="false" ht="15" hidden="false" customHeight="true" outlineLevel="0" collapsed="false">
      <c r="G46" s="1" t="str">
        <f aca="false" t="array" ref="G46:G46">IF(C46="","",INDEX(Akaun!$F$5:$F$150,MATCH(C46,Akaun!$A$5:$A$150,0)))</f>
        <v/>
      </c>
      <c r="H46" s="1" t="str">
        <f aca="false">IF(C46="","",INDEX(Akaun!$D$5:$D$150,MATCH(C46,Akaun!$A$5:$A$150,0)))</f>
        <v/>
      </c>
    </row>
    <row r="47" customFormat="false" ht="15" hidden="false" customHeight="true" outlineLevel="0" collapsed="false">
      <c r="G47" s="1" t="str">
        <f aca="false" t="array" ref="G47:G47">IF(C47="","",INDEX(Akaun!$F$5:$F$150,MATCH(C47,Akaun!$A$5:$A$150,0)))</f>
        <v/>
      </c>
      <c r="H47" s="1" t="str">
        <f aca="false">IF(C47="","",INDEX(Akaun!$D$5:$D$150,MATCH(C47,Akaun!$A$5:$A$150,0)))</f>
        <v/>
      </c>
    </row>
    <row r="48" customFormat="false" ht="15" hidden="false" customHeight="true" outlineLevel="0" collapsed="false">
      <c r="G48" s="1" t="str">
        <f aca="false" t="array" ref="G48:G48">IF(C48="","",INDEX(Akaun!$F$5:$F$150,MATCH(C48,Akaun!$A$5:$A$150,0)))</f>
        <v/>
      </c>
      <c r="H48" s="1" t="str">
        <f aca="false">IF(C48="","",INDEX(Akaun!$D$5:$D$150,MATCH(C48,Akaun!$A$5:$A$150,0)))</f>
        <v/>
      </c>
    </row>
    <row r="49" customFormat="false" ht="15" hidden="false" customHeight="true" outlineLevel="0" collapsed="false">
      <c r="G49" s="1" t="str">
        <f aca="false" t="array" ref="G49:G49">IF(C49="","",INDEX(Akaun!$F$5:$F$150,MATCH(C49,Akaun!$A$5:$A$150,0)))</f>
        <v/>
      </c>
      <c r="H49" s="1" t="str">
        <f aca="false">IF(C49="","",INDEX(Akaun!$D$5:$D$150,MATCH(C49,Akaun!$A$5:$A$150,0)))</f>
        <v/>
      </c>
    </row>
    <row r="50" customFormat="false" ht="15" hidden="false" customHeight="true" outlineLevel="0" collapsed="false">
      <c r="G50" s="1" t="str">
        <f aca="false" t="array" ref="G50:G50">IF(C50="","",INDEX(Akaun!$F$5:$F$150,MATCH(C50,Akaun!$A$5:$A$150,0)))</f>
        <v/>
      </c>
      <c r="H50" s="1" t="str">
        <f aca="false">IF(C50="","",INDEX(Akaun!$D$5:$D$150,MATCH(C50,Akaun!$A$5:$A$150,0)))</f>
        <v/>
      </c>
    </row>
    <row r="51" customFormat="false" ht="15" hidden="false" customHeight="true" outlineLevel="0" collapsed="false">
      <c r="G51" s="1" t="str">
        <f aca="false" t="array" ref="G51:G51">IF(C51="","",INDEX(Akaun!$F$5:$F$150,MATCH(C51,Akaun!$A$5:$A$150,0)))</f>
        <v/>
      </c>
      <c r="H51" s="1" t="str">
        <f aca="false">IF(C51="","",INDEX(Akaun!$D$5:$D$150,MATCH(C51,Akaun!$A$5:$A$150,0)))</f>
        <v/>
      </c>
    </row>
    <row r="52" customFormat="false" ht="15" hidden="false" customHeight="true" outlineLevel="0" collapsed="false">
      <c r="G52" s="1" t="str">
        <f aca="false" t="array" ref="G52:G52">IF(C52="","",INDEX(Akaun!$F$5:$F$150,MATCH(C52,Akaun!$A$5:$A$150,0)))</f>
        <v/>
      </c>
      <c r="H52" s="1" t="str">
        <f aca="false">IF(C52="","",INDEX(Akaun!$D$5:$D$150,MATCH(C52,Akaun!$A$5:$A$150,0)))</f>
        <v/>
      </c>
    </row>
    <row r="53" customFormat="false" ht="15" hidden="false" customHeight="true" outlineLevel="0" collapsed="false">
      <c r="G53" s="1" t="str">
        <f aca="false" t="array" ref="G53:G53">IF(C53="","",INDEX(Akaun!$F$5:$F$150,MATCH(C53,Akaun!$A$5:$A$150,0)))</f>
        <v/>
      </c>
      <c r="H53" s="1" t="str">
        <f aca="false">IF(C53="","",INDEX(Akaun!$D$5:$D$150,MATCH(C53,Akaun!$A$5:$A$150,0)))</f>
        <v/>
      </c>
    </row>
    <row r="54" customFormat="false" ht="15" hidden="false" customHeight="true" outlineLevel="0" collapsed="false">
      <c r="G54" s="1" t="str">
        <f aca="false" t="array" ref="G54:G54">IF(C54="","",INDEX(Akaun!$F$5:$F$150,MATCH(C54,Akaun!$A$5:$A$150,0)))</f>
        <v/>
      </c>
      <c r="H54" s="1" t="str">
        <f aca="false">IF(C54="","",INDEX(Akaun!$D$5:$D$150,MATCH(C54,Akaun!$A$5:$A$150,0)))</f>
        <v/>
      </c>
    </row>
    <row r="55" customFormat="false" ht="15" hidden="false" customHeight="true" outlineLevel="0" collapsed="false">
      <c r="G55" s="1" t="str">
        <f aca="false" t="array" ref="G55:G55">IF(C55="","",INDEX(Akaun!$F$5:$F$150,MATCH(C55,Akaun!$A$5:$A$150,0)))</f>
        <v/>
      </c>
      <c r="H55" s="1" t="str">
        <f aca="false">IF(C55="","",INDEX(Akaun!$D$5:$D$150,MATCH(C55,Akaun!$A$5:$A$150,0)))</f>
        <v/>
      </c>
    </row>
    <row r="56" customFormat="false" ht="15" hidden="false" customHeight="true" outlineLevel="0" collapsed="false">
      <c r="G56" s="1" t="str">
        <f aca="false" t="array" ref="G56:G56">IF(C56="","",INDEX(Akaun!$F$5:$F$150,MATCH(C56,Akaun!$A$5:$A$150,0)))</f>
        <v/>
      </c>
      <c r="H56" s="1" t="str">
        <f aca="false">IF(C56="","",INDEX(Akaun!$D$5:$D$150,MATCH(C56,Akaun!$A$5:$A$150,0)))</f>
        <v/>
      </c>
    </row>
    <row r="57" customFormat="false" ht="15" hidden="false" customHeight="true" outlineLevel="0" collapsed="false">
      <c r="G57" s="1" t="str">
        <f aca="false" t="array" ref="G57:G57">IF(C57="","",INDEX(Akaun!$F$5:$F$150,MATCH(C57,Akaun!$A$5:$A$150,0)))</f>
        <v/>
      </c>
      <c r="H57" s="1" t="str">
        <f aca="false">IF(C57="","",INDEX(Akaun!$D$5:$D$150,MATCH(C57,Akaun!$A$5:$A$150,0)))</f>
        <v/>
      </c>
    </row>
    <row r="58" customFormat="false" ht="15" hidden="false" customHeight="true" outlineLevel="0" collapsed="false">
      <c r="G58" s="1" t="str">
        <f aca="false" t="array" ref="G58:G58">IF(C58="","",INDEX(Akaun!$F$5:$F$150,MATCH(C58,Akaun!$A$5:$A$150,0)))</f>
        <v/>
      </c>
      <c r="H58" s="1" t="str">
        <f aca="false">IF(C58="","",INDEX(Akaun!$D$5:$D$150,MATCH(C58,Akaun!$A$5:$A$150,0)))</f>
        <v/>
      </c>
    </row>
    <row r="59" customFormat="false" ht="15" hidden="false" customHeight="true" outlineLevel="0" collapsed="false">
      <c r="G59" s="1" t="str">
        <f aca="false" t="array" ref="G59:G59">IF(C59="","",INDEX(Akaun!$F$5:$F$150,MATCH(C59,Akaun!$A$5:$A$150,0)))</f>
        <v/>
      </c>
      <c r="H59" s="1" t="str">
        <f aca="false">IF(C59="","",INDEX(Akaun!$D$5:$D$150,MATCH(C59,Akaun!$A$5:$A$150,0)))</f>
        <v/>
      </c>
    </row>
    <row r="60" customFormat="false" ht="15" hidden="false" customHeight="true" outlineLevel="0" collapsed="false">
      <c r="G60" s="1" t="str">
        <f aca="false" t="array" ref="G60:G60">IF(C60="","",INDEX(Akaun!$F$5:$F$150,MATCH(C60,Akaun!$A$5:$A$150,0)))</f>
        <v/>
      </c>
      <c r="H60" s="1" t="str">
        <f aca="false">IF(C60="","",INDEX(Akaun!$D$5:$D$150,MATCH(C60,Akaun!$A$5:$A$150,0)))</f>
        <v/>
      </c>
    </row>
    <row r="61" customFormat="false" ht="15" hidden="false" customHeight="true" outlineLevel="0" collapsed="false">
      <c r="G61" s="1" t="str">
        <f aca="false" t="array" ref="G61:G61">IF(C61="","",INDEX(Akaun!$F$5:$F$150,MATCH(C61,Akaun!$A$5:$A$150,0)))</f>
        <v/>
      </c>
      <c r="H61" s="1" t="str">
        <f aca="false">IF(C61="","",INDEX(Akaun!$D$5:$D$150,MATCH(C61,Akaun!$A$5:$A$150,0)))</f>
        <v/>
      </c>
    </row>
    <row r="62" customFormat="false" ht="15" hidden="false" customHeight="true" outlineLevel="0" collapsed="false">
      <c r="G62" s="1" t="str">
        <f aca="false" t="array" ref="G62:G62">IF(C62="","",INDEX(Akaun!$F$5:$F$150,MATCH(C62,Akaun!$A$5:$A$150,0)))</f>
        <v/>
      </c>
      <c r="H62" s="1" t="str">
        <f aca="false">IF(C62="","",INDEX(Akaun!$D$5:$D$150,MATCH(C62,Akaun!$A$5:$A$150,0)))</f>
        <v/>
      </c>
    </row>
    <row r="63" customFormat="false" ht="15" hidden="false" customHeight="true" outlineLevel="0" collapsed="false">
      <c r="G63" s="1" t="str">
        <f aca="false" t="array" ref="G63:G63">IF(C63="","",INDEX(Akaun!$F$5:$F$150,MATCH(C63,Akaun!$A$5:$A$150,0)))</f>
        <v/>
      </c>
      <c r="H63" s="1" t="str">
        <f aca="false">IF(C63="","",INDEX(Akaun!$D$5:$D$150,MATCH(C63,Akaun!$A$5:$A$150,0)))</f>
        <v/>
      </c>
    </row>
    <row r="64" customFormat="false" ht="15" hidden="false" customHeight="true" outlineLevel="0" collapsed="false">
      <c r="G64" s="1" t="str">
        <f aca="false" t="array" ref="G64:G64">IF(C64="","",INDEX(Akaun!$F$5:$F$150,MATCH(C64,Akaun!$A$5:$A$150,0)))</f>
        <v/>
      </c>
      <c r="H64" s="1" t="str">
        <f aca="false">IF(C64="","",INDEX(Akaun!$D$5:$D$150,MATCH(C64,Akaun!$A$5:$A$150,0)))</f>
        <v/>
      </c>
    </row>
    <row r="65" customFormat="false" ht="15" hidden="false" customHeight="true" outlineLevel="0" collapsed="false">
      <c r="G65" s="1" t="str">
        <f aca="false" t="array" ref="G65:G65">IF(C65="","",INDEX(Akaun!$F$5:$F$150,MATCH(C65,Akaun!$A$5:$A$150,0)))</f>
        <v/>
      </c>
      <c r="H65" s="1" t="str">
        <f aca="false">IF(C65="","",INDEX(Akaun!$D$5:$D$150,MATCH(C65,Akaun!$A$5:$A$150,0)))</f>
        <v/>
      </c>
    </row>
    <row r="66" customFormat="false" ht="15" hidden="false" customHeight="true" outlineLevel="0" collapsed="false">
      <c r="G66" s="1" t="str">
        <f aca="false" t="array" ref="G66:G66">IF(C66="","",INDEX(Akaun!$F$5:$F$150,MATCH(C66,Akaun!$A$5:$A$150,0)))</f>
        <v/>
      </c>
      <c r="H66" s="1" t="str">
        <f aca="false">IF(C66="","",INDEX(Akaun!$D$5:$D$150,MATCH(C66,Akaun!$A$5:$A$150,0)))</f>
        <v/>
      </c>
    </row>
    <row r="67" customFormat="false" ht="15" hidden="false" customHeight="true" outlineLevel="0" collapsed="false">
      <c r="G67" s="1" t="str">
        <f aca="false" t="array" ref="G67:G67">IF(C67="","",INDEX(Akaun!$F$5:$F$150,MATCH(C67,Akaun!$A$5:$A$150,0)))</f>
        <v/>
      </c>
      <c r="H67" s="1" t="str">
        <f aca="false">IF(C67="","",INDEX(Akaun!$D$5:$D$150,MATCH(C67,Akaun!$A$5:$A$150,0)))</f>
        <v/>
      </c>
    </row>
    <row r="68" customFormat="false" ht="15" hidden="false" customHeight="true" outlineLevel="0" collapsed="false">
      <c r="G68" s="1" t="str">
        <f aca="false" t="array" ref="G68:G68">IF(C68="","",INDEX(Akaun!$F$5:$F$150,MATCH(C68,Akaun!$A$5:$A$150,0)))</f>
        <v/>
      </c>
      <c r="H68" s="1" t="str">
        <f aca="false">IF(C68="","",INDEX(Akaun!$D$5:$D$150,MATCH(C68,Akaun!$A$5:$A$150,0)))</f>
        <v/>
      </c>
    </row>
    <row r="69" customFormat="false" ht="15" hidden="false" customHeight="true" outlineLevel="0" collapsed="false">
      <c r="G69" s="1" t="str">
        <f aca="false" t="array" ref="G69:G69">IF(C69="","",INDEX(Akaun!$F$5:$F$150,MATCH(C69,Akaun!$A$5:$A$150,0)))</f>
        <v/>
      </c>
      <c r="H69" s="1" t="str">
        <f aca="false">IF(C69="","",INDEX(Akaun!$D$5:$D$150,MATCH(C69,Akaun!$A$5:$A$150,0)))</f>
        <v/>
      </c>
    </row>
    <row r="70" customFormat="false" ht="15" hidden="false" customHeight="true" outlineLevel="0" collapsed="false">
      <c r="G70" s="1" t="str">
        <f aca="false" t="array" ref="G70:G70">IF(C70="","",INDEX(Akaun!$F$5:$F$150,MATCH(C70,Akaun!$A$5:$A$150,0)))</f>
        <v/>
      </c>
      <c r="H70" s="1" t="str">
        <f aca="false">IF(C70="","",INDEX(Akaun!$D$5:$D$150,MATCH(C70,Akaun!$A$5:$A$150,0)))</f>
        <v/>
      </c>
    </row>
    <row r="71" customFormat="false" ht="15" hidden="false" customHeight="true" outlineLevel="0" collapsed="false">
      <c r="G71" s="1" t="str">
        <f aca="false" t="array" ref="G71:G71">IF(C71="","",INDEX(Akaun!$F$5:$F$150,MATCH(C71,Akaun!$A$5:$A$150,0)))</f>
        <v/>
      </c>
      <c r="H71" s="1" t="str">
        <f aca="false">IF(C71="","",INDEX(Akaun!$D$5:$D$150,MATCH(C71,Akaun!$A$5:$A$150,0)))</f>
        <v/>
      </c>
    </row>
    <row r="72" customFormat="false" ht="15" hidden="false" customHeight="true" outlineLevel="0" collapsed="false">
      <c r="G72" s="1" t="str">
        <f aca="false" t="array" ref="G72:G72">IF(C72="","",INDEX(Akaun!$F$5:$F$150,MATCH(C72,Akaun!$A$5:$A$150,0)))</f>
        <v/>
      </c>
      <c r="H72" s="1" t="str">
        <f aca="false">IF(C72="","",INDEX(Akaun!$D$5:$D$150,MATCH(C72,Akaun!$A$5:$A$150,0)))</f>
        <v/>
      </c>
    </row>
    <row r="73" customFormat="false" ht="15" hidden="false" customHeight="true" outlineLevel="0" collapsed="false">
      <c r="G73" s="1" t="str">
        <f aca="false" t="array" ref="G73:G73">IF(C73="","",INDEX(Akaun!$F$5:$F$150,MATCH(C73,Akaun!$A$5:$A$150,0)))</f>
        <v/>
      </c>
      <c r="H73" s="1" t="str">
        <f aca="false">IF(C73="","",INDEX(Akaun!$D$5:$D$150,MATCH(C73,Akaun!$A$5:$A$150,0)))</f>
        <v/>
      </c>
    </row>
    <row r="74" customFormat="false" ht="15" hidden="false" customHeight="true" outlineLevel="0" collapsed="false">
      <c r="G74" s="1" t="str">
        <f aca="false" t="array" ref="G74:G74">IF(C74="","",INDEX(Akaun!$F$5:$F$150,MATCH(C74,Akaun!$A$5:$A$150,0)))</f>
        <v/>
      </c>
      <c r="H74" s="1" t="str">
        <f aca="false">IF(C74="","",INDEX(Akaun!$D$5:$D$150,MATCH(C74,Akaun!$A$5:$A$150,0)))</f>
        <v/>
      </c>
    </row>
    <row r="75" customFormat="false" ht="15" hidden="false" customHeight="true" outlineLevel="0" collapsed="false">
      <c r="G75" s="1" t="str">
        <f aca="false" t="array" ref="G75:G75">IF(C75="","",INDEX(Akaun!$F$5:$F$150,MATCH(C75,Akaun!$A$5:$A$150,0)))</f>
        <v/>
      </c>
      <c r="H75" s="1" t="str">
        <f aca="false">IF(C75="","",INDEX(Akaun!$D$5:$D$150,MATCH(C75,Akaun!$A$5:$A$150,0)))</f>
        <v/>
      </c>
    </row>
    <row r="76" customFormat="false" ht="15" hidden="false" customHeight="true" outlineLevel="0" collapsed="false">
      <c r="G76" s="1" t="str">
        <f aca="false" t="array" ref="G76:G76">IF(C76="","",INDEX(Akaun!$F$5:$F$150,MATCH(C76,Akaun!$A$5:$A$150,0)))</f>
        <v/>
      </c>
      <c r="H76" s="1" t="str">
        <f aca="false">IF(C76="","",INDEX(Akaun!$D$5:$D$150,MATCH(C76,Akaun!$A$5:$A$150,0)))</f>
        <v/>
      </c>
    </row>
    <row r="77" customFormat="false" ht="15" hidden="false" customHeight="true" outlineLevel="0" collapsed="false">
      <c r="G77" s="1" t="str">
        <f aca="false" t="array" ref="G77:G77">IF(C77="","",INDEX(Akaun!$F$5:$F$150,MATCH(C77,Akaun!$A$5:$A$150,0)))</f>
        <v/>
      </c>
      <c r="H77" s="1" t="str">
        <f aca="false">IF(C77="","",INDEX(Akaun!$D$5:$D$150,MATCH(C77,Akaun!$A$5:$A$150,0)))</f>
        <v/>
      </c>
    </row>
    <row r="78" customFormat="false" ht="15" hidden="false" customHeight="true" outlineLevel="0" collapsed="false">
      <c r="G78" s="1" t="str">
        <f aca="false" t="array" ref="G78:G78">IF(C78="","",INDEX(Akaun!$F$5:$F$150,MATCH(C78,Akaun!$A$5:$A$150,0)))</f>
        <v/>
      </c>
      <c r="H78" s="1" t="str">
        <f aca="false">IF(C78="","",INDEX(Akaun!$D$5:$D$150,MATCH(C78,Akaun!$A$5:$A$150,0)))</f>
        <v/>
      </c>
    </row>
    <row r="79" customFormat="false" ht="15" hidden="false" customHeight="true" outlineLevel="0" collapsed="false">
      <c r="G79" s="1" t="str">
        <f aca="false" t="array" ref="G79:G79">IF(C79="","",INDEX(Akaun!$F$5:$F$150,MATCH(C79,Akaun!$A$5:$A$150,0)))</f>
        <v/>
      </c>
      <c r="H79" s="1" t="str">
        <f aca="false">IF(C79="","",INDEX(Akaun!$D$5:$D$150,MATCH(C79,Akaun!$A$5:$A$150,0)))</f>
        <v/>
      </c>
    </row>
    <row r="80" customFormat="false" ht="15" hidden="false" customHeight="true" outlineLevel="0" collapsed="false">
      <c r="G80" s="1" t="str">
        <f aca="false" t="array" ref="G80:G80">IF(C80="","",INDEX(Akaun!$F$5:$F$150,MATCH(C80,Akaun!$A$5:$A$150,0)))</f>
        <v/>
      </c>
      <c r="H80" s="1" t="str">
        <f aca="false">IF(C80="","",INDEX(Akaun!$D$5:$D$150,MATCH(C80,Akaun!$A$5:$A$150,0)))</f>
        <v/>
      </c>
    </row>
    <row r="81" customFormat="false" ht="15" hidden="false" customHeight="true" outlineLevel="0" collapsed="false">
      <c r="G81" s="1" t="str">
        <f aca="false" t="array" ref="G81:G81">IF(C81="","",INDEX(Akaun!$F$5:$F$150,MATCH(C81,Akaun!$A$5:$A$150,0)))</f>
        <v/>
      </c>
      <c r="H81" s="1" t="str">
        <f aca="false">IF(C81="","",INDEX(Akaun!$D$5:$D$150,MATCH(C81,Akaun!$A$5:$A$150,0)))</f>
        <v/>
      </c>
    </row>
    <row r="82" customFormat="false" ht="15" hidden="false" customHeight="true" outlineLevel="0" collapsed="false">
      <c r="G82" s="1" t="str">
        <f aca="false" t="array" ref="G82:G82">IF(C82="","",INDEX(Akaun!$F$5:$F$150,MATCH(C82,Akaun!$A$5:$A$150,0)))</f>
        <v/>
      </c>
      <c r="H82" s="1" t="str">
        <f aca="false">IF(C82="","",INDEX(Akaun!$D$5:$D$150,MATCH(C82,Akaun!$A$5:$A$150,0)))</f>
        <v/>
      </c>
    </row>
    <row r="83" customFormat="false" ht="15" hidden="false" customHeight="true" outlineLevel="0" collapsed="false">
      <c r="G83" s="1" t="str">
        <f aca="false" t="array" ref="G83:G83">IF(C83="","",INDEX(Akaun!$F$5:$F$150,MATCH(C83,Akaun!$A$5:$A$150,0)))</f>
        <v/>
      </c>
      <c r="H83" s="1" t="str">
        <f aca="false">IF(C83="","",INDEX(Akaun!$D$5:$D$150,MATCH(C83,Akaun!$A$5:$A$150,0)))</f>
        <v/>
      </c>
    </row>
    <row r="84" customFormat="false" ht="15" hidden="false" customHeight="true" outlineLevel="0" collapsed="false">
      <c r="G84" s="1" t="str">
        <f aca="false" t="array" ref="G84:G84">IF(C84="","",INDEX(Akaun!$F$5:$F$150,MATCH(C84,Akaun!$A$5:$A$150,0)))</f>
        <v/>
      </c>
      <c r="H84" s="1" t="str">
        <f aca="false">IF(C84="","",INDEX(Akaun!$D$5:$D$150,MATCH(C84,Akaun!$A$5:$A$150,0)))</f>
        <v/>
      </c>
    </row>
    <row r="85" customFormat="false" ht="15" hidden="false" customHeight="true" outlineLevel="0" collapsed="false">
      <c r="G85" s="1" t="str">
        <f aca="false" t="array" ref="G85:G85">IF(C85="","",INDEX(Akaun!$F$5:$F$150,MATCH(C85,Akaun!$A$5:$A$150,0)))</f>
        <v/>
      </c>
      <c r="H85" s="1" t="str">
        <f aca="false">IF(C85="","",INDEX(Akaun!$D$5:$D$150,MATCH(C85,Akaun!$A$5:$A$150,0)))</f>
        <v/>
      </c>
    </row>
    <row r="86" customFormat="false" ht="15" hidden="false" customHeight="true" outlineLevel="0" collapsed="false">
      <c r="G86" s="1" t="str">
        <f aca="false" t="array" ref="G86:G86">IF(C86="","",INDEX(Akaun!$F$5:$F$150,MATCH(C86,Akaun!$A$5:$A$150,0)))</f>
        <v/>
      </c>
      <c r="H86" s="1" t="str">
        <f aca="false">IF(C86="","",INDEX(Akaun!$D$5:$D$150,MATCH(C86,Akaun!$A$5:$A$150,0)))</f>
        <v/>
      </c>
    </row>
    <row r="87" customFormat="false" ht="15" hidden="false" customHeight="true" outlineLevel="0" collapsed="false">
      <c r="G87" s="1" t="str">
        <f aca="false" t="array" ref="G87:G87">IF(C87="","",INDEX(Akaun!$F$5:$F$150,MATCH(C87,Akaun!$A$5:$A$150,0)))</f>
        <v/>
      </c>
      <c r="H87" s="1" t="str">
        <f aca="false">IF(C87="","",INDEX(Akaun!$D$5:$D$150,MATCH(C87,Akaun!$A$5:$A$150,0)))</f>
        <v/>
      </c>
    </row>
    <row r="88" customFormat="false" ht="15" hidden="false" customHeight="true" outlineLevel="0" collapsed="false">
      <c r="G88" s="1" t="str">
        <f aca="false" t="array" ref="G88:G88">IF(C88="","",INDEX(Akaun!$F$5:$F$150,MATCH(C88,Akaun!$A$5:$A$150,0)))</f>
        <v/>
      </c>
      <c r="H88" s="1" t="str">
        <f aca="false">IF(C88="","",INDEX(Akaun!$D$5:$D$150,MATCH(C88,Akaun!$A$5:$A$150,0)))</f>
        <v/>
      </c>
    </row>
    <row r="89" customFormat="false" ht="15" hidden="false" customHeight="true" outlineLevel="0" collapsed="false">
      <c r="G89" s="1" t="str">
        <f aca="false" t="array" ref="G89:G89">IF(C89="","",INDEX(Akaun!$F$5:$F$150,MATCH(C89,Akaun!$A$5:$A$150,0)))</f>
        <v/>
      </c>
      <c r="H89" s="1" t="str">
        <f aca="false">IF(C89="","",INDEX(Akaun!$D$5:$D$150,MATCH(C89,Akaun!$A$5:$A$150,0)))</f>
        <v/>
      </c>
    </row>
    <row r="90" customFormat="false" ht="15" hidden="false" customHeight="true" outlineLevel="0" collapsed="false">
      <c r="G90" s="1" t="str">
        <f aca="false" t="array" ref="G90:G90">IF(C90="","",INDEX(Akaun!$F$5:$F$150,MATCH(C90,Akaun!$A$5:$A$150,0)))</f>
        <v/>
      </c>
      <c r="H90" s="1" t="str">
        <f aca="false">IF(C90="","",INDEX(Akaun!$D$5:$D$150,MATCH(C90,Akaun!$A$5:$A$150,0)))</f>
        <v/>
      </c>
    </row>
    <row r="91" customFormat="false" ht="15" hidden="false" customHeight="true" outlineLevel="0" collapsed="false">
      <c r="G91" s="1" t="str">
        <f aca="false" t="array" ref="G91:G91">IF(C91="","",INDEX(Akaun!$F$5:$F$150,MATCH(C91,Akaun!$A$5:$A$150,0)))</f>
        <v/>
      </c>
      <c r="H91" s="1" t="str">
        <f aca="false">IF(C91="","",INDEX(Akaun!$D$5:$D$150,MATCH(C91,Akaun!$A$5:$A$150,0)))</f>
        <v/>
      </c>
    </row>
    <row r="92" customFormat="false" ht="15" hidden="false" customHeight="true" outlineLevel="0" collapsed="false">
      <c r="G92" s="1" t="str">
        <f aca="false" t="array" ref="G92:G92">IF(C92="","",INDEX(Akaun!$F$5:$F$150,MATCH(C92,Akaun!$A$5:$A$150,0)))</f>
        <v/>
      </c>
      <c r="H92" s="1" t="str">
        <f aca="false">IF(C92="","",INDEX(Akaun!$D$5:$D$150,MATCH(C92,Akaun!$A$5:$A$150,0)))</f>
        <v/>
      </c>
    </row>
    <row r="93" customFormat="false" ht="15" hidden="false" customHeight="true" outlineLevel="0" collapsed="false">
      <c r="G93" s="1" t="str">
        <f aca="false" t="array" ref="G93:G93">IF(C93="","",INDEX(Akaun!$F$5:$F$150,MATCH(C93,Akaun!$A$5:$A$150,0)))</f>
        <v/>
      </c>
      <c r="H93" s="1" t="str">
        <f aca="false">IF(C93="","",INDEX(Akaun!$D$5:$D$150,MATCH(C93,Akaun!$A$5:$A$150,0)))</f>
        <v/>
      </c>
    </row>
    <row r="94" customFormat="false" ht="15" hidden="false" customHeight="true" outlineLevel="0" collapsed="false">
      <c r="G94" s="1" t="str">
        <f aca="false" t="array" ref="G94:G94">IF(C94="","",INDEX(Akaun!$F$5:$F$150,MATCH(C94,Akaun!$A$5:$A$150,0)))</f>
        <v/>
      </c>
      <c r="H94" s="1" t="str">
        <f aca="false">IF(C94="","",INDEX(Akaun!$D$5:$D$150,MATCH(C94,Akaun!$A$5:$A$150,0)))</f>
        <v/>
      </c>
    </row>
    <row r="95" customFormat="false" ht="15" hidden="false" customHeight="true" outlineLevel="0" collapsed="false">
      <c r="G95" s="1" t="str">
        <f aca="false" t="array" ref="G95:G95">IF(C95="","",INDEX(Akaun!$F$5:$F$150,MATCH(C95,Akaun!$A$5:$A$150,0)))</f>
        <v/>
      </c>
      <c r="H95" s="1" t="str">
        <f aca="false">IF(C95="","",INDEX(Akaun!$D$5:$D$150,MATCH(C95,Akaun!$A$5:$A$150,0)))</f>
        <v/>
      </c>
    </row>
    <row r="96" customFormat="false" ht="15" hidden="false" customHeight="true" outlineLevel="0" collapsed="false">
      <c r="G96" s="1" t="str">
        <f aca="false" t="array" ref="G96:G96">IF(C96="","",INDEX(Akaun!$F$5:$F$150,MATCH(C96,Akaun!$A$5:$A$150,0)))</f>
        <v/>
      </c>
      <c r="H96" s="1" t="str">
        <f aca="false">IF(C96="","",INDEX(Akaun!$D$5:$D$150,MATCH(C96,Akaun!$A$5:$A$150,0)))</f>
        <v/>
      </c>
    </row>
    <row r="97" customFormat="false" ht="15" hidden="false" customHeight="true" outlineLevel="0" collapsed="false">
      <c r="G97" s="1" t="str">
        <f aca="false" t="array" ref="G97:G97">IF(C97="","",INDEX(Akaun!$F$5:$F$150,MATCH(C97,Akaun!$A$5:$A$150,0)))</f>
        <v/>
      </c>
      <c r="H97" s="1" t="str">
        <f aca="false">IF(C97="","",INDEX(Akaun!$D$5:$D$150,MATCH(C97,Akaun!$A$5:$A$150,0)))</f>
        <v/>
      </c>
    </row>
    <row r="98" customFormat="false" ht="15" hidden="false" customHeight="true" outlineLevel="0" collapsed="false">
      <c r="G98" s="1" t="str">
        <f aca="false" t="array" ref="G98:G98">IF(C98="","",INDEX(Akaun!$F$5:$F$150,MATCH(C98,Akaun!$A$5:$A$150,0)))</f>
        <v/>
      </c>
      <c r="H98" s="1" t="str">
        <f aca="false">IF(C98="","",INDEX(Akaun!$D$5:$D$150,MATCH(C98,Akaun!$A$5:$A$150,0)))</f>
        <v/>
      </c>
    </row>
    <row r="99" customFormat="false" ht="15" hidden="false" customHeight="true" outlineLevel="0" collapsed="false">
      <c r="G99" s="1" t="str">
        <f aca="false" t="array" ref="G99:G99">IF(C99="","",INDEX(Akaun!$F$5:$F$150,MATCH(C99,Akaun!$A$5:$A$150,0)))</f>
        <v/>
      </c>
      <c r="H99" s="1" t="str">
        <f aca="false">IF(C99="","",INDEX(Akaun!$D$5:$D$150,MATCH(C99,Akaun!$A$5:$A$150,0)))</f>
        <v/>
      </c>
    </row>
    <row r="100" customFormat="false" ht="15" hidden="false" customHeight="true" outlineLevel="0" collapsed="false">
      <c r="G100" s="1" t="str">
        <f aca="false" t="array" ref="G100:G100">IF(C100="","",INDEX(Akaun!$F$5:$F$150,MATCH(C100,Akaun!$A$5:$A$150,0)))</f>
        <v/>
      </c>
      <c r="H100" s="1" t="str">
        <f aca="false">IF(C100="","",INDEX(Akaun!$D$5:$D$150,MATCH(C100,Akaun!$A$5:$A$150,0)))</f>
        <v/>
      </c>
    </row>
    <row r="101" customFormat="false" ht="15" hidden="false" customHeight="true" outlineLevel="0" collapsed="false">
      <c r="G101" s="1" t="str">
        <f aca="false" t="array" ref="G101:G101">IF(C101="","",INDEX(Akaun!$F$5:$F$150,MATCH(C101,Akaun!$A$5:$A$150,0)))</f>
        <v/>
      </c>
      <c r="H101" s="1" t="str">
        <f aca="false">IF(C101="","",INDEX(Akaun!$D$5:$D$150,MATCH(C101,Akaun!$A$5:$A$150,0)))</f>
        <v/>
      </c>
    </row>
    <row r="102" customFormat="false" ht="15" hidden="false" customHeight="true" outlineLevel="0" collapsed="false">
      <c r="G102" s="1" t="str">
        <f aca="false" t="array" ref="G102:G102">IF(C102="","",INDEX(Akaun!$F$5:$F$150,MATCH(C102,Akaun!$A$5:$A$150,0)))</f>
        <v/>
      </c>
      <c r="H102" s="1" t="str">
        <f aca="false">IF(C102="","",INDEX(Akaun!$D$5:$D$150,MATCH(C102,Akaun!$A$5:$A$150,0)))</f>
        <v/>
      </c>
    </row>
    <row r="103" customFormat="false" ht="15" hidden="false" customHeight="true" outlineLevel="0" collapsed="false">
      <c r="G103" s="1" t="str">
        <f aca="false" t="array" ref="G103:G103">IF(C103="","",INDEX(Akaun!$F$5:$F$150,MATCH(C103,Akaun!$A$5:$A$150,0)))</f>
        <v/>
      </c>
      <c r="H103" s="1" t="str">
        <f aca="false">IF(C103="","",INDEX(Akaun!$D$5:$D$150,MATCH(C103,Akaun!$A$5:$A$150,0)))</f>
        <v/>
      </c>
    </row>
    <row r="104" customFormat="false" ht="15" hidden="false" customHeight="true" outlineLevel="0" collapsed="false">
      <c r="G104" s="1" t="str">
        <f aca="false" t="array" ref="G104:G104">IF(C104="","",INDEX(Akaun!$F$5:$F$150,MATCH(C104,Akaun!$A$5:$A$150,0)))</f>
        <v/>
      </c>
      <c r="H104" s="1" t="str">
        <f aca="false">IF(C104="","",INDEX(Akaun!$D$5:$D$150,MATCH(C104,Akaun!$A$5:$A$150,0)))</f>
        <v/>
      </c>
    </row>
    <row r="105" customFormat="false" ht="15" hidden="false" customHeight="true" outlineLevel="0" collapsed="false">
      <c r="G105" s="1" t="str">
        <f aca="false" t="array" ref="G105:G105">IF(C105="","",INDEX(Akaun!$F$5:$F$150,MATCH(C105,Akaun!$A$5:$A$150,0)))</f>
        <v/>
      </c>
      <c r="H105" s="1" t="str">
        <f aca="false">IF(C105="","",INDEX(Akaun!$D$5:$D$150,MATCH(C105,Akaun!$A$5:$A$150,0)))</f>
        <v/>
      </c>
    </row>
    <row r="106" customFormat="false" ht="15" hidden="false" customHeight="true" outlineLevel="0" collapsed="false">
      <c r="G106" s="1" t="str">
        <f aca="false" t="array" ref="G106:G106">IF(C106="","",INDEX(Akaun!$F$5:$F$150,MATCH(C106,Akaun!$A$5:$A$150,0)))</f>
        <v/>
      </c>
      <c r="H106" s="1" t="str">
        <f aca="false">IF(C106="","",INDEX(Akaun!$D$5:$D$150,MATCH(C106,Akaun!$A$5:$A$150,0)))</f>
        <v/>
      </c>
    </row>
    <row r="107" customFormat="false" ht="15" hidden="false" customHeight="true" outlineLevel="0" collapsed="false">
      <c r="G107" s="1" t="str">
        <f aca="false" t="array" ref="G107:G107">IF(C107="","",INDEX(Akaun!$F$5:$F$150,MATCH(C107,Akaun!$A$5:$A$150,0)))</f>
        <v/>
      </c>
      <c r="H107" s="1" t="str">
        <f aca="false">IF(C107="","",INDEX(Akaun!$D$5:$D$150,MATCH(C107,Akaun!$A$5:$A$150,0)))</f>
        <v/>
      </c>
    </row>
    <row r="108" customFormat="false" ht="15" hidden="false" customHeight="true" outlineLevel="0" collapsed="false">
      <c r="G108" s="1" t="str">
        <f aca="false" t="array" ref="G108:G108">IF(C108="","",INDEX(Akaun!$F$5:$F$150,MATCH(C108,Akaun!$A$5:$A$150,0)))</f>
        <v/>
      </c>
      <c r="H108" s="1" t="str">
        <f aca="false">IF(C108="","",INDEX(Akaun!$D$5:$D$150,MATCH(C108,Akaun!$A$5:$A$150,0)))</f>
        <v/>
      </c>
    </row>
    <row r="109" customFormat="false" ht="15" hidden="false" customHeight="true" outlineLevel="0" collapsed="false">
      <c r="G109" s="1" t="str">
        <f aca="false" t="array" ref="G109:G109">IF(C109="","",INDEX(Akaun!$F$5:$F$150,MATCH(C109,Akaun!$A$5:$A$150,0)))</f>
        <v/>
      </c>
      <c r="H109" s="1" t="str">
        <f aca="false">IF(C109="","",INDEX(Akaun!$D$5:$D$150,MATCH(C109,Akaun!$A$5:$A$150,0)))</f>
        <v/>
      </c>
    </row>
    <row r="110" customFormat="false" ht="15" hidden="false" customHeight="true" outlineLevel="0" collapsed="false">
      <c r="G110" s="1" t="str">
        <f aca="false" t="array" ref="G110:G110">IF(C110="","",INDEX(Akaun!$F$5:$F$150,MATCH(C110,Akaun!$A$5:$A$150,0)))</f>
        <v/>
      </c>
      <c r="H110" s="1" t="str">
        <f aca="false">IF(C110="","",INDEX(Akaun!$D$5:$D$150,MATCH(C110,Akaun!$A$5:$A$150,0)))</f>
        <v/>
      </c>
    </row>
    <row r="111" customFormat="false" ht="15" hidden="false" customHeight="true" outlineLevel="0" collapsed="false">
      <c r="G111" s="1" t="str">
        <f aca="false" t="array" ref="G111:G111">IF(C111="","",INDEX(Akaun!$F$5:$F$150,MATCH(C111,Akaun!$A$5:$A$150,0)))</f>
        <v/>
      </c>
      <c r="H111" s="1" t="str">
        <f aca="false">IF(C111="","",INDEX(Akaun!$D$5:$D$150,MATCH(C111,Akaun!$A$5:$A$150,0)))</f>
        <v/>
      </c>
    </row>
    <row r="112" customFormat="false" ht="15" hidden="false" customHeight="true" outlineLevel="0" collapsed="false">
      <c r="G112" s="1" t="str">
        <f aca="false" t="array" ref="G112:G112">IF(C112="","",INDEX(Akaun!$F$5:$F$150,MATCH(C112,Akaun!$A$5:$A$150,0)))</f>
        <v/>
      </c>
      <c r="H112" s="1" t="str">
        <f aca="false">IF(C112="","",INDEX(Akaun!$D$5:$D$150,MATCH(C112,Akaun!$A$5:$A$150,0)))</f>
        <v/>
      </c>
    </row>
    <row r="113" customFormat="false" ht="15" hidden="false" customHeight="true" outlineLevel="0" collapsed="false">
      <c r="G113" s="1" t="str">
        <f aca="false" t="array" ref="G113:G113">IF(C113="","",INDEX(Akaun!$F$5:$F$150,MATCH(C113,Akaun!$A$5:$A$150,0)))</f>
        <v/>
      </c>
      <c r="H113" s="1" t="str">
        <f aca="false">IF(C113="","",INDEX(Akaun!$D$5:$D$150,MATCH(C113,Akaun!$A$5:$A$150,0)))</f>
        <v/>
      </c>
    </row>
    <row r="114" customFormat="false" ht="15" hidden="false" customHeight="true" outlineLevel="0" collapsed="false">
      <c r="G114" s="1" t="str">
        <f aca="false" t="array" ref="G114:G114">IF(C114="","",INDEX(Akaun!$F$5:$F$150,MATCH(C114,Akaun!$A$5:$A$150,0)))</f>
        <v/>
      </c>
      <c r="H114" s="1" t="str">
        <f aca="false">IF(C114="","",INDEX(Akaun!$D$5:$D$150,MATCH(C114,Akaun!$A$5:$A$150,0)))</f>
        <v/>
      </c>
    </row>
    <row r="115" customFormat="false" ht="15" hidden="false" customHeight="true" outlineLevel="0" collapsed="false">
      <c r="G115" s="1" t="str">
        <f aca="false" t="array" ref="G115:G115">IF(C115="","",INDEX(Akaun!$F$5:$F$150,MATCH(C115,Akaun!$A$5:$A$150,0)))</f>
        <v/>
      </c>
      <c r="H115" s="1" t="str">
        <f aca="false">IF(C115="","",INDEX(Akaun!$D$5:$D$150,MATCH(C115,Akaun!$A$5:$A$150,0)))</f>
        <v/>
      </c>
    </row>
    <row r="116" customFormat="false" ht="15" hidden="false" customHeight="true" outlineLevel="0" collapsed="false">
      <c r="G116" s="1" t="str">
        <f aca="false" t="array" ref="G116:G116">IF(C116="","",INDEX(Akaun!$F$5:$F$150,MATCH(C116,Akaun!$A$5:$A$150,0)))</f>
        <v/>
      </c>
      <c r="H116" s="1" t="str">
        <f aca="false">IF(C116="","",INDEX(Akaun!$D$5:$D$150,MATCH(C116,Akaun!$A$5:$A$150,0)))</f>
        <v/>
      </c>
    </row>
    <row r="117" customFormat="false" ht="15" hidden="false" customHeight="true" outlineLevel="0" collapsed="false">
      <c r="G117" s="1" t="str">
        <f aca="false" t="array" ref="G117:G117">IF(C117="","",INDEX(Akaun!$F$5:$F$150,MATCH(C117,Akaun!$A$5:$A$150,0)))</f>
        <v/>
      </c>
      <c r="H117" s="1" t="str">
        <f aca="false">IF(C117="","",INDEX(Akaun!$D$5:$D$150,MATCH(C117,Akaun!$A$5:$A$150,0)))</f>
        <v/>
      </c>
    </row>
    <row r="118" customFormat="false" ht="15" hidden="false" customHeight="true" outlineLevel="0" collapsed="false">
      <c r="G118" s="1" t="str">
        <f aca="false" t="array" ref="G118:G118">IF(C118="","",INDEX(Akaun!$F$5:$F$150,MATCH(C118,Akaun!$A$5:$A$150,0)))</f>
        <v/>
      </c>
      <c r="H118" s="1" t="str">
        <f aca="false">IF(C118="","",INDEX(Akaun!$D$5:$D$150,MATCH(C118,Akaun!$A$5:$A$150,0)))</f>
        <v/>
      </c>
    </row>
    <row r="119" customFormat="false" ht="15" hidden="false" customHeight="true" outlineLevel="0" collapsed="false">
      <c r="G119" s="1" t="str">
        <f aca="false" t="array" ref="G119:G119">IF(C119="","",INDEX(Akaun!$F$5:$F$150,MATCH(C119,Akaun!$A$5:$A$150,0)))</f>
        <v/>
      </c>
      <c r="H119" s="1" t="str">
        <f aca="false">IF(C119="","",INDEX(Akaun!$D$5:$D$150,MATCH(C119,Akaun!$A$5:$A$150,0)))</f>
        <v/>
      </c>
    </row>
    <row r="120" customFormat="false" ht="15" hidden="false" customHeight="true" outlineLevel="0" collapsed="false">
      <c r="G120" s="1" t="str">
        <f aca="false" t="array" ref="G120:G120">IF(C120="","",INDEX(Akaun!$F$5:$F$150,MATCH(C120,Akaun!$A$5:$A$150,0)))</f>
        <v/>
      </c>
      <c r="H120" s="1" t="str">
        <f aca="false">IF(C120="","",INDEX(Akaun!$D$5:$D$150,MATCH(C120,Akaun!$A$5:$A$150,0)))</f>
        <v/>
      </c>
    </row>
    <row r="121" customFormat="false" ht="15" hidden="false" customHeight="true" outlineLevel="0" collapsed="false">
      <c r="G121" s="1" t="str">
        <f aca="false" t="array" ref="G121:G121">IF(C121="","",INDEX(Akaun!$F$5:$F$150,MATCH(C121,Akaun!$A$5:$A$150,0)))</f>
        <v/>
      </c>
      <c r="H121" s="1" t="str">
        <f aca="false">IF(C121="","",INDEX(Akaun!$D$5:$D$150,MATCH(C121,Akaun!$A$5:$A$150,0)))</f>
        <v/>
      </c>
    </row>
    <row r="122" customFormat="false" ht="15" hidden="false" customHeight="true" outlineLevel="0" collapsed="false">
      <c r="G122" s="1" t="str">
        <f aca="false" t="array" ref="G122:G122">IF(C122="","",INDEX(Akaun!$F$5:$F$150,MATCH(C122,Akaun!$A$5:$A$150,0)))</f>
        <v/>
      </c>
      <c r="H122" s="1" t="str">
        <f aca="false">IF(C122="","",INDEX(Akaun!$D$5:$D$150,MATCH(C122,Akaun!$A$5:$A$150,0)))</f>
        <v/>
      </c>
    </row>
    <row r="123" customFormat="false" ht="15" hidden="false" customHeight="true" outlineLevel="0" collapsed="false">
      <c r="G123" s="1" t="str">
        <f aca="false" t="array" ref="G123:G123">IF(C123="","",INDEX(Akaun!$F$5:$F$150,MATCH(C123,Akaun!$A$5:$A$150,0)))</f>
        <v/>
      </c>
      <c r="H123" s="1" t="str">
        <f aca="false">IF(C123="","",INDEX(Akaun!$D$5:$D$150,MATCH(C123,Akaun!$A$5:$A$150,0)))</f>
        <v/>
      </c>
    </row>
    <row r="124" customFormat="false" ht="15" hidden="false" customHeight="true" outlineLevel="0" collapsed="false">
      <c r="G124" s="1" t="str">
        <f aca="false" t="array" ref="G124:G124">IF(C124="","",INDEX(Akaun!$F$5:$F$150,MATCH(C124,Akaun!$A$5:$A$150,0)))</f>
        <v/>
      </c>
      <c r="H124" s="1" t="str">
        <f aca="false">IF(C124="","",INDEX(Akaun!$D$5:$D$150,MATCH(C124,Akaun!$A$5:$A$150,0)))</f>
        <v/>
      </c>
    </row>
    <row r="125" customFormat="false" ht="15" hidden="false" customHeight="true" outlineLevel="0" collapsed="false">
      <c r="G125" s="1" t="str">
        <f aca="false" t="array" ref="G125:G125">IF(C125="","",INDEX(Akaun!$F$5:$F$150,MATCH(C125,Akaun!$A$5:$A$150,0)))</f>
        <v/>
      </c>
      <c r="H125" s="1" t="str">
        <f aca="false">IF(C125="","",INDEX(Akaun!$D$5:$D$150,MATCH(C125,Akaun!$A$5:$A$150,0)))</f>
        <v/>
      </c>
    </row>
    <row r="126" customFormat="false" ht="15" hidden="false" customHeight="true" outlineLevel="0" collapsed="false">
      <c r="G126" s="1" t="str">
        <f aca="false" t="array" ref="G126:G126">IF(C126="","",INDEX(Akaun!$F$5:$F$150,MATCH(C126,Akaun!$A$5:$A$150,0)))</f>
        <v/>
      </c>
      <c r="H126" s="1" t="str">
        <f aca="false">IF(C126="","",INDEX(Akaun!$D$5:$D$150,MATCH(C126,Akaun!$A$5:$A$150,0)))</f>
        <v/>
      </c>
    </row>
    <row r="127" customFormat="false" ht="15" hidden="false" customHeight="true" outlineLevel="0" collapsed="false">
      <c r="G127" s="1" t="str">
        <f aca="false" t="array" ref="G127:G127">IF(C127="","",INDEX(Akaun!$F$5:$F$150,MATCH(C127,Akaun!$A$5:$A$150,0)))</f>
        <v/>
      </c>
      <c r="H127" s="1" t="str">
        <f aca="false">IF(C127="","",INDEX(Akaun!$D$5:$D$150,MATCH(C127,Akaun!$A$5:$A$150,0)))</f>
        <v/>
      </c>
    </row>
    <row r="128" customFormat="false" ht="15" hidden="false" customHeight="true" outlineLevel="0" collapsed="false">
      <c r="G128" s="1" t="str">
        <f aca="false" t="array" ref="G128:G128">IF(C128="","",INDEX(Akaun!$F$5:$F$150,MATCH(C128,Akaun!$A$5:$A$150,0)))</f>
        <v/>
      </c>
      <c r="H128" s="1" t="str">
        <f aca="false">IF(C128="","",INDEX(Akaun!$D$5:$D$150,MATCH(C128,Akaun!$A$5:$A$150,0)))</f>
        <v/>
      </c>
    </row>
    <row r="129" customFormat="false" ht="15" hidden="false" customHeight="true" outlineLevel="0" collapsed="false">
      <c r="G129" s="1" t="str">
        <f aca="false" t="array" ref="G129:G129">IF(C129="","",INDEX(Akaun!$F$5:$F$150,MATCH(C129,Akaun!$A$5:$A$150,0)))</f>
        <v/>
      </c>
      <c r="H129" s="1" t="str">
        <f aca="false">IF(C129="","",INDEX(Akaun!$D$5:$D$150,MATCH(C129,Akaun!$A$5:$A$150,0)))</f>
        <v/>
      </c>
    </row>
    <row r="130" customFormat="false" ht="15" hidden="false" customHeight="true" outlineLevel="0" collapsed="false">
      <c r="G130" s="1" t="str">
        <f aca="false" t="array" ref="G130:G130">IF(C130="","",INDEX(Akaun!$F$5:$F$150,MATCH(C130,Akaun!$A$5:$A$150,0)))</f>
        <v/>
      </c>
      <c r="H130" s="1" t="str">
        <f aca="false">IF(C130="","",INDEX(Akaun!$D$5:$D$150,MATCH(C130,Akaun!$A$5:$A$150,0)))</f>
        <v/>
      </c>
    </row>
    <row r="131" customFormat="false" ht="15" hidden="false" customHeight="true" outlineLevel="0" collapsed="false">
      <c r="G131" s="1" t="str">
        <f aca="false" t="array" ref="G131:G131">IF(C131="","",INDEX(Akaun!$F$5:$F$150,MATCH(C131,Akaun!$A$5:$A$150,0)))</f>
        <v/>
      </c>
      <c r="H131" s="1" t="str">
        <f aca="false">IF(C131="","",INDEX(Akaun!$D$5:$D$150,MATCH(C131,Akaun!$A$5:$A$150,0)))</f>
        <v/>
      </c>
    </row>
    <row r="132" customFormat="false" ht="15" hidden="false" customHeight="true" outlineLevel="0" collapsed="false">
      <c r="G132" s="1" t="str">
        <f aca="false" t="array" ref="G132:G132">IF(C132="","",INDEX(Akaun!$F$5:$F$150,MATCH(C132,Akaun!$A$5:$A$150,0)))</f>
        <v/>
      </c>
      <c r="H132" s="1" t="str">
        <f aca="false">IF(C132="","",INDEX(Akaun!$D$5:$D$150,MATCH(C132,Akaun!$A$5:$A$150,0)))</f>
        <v/>
      </c>
    </row>
    <row r="133" customFormat="false" ht="15" hidden="false" customHeight="true" outlineLevel="0" collapsed="false">
      <c r="G133" s="1" t="str">
        <f aca="false" t="array" ref="G133:G133">IF(C133="","",INDEX(Akaun!$F$5:$F$150,MATCH(C133,Akaun!$A$5:$A$150,0)))</f>
        <v/>
      </c>
      <c r="H133" s="1" t="str">
        <f aca="false">IF(C133="","",INDEX(Akaun!$D$5:$D$150,MATCH(C133,Akaun!$A$5:$A$150,0)))</f>
        <v/>
      </c>
    </row>
    <row r="134" customFormat="false" ht="15" hidden="false" customHeight="true" outlineLevel="0" collapsed="false">
      <c r="G134" s="1" t="str">
        <f aca="false" t="array" ref="G134:G134">IF(C134="","",INDEX(Akaun!$F$5:$F$150,MATCH(C134,Akaun!$A$5:$A$150,0)))</f>
        <v/>
      </c>
      <c r="H134" s="1" t="str">
        <f aca="false">IF(C134="","",INDEX(Akaun!$D$5:$D$150,MATCH(C134,Akaun!$A$5:$A$150,0)))</f>
        <v/>
      </c>
    </row>
    <row r="135" customFormat="false" ht="15" hidden="false" customHeight="true" outlineLevel="0" collapsed="false">
      <c r="G135" s="1" t="str">
        <f aca="false" t="array" ref="G135:G135">IF(C135="","",INDEX(Akaun!$F$5:$F$150,MATCH(C135,Akaun!$A$5:$A$150,0)))</f>
        <v/>
      </c>
      <c r="H135" s="1" t="str">
        <f aca="false">IF(C135="","",INDEX(Akaun!$D$5:$D$150,MATCH(C135,Akaun!$A$5:$A$150,0)))</f>
        <v/>
      </c>
    </row>
    <row r="136" customFormat="false" ht="15" hidden="false" customHeight="true" outlineLevel="0" collapsed="false">
      <c r="G136" s="1" t="str">
        <f aca="false" t="array" ref="G136:G136">IF(C136="","",INDEX(Akaun!$F$5:$F$150,MATCH(C136,Akaun!$A$5:$A$150,0)))</f>
        <v/>
      </c>
      <c r="H136" s="1" t="str">
        <f aca="false">IF(C136="","",INDEX(Akaun!$D$5:$D$150,MATCH(C136,Akaun!$A$5:$A$150,0)))</f>
        <v/>
      </c>
    </row>
    <row r="137" customFormat="false" ht="15" hidden="false" customHeight="true" outlineLevel="0" collapsed="false">
      <c r="G137" s="1" t="str">
        <f aca="false" t="array" ref="G137:G137">IF(C137="","",INDEX(Akaun!$F$5:$F$150,MATCH(C137,Akaun!$A$5:$A$150,0)))</f>
        <v/>
      </c>
      <c r="H137" s="1" t="str">
        <f aca="false">IF(C137="","",INDEX(Akaun!$D$5:$D$150,MATCH(C137,Akaun!$A$5:$A$150,0)))</f>
        <v/>
      </c>
    </row>
    <row r="138" customFormat="false" ht="15" hidden="false" customHeight="true" outlineLevel="0" collapsed="false">
      <c r="G138" s="1" t="str">
        <f aca="false" t="array" ref="G138:G138">IF(C138="","",INDEX(Akaun!$F$5:$F$150,MATCH(C138,Akaun!$A$5:$A$150,0)))</f>
        <v/>
      </c>
      <c r="H138" s="1" t="str">
        <f aca="false">IF(C138="","",INDEX(Akaun!$D$5:$D$150,MATCH(C138,Akaun!$A$5:$A$150,0)))</f>
        <v/>
      </c>
    </row>
    <row r="139" customFormat="false" ht="15" hidden="false" customHeight="true" outlineLevel="0" collapsed="false">
      <c r="G139" s="1" t="str">
        <f aca="false" t="array" ref="G139:G139">IF(C139="","",INDEX(Akaun!$F$5:$F$150,MATCH(C139,Akaun!$A$5:$A$150,0)))</f>
        <v/>
      </c>
      <c r="H139" s="1" t="str">
        <f aca="false">IF(C139="","",INDEX(Akaun!$D$5:$D$150,MATCH(C139,Akaun!$A$5:$A$150,0)))</f>
        <v/>
      </c>
    </row>
    <row r="140" customFormat="false" ht="15" hidden="false" customHeight="true" outlineLevel="0" collapsed="false">
      <c r="G140" s="1" t="str">
        <f aca="false" t="array" ref="G140:G140">IF(C140="","",INDEX(Akaun!$F$5:$F$150,MATCH(C140,Akaun!$A$5:$A$150,0)))</f>
        <v/>
      </c>
      <c r="H140" s="1" t="str">
        <f aca="false">IF(C140="","",INDEX(Akaun!$D$5:$D$150,MATCH(C140,Akaun!$A$5:$A$150,0)))</f>
        <v/>
      </c>
    </row>
    <row r="141" customFormat="false" ht="15" hidden="false" customHeight="true" outlineLevel="0" collapsed="false">
      <c r="G141" s="1" t="str">
        <f aca="false" t="array" ref="G141:G141">IF(C141="","",INDEX(Akaun!$F$5:$F$150,MATCH(C141,Akaun!$A$5:$A$150,0)))</f>
        <v/>
      </c>
      <c r="H141" s="1" t="str">
        <f aca="false">IF(C141="","",INDEX(Akaun!$D$5:$D$150,MATCH(C141,Akaun!$A$5:$A$150,0)))</f>
        <v/>
      </c>
    </row>
    <row r="142" customFormat="false" ht="15" hidden="false" customHeight="true" outlineLevel="0" collapsed="false">
      <c r="G142" s="1" t="str">
        <f aca="false" t="array" ref="G142:G142">IF(C142="","",INDEX(Akaun!$F$5:$F$150,MATCH(C142,Akaun!$A$5:$A$150,0)))</f>
        <v/>
      </c>
      <c r="H142" s="1" t="str">
        <f aca="false">IF(C142="","",INDEX(Akaun!$D$5:$D$150,MATCH(C142,Akaun!$A$5:$A$150,0)))</f>
        <v/>
      </c>
    </row>
    <row r="143" customFormat="false" ht="15" hidden="false" customHeight="true" outlineLevel="0" collapsed="false">
      <c r="G143" s="1" t="str">
        <f aca="false" t="array" ref="G143:G143">IF(C143="","",INDEX(Akaun!$F$5:$F$150,MATCH(C143,Akaun!$A$5:$A$150,0)))</f>
        <v/>
      </c>
      <c r="H143" s="1" t="str">
        <f aca="false">IF(C143="","",INDEX(Akaun!$D$5:$D$150,MATCH(C143,Akaun!$A$5:$A$150,0)))</f>
        <v/>
      </c>
    </row>
    <row r="144" customFormat="false" ht="15" hidden="false" customHeight="true" outlineLevel="0" collapsed="false">
      <c r="G144" s="1" t="str">
        <f aca="false" t="array" ref="G144:G144">IF(C144="","",INDEX(Akaun!$F$5:$F$150,MATCH(C144,Akaun!$A$5:$A$150,0)))</f>
        <v/>
      </c>
      <c r="H144" s="1" t="str">
        <f aca="false">IF(C144="","",INDEX(Akaun!$D$5:$D$150,MATCH(C144,Akaun!$A$5:$A$150,0)))</f>
        <v/>
      </c>
    </row>
    <row r="145" customFormat="false" ht="15" hidden="false" customHeight="true" outlineLevel="0" collapsed="false">
      <c r="G145" s="1" t="str">
        <f aca="false" t="array" ref="G145:G145">IF(C145="","",INDEX(Akaun!$F$5:$F$150,MATCH(C145,Akaun!$A$5:$A$150,0)))</f>
        <v/>
      </c>
      <c r="H145" s="1" t="str">
        <f aca="false">IF(C145="","",INDEX(Akaun!$D$5:$D$150,MATCH(C145,Akaun!$A$5:$A$150,0)))</f>
        <v/>
      </c>
    </row>
    <row r="146" customFormat="false" ht="15" hidden="false" customHeight="true" outlineLevel="0" collapsed="false">
      <c r="G146" s="1" t="str">
        <f aca="false" t="array" ref="G146:G146">IF(C146="","",INDEX(Akaun!$F$5:$F$150,MATCH(C146,Akaun!$A$5:$A$150,0)))</f>
        <v/>
      </c>
      <c r="H146" s="1" t="str">
        <f aca="false">IF(C146="","",INDEX(Akaun!$D$5:$D$150,MATCH(C146,Akaun!$A$5:$A$150,0)))</f>
        <v/>
      </c>
    </row>
    <row r="147" customFormat="false" ht="15" hidden="false" customHeight="true" outlineLevel="0" collapsed="false">
      <c r="G147" s="1" t="str">
        <f aca="false" t="array" ref="G147:G147">IF(C147="","",INDEX(Akaun!$F$5:$F$150,MATCH(C147,Akaun!$A$5:$A$150,0)))</f>
        <v/>
      </c>
      <c r="H147" s="1" t="str">
        <f aca="false">IF(C147="","",INDEX(Akaun!$D$5:$D$150,MATCH(C147,Akaun!$A$5:$A$150,0)))</f>
        <v/>
      </c>
    </row>
    <row r="148" customFormat="false" ht="15" hidden="false" customHeight="true" outlineLevel="0" collapsed="false">
      <c r="G148" s="1" t="str">
        <f aca="false" t="array" ref="G148:G148">IF(C148="","",INDEX(Akaun!$F$5:$F$150,MATCH(C148,Akaun!$A$5:$A$150,0)))</f>
        <v/>
      </c>
      <c r="H148" s="1" t="str">
        <f aca="false">IF(C148="","",INDEX(Akaun!$D$5:$D$150,MATCH(C148,Akaun!$A$5:$A$150,0)))</f>
        <v/>
      </c>
    </row>
    <row r="149" customFormat="false" ht="15" hidden="false" customHeight="true" outlineLevel="0" collapsed="false">
      <c r="G149" s="1" t="str">
        <f aca="false" t="array" ref="G149:G149">IF(C149="","",INDEX(Akaun!$F$5:$F$150,MATCH(C149,Akaun!$A$5:$A$150,0)))</f>
        <v/>
      </c>
      <c r="H149" s="1" t="str">
        <f aca="false">IF(C149="","",INDEX(Akaun!$D$5:$D$150,MATCH(C149,Akaun!$A$5:$A$150,0)))</f>
        <v/>
      </c>
    </row>
    <row r="150" customFormat="false" ht="15" hidden="false" customHeight="true" outlineLevel="0" collapsed="false">
      <c r="G150" s="1" t="str">
        <f aca="false" t="array" ref="G150:G150">IF(C150="","",INDEX(Akaun!$F$5:$F$150,MATCH(C150,Akaun!$A$5:$A$150,0)))</f>
        <v/>
      </c>
      <c r="H150" s="1" t="str">
        <f aca="false">IF(C150="","",INDEX(Akaun!$D$5:$D$150,MATCH(C150,Akaun!$A$5:$A$150,0)))</f>
        <v/>
      </c>
    </row>
    <row r="151" customFormat="false" ht="15" hidden="false" customHeight="true" outlineLevel="0" collapsed="false">
      <c r="G151" s="1" t="str">
        <f aca="false" t="array" ref="G151:G151">IF(C151="","",INDEX(Akaun!$F$5:$F$150,MATCH(C151,Akaun!$A$5:$A$150,0)))</f>
        <v/>
      </c>
      <c r="H151" s="1" t="str">
        <f aca="false">IF(C151="","",INDEX(Akaun!$D$5:$D$150,MATCH(C151,Akaun!$A$5:$A$150,0)))</f>
        <v/>
      </c>
    </row>
    <row r="152" customFormat="false" ht="15" hidden="false" customHeight="true" outlineLevel="0" collapsed="false">
      <c r="G152" s="1" t="str">
        <f aca="false" t="array" ref="G152:G152">IF(C152="","",INDEX(Akaun!$F$5:$F$150,MATCH(C152,Akaun!$A$5:$A$150,0)))</f>
        <v/>
      </c>
      <c r="H152" s="1" t="str">
        <f aca="false">IF(C152="","",INDEX(Akaun!$D$5:$D$150,MATCH(C152,Akaun!$A$5:$A$150,0)))</f>
        <v/>
      </c>
    </row>
    <row r="153" customFormat="false" ht="15" hidden="false" customHeight="true" outlineLevel="0" collapsed="false">
      <c r="G153" s="1" t="str">
        <f aca="false" t="array" ref="G153:G153">IF(C153="","",INDEX(Akaun!$F$5:$F$150,MATCH(C153,Akaun!$A$5:$A$150,0)))</f>
        <v/>
      </c>
      <c r="H153" s="1" t="str">
        <f aca="false">IF(C153="","",INDEX(Akaun!$D$5:$D$150,MATCH(C153,Akaun!$A$5:$A$150,0)))</f>
        <v/>
      </c>
    </row>
    <row r="154" customFormat="false" ht="15" hidden="false" customHeight="true" outlineLevel="0" collapsed="false">
      <c r="G154" s="1" t="str">
        <f aca="false" t="array" ref="G154:G154">IF(C154="","",INDEX(Akaun!$F$5:$F$150,MATCH(C154,Akaun!$A$5:$A$150,0)))</f>
        <v/>
      </c>
      <c r="H154" s="1" t="str">
        <f aca="false">IF(C154="","",INDEX(Akaun!$D$5:$D$150,MATCH(C154,Akaun!$A$5:$A$150,0)))</f>
        <v/>
      </c>
    </row>
    <row r="155" customFormat="false" ht="15" hidden="false" customHeight="true" outlineLevel="0" collapsed="false">
      <c r="G155" s="1" t="str">
        <f aca="false" t="array" ref="G155:G155">IF(C155="","",INDEX(Akaun!$F$5:$F$150,MATCH(C155,Akaun!$A$5:$A$150,0)))</f>
        <v/>
      </c>
      <c r="H155" s="1" t="str">
        <f aca="false">IF(C155="","",INDEX(Akaun!$D$5:$D$150,MATCH(C155,Akaun!$A$5:$A$150,0)))</f>
        <v/>
      </c>
    </row>
    <row r="156" customFormat="false" ht="15" hidden="false" customHeight="true" outlineLevel="0" collapsed="false">
      <c r="G156" s="1" t="str">
        <f aca="false" t="array" ref="G156:G156">IF(C156="","",INDEX(Akaun!$F$5:$F$150,MATCH(C156,Akaun!$A$5:$A$150,0)))</f>
        <v/>
      </c>
      <c r="H156" s="1" t="str">
        <f aca="false">IF(C156="","",INDEX(Akaun!$D$5:$D$150,MATCH(C156,Akaun!$A$5:$A$150,0)))</f>
        <v/>
      </c>
    </row>
    <row r="157" customFormat="false" ht="15" hidden="false" customHeight="true" outlineLevel="0" collapsed="false">
      <c r="G157" s="1" t="str">
        <f aca="false" t="array" ref="G157:G157">IF(C157="","",INDEX(Akaun!$F$5:$F$150,MATCH(C157,Akaun!$A$5:$A$150,0)))</f>
        <v/>
      </c>
      <c r="H157" s="1" t="str">
        <f aca="false">IF(C157="","",INDEX(Akaun!$D$5:$D$150,MATCH(C157,Akaun!$A$5:$A$150,0)))</f>
        <v/>
      </c>
    </row>
    <row r="158" customFormat="false" ht="15" hidden="false" customHeight="true" outlineLevel="0" collapsed="false">
      <c r="G158" s="1" t="str">
        <f aca="false" t="array" ref="G158:G158">IF(C158="","",INDEX(Akaun!$F$5:$F$150,MATCH(C158,Akaun!$A$5:$A$150,0)))</f>
        <v/>
      </c>
      <c r="H158" s="1" t="str">
        <f aca="false">IF(C158="","",INDEX(Akaun!$D$5:$D$150,MATCH(C158,Akaun!$A$5:$A$150,0)))</f>
        <v/>
      </c>
    </row>
    <row r="159" customFormat="false" ht="15" hidden="false" customHeight="true" outlineLevel="0" collapsed="false">
      <c r="G159" s="1" t="str">
        <f aca="false" t="array" ref="G159:G159">IF(C159="","",INDEX(Akaun!$F$5:$F$150,MATCH(C159,Akaun!$A$5:$A$150,0)))</f>
        <v/>
      </c>
      <c r="H159" s="1" t="str">
        <f aca="false">IF(C159="","",INDEX(Akaun!$D$5:$D$150,MATCH(C159,Akaun!$A$5:$A$150,0)))</f>
        <v/>
      </c>
    </row>
    <row r="160" customFormat="false" ht="15" hidden="false" customHeight="true" outlineLevel="0" collapsed="false">
      <c r="G160" s="1" t="str">
        <f aca="false" t="array" ref="G160:G160">IF(C160="","",INDEX(Akaun!$F$5:$F$150,MATCH(C160,Akaun!$A$5:$A$150,0)))</f>
        <v/>
      </c>
      <c r="H160" s="1" t="str">
        <f aca="false">IF(C160="","",INDEX(Akaun!$D$5:$D$150,MATCH(C160,Akaun!$A$5:$A$150,0)))</f>
        <v/>
      </c>
    </row>
    <row r="161" customFormat="false" ht="15" hidden="false" customHeight="true" outlineLevel="0" collapsed="false">
      <c r="G161" s="1" t="str">
        <f aca="false" t="array" ref="G161:G161">IF(C161="","",INDEX(Akaun!$F$5:$F$150,MATCH(C161,Akaun!$A$5:$A$150,0)))</f>
        <v/>
      </c>
      <c r="H161" s="1" t="str">
        <f aca="false">IF(C161="","",INDEX(Akaun!$D$5:$D$150,MATCH(C161,Akaun!$A$5:$A$150,0)))</f>
        <v/>
      </c>
    </row>
    <row r="162" customFormat="false" ht="15" hidden="false" customHeight="true" outlineLevel="0" collapsed="false">
      <c r="G162" s="1" t="str">
        <f aca="false" t="array" ref="G162:G162">IF(C162="","",INDEX(Akaun!$F$5:$F$150,MATCH(C162,Akaun!$A$5:$A$150,0)))</f>
        <v/>
      </c>
      <c r="H162" s="1" t="str">
        <f aca="false">IF(C162="","",INDEX(Akaun!$D$5:$D$150,MATCH(C162,Akaun!$A$5:$A$150,0)))</f>
        <v/>
      </c>
    </row>
    <row r="163" customFormat="false" ht="15" hidden="false" customHeight="true" outlineLevel="0" collapsed="false">
      <c r="G163" s="1" t="str">
        <f aca="false" t="array" ref="G163:G163">IF(C163="","",INDEX(Akaun!$F$5:$F$150,MATCH(C163,Akaun!$A$5:$A$150,0)))</f>
        <v/>
      </c>
      <c r="H163" s="1" t="str">
        <f aca="false">IF(C163="","",INDEX(Akaun!$D$5:$D$150,MATCH(C163,Akaun!$A$5:$A$150,0)))</f>
        <v/>
      </c>
    </row>
    <row r="164" customFormat="false" ht="15" hidden="false" customHeight="true" outlineLevel="0" collapsed="false">
      <c r="G164" s="1" t="str">
        <f aca="false" t="array" ref="G164:G164">IF(C164="","",INDEX(Akaun!$F$5:$F$150,MATCH(C164,Akaun!$A$5:$A$150,0)))</f>
        <v/>
      </c>
      <c r="H164" s="1" t="str">
        <f aca="false">IF(C164="","",INDEX(Akaun!$D$5:$D$150,MATCH(C164,Akaun!$A$5:$A$150,0)))</f>
        <v/>
      </c>
    </row>
    <row r="165" customFormat="false" ht="15" hidden="false" customHeight="true" outlineLevel="0" collapsed="false">
      <c r="G165" s="1" t="str">
        <f aca="false" t="array" ref="G165:G165">IF(C165="","",INDEX(Akaun!$F$5:$F$150,MATCH(C165,Akaun!$A$5:$A$150,0)))</f>
        <v/>
      </c>
      <c r="H165" s="1" t="str">
        <f aca="false">IF(C165="","",INDEX(Akaun!$D$5:$D$150,MATCH(C165,Akaun!$A$5:$A$150,0)))</f>
        <v/>
      </c>
    </row>
    <row r="166" customFormat="false" ht="15" hidden="false" customHeight="true" outlineLevel="0" collapsed="false">
      <c r="G166" s="1" t="str">
        <f aca="false" t="array" ref="G166:G166">IF(C166="","",INDEX(Akaun!$F$5:$F$150,MATCH(C166,Akaun!$A$5:$A$150,0)))</f>
        <v/>
      </c>
      <c r="H166" s="1" t="str">
        <f aca="false">IF(C166="","",INDEX(Akaun!$D$5:$D$150,MATCH(C166,Akaun!$A$5:$A$150,0)))</f>
        <v/>
      </c>
    </row>
    <row r="167" customFormat="false" ht="15" hidden="false" customHeight="true" outlineLevel="0" collapsed="false">
      <c r="G167" s="1" t="str">
        <f aca="false" t="array" ref="G167:G167">IF(C167="","",INDEX(Akaun!$F$5:$F$150,MATCH(C167,Akaun!$A$5:$A$150,0)))</f>
        <v/>
      </c>
      <c r="H167" s="1" t="str">
        <f aca="false">IF(C167="","",INDEX(Akaun!$D$5:$D$150,MATCH(C167,Akaun!$A$5:$A$150,0)))</f>
        <v/>
      </c>
    </row>
    <row r="168" customFormat="false" ht="15" hidden="false" customHeight="true" outlineLevel="0" collapsed="false">
      <c r="G168" s="1" t="str">
        <f aca="false" t="array" ref="G168:G168">IF(C168="","",INDEX(Akaun!$F$5:$F$150,MATCH(C168,Akaun!$A$5:$A$150,0)))</f>
        <v/>
      </c>
      <c r="H168" s="1" t="str">
        <f aca="false">IF(C168="","",INDEX(Akaun!$D$5:$D$150,MATCH(C168,Akaun!$A$5:$A$150,0)))</f>
        <v/>
      </c>
    </row>
    <row r="169" customFormat="false" ht="15" hidden="false" customHeight="true" outlineLevel="0" collapsed="false">
      <c r="G169" s="1" t="str">
        <f aca="false" t="array" ref="G169:G169">IF(C169="","",INDEX(Akaun!$F$5:$F$150,MATCH(C169,Akaun!$A$5:$A$150,0)))</f>
        <v/>
      </c>
      <c r="H169" s="1" t="str">
        <f aca="false">IF(C169="","",INDEX(Akaun!$D$5:$D$150,MATCH(C169,Akaun!$A$5:$A$150,0)))</f>
        <v/>
      </c>
    </row>
    <row r="170" customFormat="false" ht="15" hidden="false" customHeight="true" outlineLevel="0" collapsed="false">
      <c r="G170" s="1" t="str">
        <f aca="false" t="array" ref="G170:G170">IF(C170="","",INDEX(Akaun!$F$5:$F$150,MATCH(C170,Akaun!$A$5:$A$150,0)))</f>
        <v/>
      </c>
      <c r="H170" s="1" t="str">
        <f aca="false">IF(C170="","",INDEX(Akaun!$D$5:$D$150,MATCH(C170,Akaun!$A$5:$A$150,0)))</f>
        <v/>
      </c>
    </row>
    <row r="171" customFormat="false" ht="15" hidden="false" customHeight="true" outlineLevel="0" collapsed="false">
      <c r="G171" s="1" t="str">
        <f aca="false" t="array" ref="G171:G171">IF(C171="","",INDEX(Akaun!$F$5:$F$150,MATCH(C171,Akaun!$A$5:$A$150,0)))</f>
        <v/>
      </c>
      <c r="H171" s="1" t="str">
        <f aca="false">IF(C171="","",INDEX(Akaun!$D$5:$D$150,MATCH(C171,Akaun!$A$5:$A$150,0)))</f>
        <v/>
      </c>
    </row>
    <row r="172" customFormat="false" ht="15" hidden="false" customHeight="true" outlineLevel="0" collapsed="false">
      <c r="G172" s="1" t="str">
        <f aca="false" t="array" ref="G172:G172">IF(C172="","",INDEX(Akaun!$F$5:$F$150,MATCH(C172,Akaun!$A$5:$A$150,0)))</f>
        <v/>
      </c>
      <c r="H172" s="1" t="str">
        <f aca="false">IF(C172="","",INDEX(Akaun!$D$5:$D$150,MATCH(C172,Akaun!$A$5:$A$150,0)))</f>
        <v/>
      </c>
    </row>
    <row r="173" customFormat="false" ht="15" hidden="false" customHeight="true" outlineLevel="0" collapsed="false">
      <c r="G173" s="1" t="str">
        <f aca="false" t="array" ref="G173:G173">IF(C173="","",INDEX(Akaun!$F$5:$F$150,MATCH(C173,Akaun!$A$5:$A$150,0)))</f>
        <v/>
      </c>
      <c r="H173" s="1" t="str">
        <f aca="false">IF(C173="","",INDEX(Akaun!$D$5:$D$150,MATCH(C173,Akaun!$A$5:$A$150,0)))</f>
        <v/>
      </c>
    </row>
    <row r="174" customFormat="false" ht="15" hidden="false" customHeight="true" outlineLevel="0" collapsed="false">
      <c r="G174" s="1" t="str">
        <f aca="false" t="array" ref="G174:G174">IF(C174="","",INDEX(Akaun!$F$5:$F$150,MATCH(C174,Akaun!$A$5:$A$150,0)))</f>
        <v/>
      </c>
      <c r="H174" s="1" t="str">
        <f aca="false">IF(C174="","",INDEX(Akaun!$D$5:$D$150,MATCH(C174,Akaun!$A$5:$A$150,0)))</f>
        <v/>
      </c>
    </row>
    <row r="175" customFormat="false" ht="15" hidden="false" customHeight="true" outlineLevel="0" collapsed="false">
      <c r="G175" s="1" t="str">
        <f aca="false" t="array" ref="G175:G175">IF(C175="","",INDEX(Akaun!$F$5:$F$150,MATCH(C175,Akaun!$A$5:$A$150,0)))</f>
        <v/>
      </c>
      <c r="H175" s="1" t="str">
        <f aca="false">IF(C175="","",INDEX(Akaun!$D$5:$D$150,MATCH(C175,Akaun!$A$5:$A$150,0)))</f>
        <v/>
      </c>
    </row>
    <row r="176" customFormat="false" ht="15" hidden="false" customHeight="true" outlineLevel="0" collapsed="false">
      <c r="G176" s="1" t="str">
        <f aca="false" t="array" ref="G176:G176">IF(C176="","",INDEX(Akaun!$F$5:$F$150,MATCH(C176,Akaun!$A$5:$A$150,0)))</f>
        <v/>
      </c>
      <c r="H176" s="1" t="str">
        <f aca="false">IF(C176="","",INDEX(Akaun!$D$5:$D$150,MATCH(C176,Akaun!$A$5:$A$150,0)))</f>
        <v/>
      </c>
    </row>
    <row r="177" customFormat="false" ht="15" hidden="false" customHeight="true" outlineLevel="0" collapsed="false">
      <c r="G177" s="1" t="str">
        <f aca="false" t="array" ref="G177:G177">IF(C177="","",INDEX(Akaun!$F$5:$F$150,MATCH(C177,Akaun!$A$5:$A$150,0)))</f>
        <v/>
      </c>
      <c r="H177" s="1" t="str">
        <f aca="false">IF(C177="","",INDEX(Akaun!$D$5:$D$150,MATCH(C177,Akaun!$A$5:$A$150,0)))</f>
        <v/>
      </c>
    </row>
    <row r="178" customFormat="false" ht="15" hidden="false" customHeight="true" outlineLevel="0" collapsed="false">
      <c r="G178" s="1" t="str">
        <f aca="false" t="array" ref="G178:G178">IF(C178="","",INDEX(Akaun!$F$5:$F$150,MATCH(C178,Akaun!$A$5:$A$150,0)))</f>
        <v/>
      </c>
      <c r="H178" s="1" t="str">
        <f aca="false">IF(C178="","",INDEX(Akaun!$D$5:$D$150,MATCH(C178,Akaun!$A$5:$A$150,0)))</f>
        <v/>
      </c>
    </row>
    <row r="179" customFormat="false" ht="15" hidden="false" customHeight="true" outlineLevel="0" collapsed="false">
      <c r="G179" s="1" t="str">
        <f aca="false" t="array" ref="G179:G179">IF(C179="","",INDEX(Akaun!$F$5:$F$150,MATCH(C179,Akaun!$A$5:$A$150,0)))</f>
        <v/>
      </c>
      <c r="H179" s="1" t="str">
        <f aca="false">IF(C179="","",INDEX(Akaun!$D$5:$D$150,MATCH(C179,Akaun!$A$5:$A$150,0)))</f>
        <v/>
      </c>
    </row>
    <row r="180" customFormat="false" ht="15" hidden="false" customHeight="true" outlineLevel="0" collapsed="false">
      <c r="G180" s="1" t="str">
        <f aca="false" t="array" ref="G180:G180">IF(C180="","",INDEX(Akaun!$F$5:$F$150,MATCH(C180,Akaun!$A$5:$A$150,0)))</f>
        <v/>
      </c>
      <c r="H180" s="1" t="str">
        <f aca="false">IF(C180="","",INDEX(Akaun!$D$5:$D$150,MATCH(C180,Akaun!$A$5:$A$150,0)))</f>
        <v/>
      </c>
    </row>
    <row r="181" customFormat="false" ht="15" hidden="false" customHeight="true" outlineLevel="0" collapsed="false">
      <c r="G181" s="1" t="str">
        <f aca="false" t="array" ref="G181:G181">IF(C181="","",INDEX(Akaun!$F$5:$F$150,MATCH(C181,Akaun!$A$5:$A$150,0)))</f>
        <v/>
      </c>
      <c r="H181" s="1" t="str">
        <f aca="false">IF(C181="","",INDEX(Akaun!$D$5:$D$150,MATCH(C181,Akaun!$A$5:$A$150,0)))</f>
        <v/>
      </c>
    </row>
    <row r="182" customFormat="false" ht="15" hidden="false" customHeight="true" outlineLevel="0" collapsed="false">
      <c r="G182" s="1" t="str">
        <f aca="false" t="array" ref="G182:G182">IF(C182="","",INDEX(Akaun!$F$5:$F$150,MATCH(C182,Akaun!$A$5:$A$150,0)))</f>
        <v/>
      </c>
      <c r="H182" s="1" t="str">
        <f aca="false">IF(C182="","",INDEX(Akaun!$D$5:$D$150,MATCH(C182,Akaun!$A$5:$A$150,0)))</f>
        <v/>
      </c>
    </row>
    <row r="183" customFormat="false" ht="15" hidden="false" customHeight="true" outlineLevel="0" collapsed="false">
      <c r="G183" s="1" t="str">
        <f aca="false" t="array" ref="G183:G183">IF(C183="","",INDEX(Akaun!$F$5:$F$150,MATCH(C183,Akaun!$A$5:$A$150,0)))</f>
        <v/>
      </c>
      <c r="H183" s="1" t="str">
        <f aca="false">IF(C183="","",INDEX(Akaun!$D$5:$D$150,MATCH(C183,Akaun!$A$5:$A$150,0)))</f>
        <v/>
      </c>
    </row>
    <row r="184" customFormat="false" ht="15" hidden="false" customHeight="true" outlineLevel="0" collapsed="false">
      <c r="G184" s="1" t="str">
        <f aca="false" t="array" ref="G184:G184">IF(C184="","",INDEX(Akaun!$F$5:$F$150,MATCH(C184,Akaun!$A$5:$A$150,0)))</f>
        <v/>
      </c>
      <c r="H184" s="1" t="str">
        <f aca="false">IF(C184="","",INDEX(Akaun!$D$5:$D$150,MATCH(C184,Akaun!$A$5:$A$150,0)))</f>
        <v/>
      </c>
    </row>
    <row r="185" customFormat="false" ht="15" hidden="false" customHeight="true" outlineLevel="0" collapsed="false">
      <c r="G185" s="1" t="str">
        <f aca="false" t="array" ref="G185:G185">IF(C185="","",INDEX(Akaun!$F$5:$F$150,MATCH(C185,Akaun!$A$5:$A$150,0)))</f>
        <v/>
      </c>
      <c r="H185" s="1" t="str">
        <f aca="false">IF(C185="","",INDEX(Akaun!$D$5:$D$150,MATCH(C185,Akaun!$A$5:$A$150,0)))</f>
        <v/>
      </c>
    </row>
    <row r="186" customFormat="false" ht="15" hidden="false" customHeight="true" outlineLevel="0" collapsed="false">
      <c r="G186" s="1" t="str">
        <f aca="false" t="array" ref="G186:G186">IF(C186="","",INDEX(Akaun!$F$5:$F$150,MATCH(C186,Akaun!$A$5:$A$150,0)))</f>
        <v/>
      </c>
      <c r="H186" s="1" t="str">
        <f aca="false">IF(C186="","",INDEX(Akaun!$D$5:$D$150,MATCH(C186,Akaun!$A$5:$A$150,0)))</f>
        <v/>
      </c>
    </row>
    <row r="187" customFormat="false" ht="15" hidden="false" customHeight="true" outlineLevel="0" collapsed="false">
      <c r="G187" s="1" t="str">
        <f aca="false" t="array" ref="G187:G187">IF(C187="","",INDEX(Akaun!$F$5:$F$150,MATCH(C187,Akaun!$A$5:$A$150,0)))</f>
        <v/>
      </c>
      <c r="H187" s="1" t="str">
        <f aca="false">IF(C187="","",INDEX(Akaun!$D$5:$D$150,MATCH(C187,Akaun!$A$5:$A$150,0)))</f>
        <v/>
      </c>
    </row>
    <row r="188" customFormat="false" ht="15" hidden="false" customHeight="true" outlineLevel="0" collapsed="false">
      <c r="G188" s="1" t="str">
        <f aca="false" t="array" ref="G188:G188">IF(C188="","",INDEX(Akaun!$F$5:$F$150,MATCH(C188,Akaun!$A$5:$A$150,0)))</f>
        <v/>
      </c>
      <c r="H188" s="1" t="str">
        <f aca="false">IF(C188="","",INDEX(Akaun!$D$5:$D$150,MATCH(C188,Akaun!$A$5:$A$150,0)))</f>
        <v/>
      </c>
    </row>
    <row r="189" customFormat="false" ht="15" hidden="false" customHeight="true" outlineLevel="0" collapsed="false">
      <c r="G189" s="1" t="str">
        <f aca="false" t="array" ref="G189:G189">IF(C189="","",INDEX(Akaun!$F$5:$F$150,MATCH(C189,Akaun!$A$5:$A$150,0)))</f>
        <v/>
      </c>
      <c r="H189" s="1" t="str">
        <f aca="false">IF(C189="","",INDEX(Akaun!$D$5:$D$150,MATCH(C189,Akaun!$A$5:$A$150,0)))</f>
        <v/>
      </c>
    </row>
    <row r="190" customFormat="false" ht="15" hidden="false" customHeight="true" outlineLevel="0" collapsed="false">
      <c r="G190" s="1" t="str">
        <f aca="false" t="array" ref="G190:G190">IF(C190="","",INDEX(Akaun!$F$5:$F$150,MATCH(C190,Akaun!$A$5:$A$150,0)))</f>
        <v/>
      </c>
      <c r="H190" s="1" t="str">
        <f aca="false">IF(C190="","",INDEX(Akaun!$D$5:$D$150,MATCH(C190,Akaun!$A$5:$A$150,0)))</f>
        <v/>
      </c>
    </row>
    <row r="191" customFormat="false" ht="15" hidden="false" customHeight="true" outlineLevel="0" collapsed="false">
      <c r="G191" s="1" t="str">
        <f aca="false" t="array" ref="G191:G191">IF(C191="","",INDEX(Akaun!$F$5:$F$150,MATCH(C191,Akaun!$A$5:$A$150,0)))</f>
        <v/>
      </c>
      <c r="H191" s="1" t="str">
        <f aca="false">IF(C191="","",INDEX(Akaun!$D$5:$D$150,MATCH(C191,Akaun!$A$5:$A$150,0)))</f>
        <v/>
      </c>
    </row>
    <row r="192" customFormat="false" ht="15" hidden="false" customHeight="true" outlineLevel="0" collapsed="false">
      <c r="G192" s="1" t="str">
        <f aca="false" t="array" ref="G192:G192">IF(C192="","",INDEX(Akaun!$F$5:$F$150,MATCH(C192,Akaun!$A$5:$A$150,0)))</f>
        <v/>
      </c>
      <c r="H192" s="1" t="str">
        <f aca="false">IF(C192="","",INDEX(Akaun!$D$5:$D$150,MATCH(C192,Akaun!$A$5:$A$150,0)))</f>
        <v/>
      </c>
    </row>
    <row r="193" customFormat="false" ht="15" hidden="false" customHeight="true" outlineLevel="0" collapsed="false">
      <c r="G193" s="1" t="str">
        <f aca="false" t="array" ref="G193:G193">IF(C193="","",INDEX(Akaun!$F$5:$F$150,MATCH(C193,Akaun!$A$5:$A$150,0)))</f>
        <v/>
      </c>
      <c r="H193" s="1" t="str">
        <f aca="false">IF(C193="","",INDEX(Akaun!$D$5:$D$150,MATCH(C193,Akaun!$A$5:$A$150,0)))</f>
        <v/>
      </c>
    </row>
    <row r="194" customFormat="false" ht="15" hidden="false" customHeight="true" outlineLevel="0" collapsed="false">
      <c r="G194" s="1" t="str">
        <f aca="false" t="array" ref="G194:G194">IF(C194="","",INDEX(Akaun!$F$5:$F$150,MATCH(C194,Akaun!$A$5:$A$150,0)))</f>
        <v/>
      </c>
      <c r="H194" s="1" t="str">
        <f aca="false">IF(C194="","",INDEX(Akaun!$D$5:$D$150,MATCH(C194,Akaun!$A$5:$A$150,0)))</f>
        <v/>
      </c>
    </row>
    <row r="195" customFormat="false" ht="15" hidden="false" customHeight="true" outlineLevel="0" collapsed="false">
      <c r="G195" s="1" t="str">
        <f aca="false" t="array" ref="G195:G195">IF(C195="","",INDEX(Akaun!$F$5:$F$150,MATCH(C195,Akaun!$A$5:$A$150,0)))</f>
        <v/>
      </c>
      <c r="H195" s="1" t="str">
        <f aca="false">IF(C195="","",INDEX(Akaun!$D$5:$D$150,MATCH(C195,Akaun!$A$5:$A$150,0)))</f>
        <v/>
      </c>
    </row>
    <row r="196" customFormat="false" ht="15" hidden="false" customHeight="true" outlineLevel="0" collapsed="false">
      <c r="G196" s="1" t="str">
        <f aca="false" t="array" ref="G196:G196">IF(C196="","",INDEX(Akaun!$F$5:$F$150,MATCH(C196,Akaun!$A$5:$A$150,0)))</f>
        <v/>
      </c>
      <c r="H196" s="1" t="str">
        <f aca="false">IF(C196="","",INDEX(Akaun!$D$5:$D$150,MATCH(C196,Akaun!$A$5:$A$150,0)))</f>
        <v/>
      </c>
    </row>
    <row r="197" customFormat="false" ht="15" hidden="false" customHeight="true" outlineLevel="0" collapsed="false">
      <c r="G197" s="1" t="str">
        <f aca="false" t="array" ref="G197:G197">IF(C197="","",INDEX(Akaun!$F$5:$F$150,MATCH(C197,Akaun!$A$5:$A$150,0)))</f>
        <v/>
      </c>
      <c r="H197" s="1" t="str">
        <f aca="false">IF(C197="","",INDEX(Akaun!$D$5:$D$150,MATCH(C197,Akaun!$A$5:$A$150,0)))</f>
        <v/>
      </c>
    </row>
    <row r="198" customFormat="false" ht="15" hidden="false" customHeight="true" outlineLevel="0" collapsed="false">
      <c r="G198" s="1" t="str">
        <f aca="false" t="array" ref="G198:G198">IF(C198="","",INDEX(Akaun!$F$5:$F$150,MATCH(C198,Akaun!$A$5:$A$150,0)))</f>
        <v/>
      </c>
      <c r="H198" s="1" t="str">
        <f aca="false">IF(C198="","",INDEX(Akaun!$D$5:$D$150,MATCH(C198,Akaun!$A$5:$A$150,0)))</f>
        <v/>
      </c>
    </row>
    <row r="199" customFormat="false" ht="15" hidden="false" customHeight="true" outlineLevel="0" collapsed="false">
      <c r="G199" s="1" t="str">
        <f aca="false" t="array" ref="G199:G199">IF(C199="","",INDEX(Akaun!$F$5:$F$150,MATCH(C199,Akaun!$A$5:$A$150,0)))</f>
        <v/>
      </c>
      <c r="H199" s="1" t="str">
        <f aca="false">IF(C199="","",INDEX(Akaun!$D$5:$D$150,MATCH(C199,Akaun!$A$5:$A$150,0)))</f>
        <v/>
      </c>
    </row>
    <row r="200" customFormat="false" ht="15" hidden="false" customHeight="true" outlineLevel="0" collapsed="false">
      <c r="G200" s="1" t="str">
        <f aca="false" t="array" ref="G200:G200">IF(C200="","",INDEX(Akaun!$F$5:$F$150,MATCH(C200,Akaun!$A$5:$A$150,0)))</f>
        <v/>
      </c>
      <c r="H200" s="1" t="str">
        <f aca="false">IF(C200="","",INDEX(Akaun!$D$5:$D$150,MATCH(C200,Akaun!$A$5:$A$150,0)))</f>
        <v/>
      </c>
    </row>
    <row r="201" customFormat="false" ht="15" hidden="false" customHeight="true" outlineLevel="0" collapsed="false">
      <c r="G201" s="1" t="str">
        <f aca="false" t="array" ref="G201:G201">IF(C201="","",INDEX(Akaun!$F$5:$F$150,MATCH(C201,Akaun!$A$5:$A$150,0)))</f>
        <v/>
      </c>
      <c r="H201" s="1" t="str">
        <f aca="false">IF(C201="","",INDEX(Akaun!$D$5:$D$150,MATCH(C201,Akaun!$A$5:$A$150,0)))</f>
        <v/>
      </c>
    </row>
    <row r="202" customFormat="false" ht="15" hidden="false" customHeight="true" outlineLevel="0" collapsed="false">
      <c r="G202" s="1" t="str">
        <f aca="false" t="array" ref="G202:G202">IF(C202="","",INDEX(Akaun!$F$5:$F$150,MATCH(C202,Akaun!$A$5:$A$150,0)))</f>
        <v/>
      </c>
      <c r="H202" s="1" t="str">
        <f aca="false">IF(C202="","",INDEX(Akaun!$D$5:$D$150,MATCH(C202,Akaun!$A$5:$A$150,0)))</f>
        <v/>
      </c>
    </row>
    <row r="203" customFormat="false" ht="15" hidden="false" customHeight="true" outlineLevel="0" collapsed="false">
      <c r="G203" s="1" t="str">
        <f aca="false" t="array" ref="G203:G203">IF(C203="","",INDEX(Akaun!$F$5:$F$150,MATCH(C203,Akaun!$A$5:$A$150,0)))</f>
        <v/>
      </c>
      <c r="H203" s="1" t="str">
        <f aca="false">IF(C203="","",INDEX(Akaun!$D$5:$D$150,MATCH(C203,Akaun!$A$5:$A$150,0)))</f>
        <v/>
      </c>
    </row>
    <row r="204" customFormat="false" ht="15" hidden="false" customHeight="true" outlineLevel="0" collapsed="false">
      <c r="G204" s="1" t="str">
        <f aca="false" t="array" ref="G204:G204">IF(C204="","",INDEX(Akaun!$F$5:$F$150,MATCH(C204,Akaun!$A$5:$A$150,0)))</f>
        <v/>
      </c>
      <c r="H204" s="1" t="str">
        <f aca="false">IF(C204="","",INDEX(Akaun!$D$5:$D$150,MATCH(C204,Akaun!$A$5:$A$150,0)))</f>
        <v/>
      </c>
    </row>
    <row r="205" customFormat="false" ht="15" hidden="false" customHeight="true" outlineLevel="0" collapsed="false">
      <c r="G205" s="1" t="str">
        <f aca="false" t="array" ref="G205:G205">IF(C205="","",INDEX(Akaun!$F$5:$F$150,MATCH(C205,Akaun!$A$5:$A$150,0)))</f>
        <v/>
      </c>
      <c r="H205" s="1" t="str">
        <f aca="false">IF(C205="","",INDEX(Akaun!$D$5:$D$150,MATCH(C205,Akaun!$A$5:$A$150,0)))</f>
        <v/>
      </c>
    </row>
    <row r="206" customFormat="false" ht="15" hidden="false" customHeight="true" outlineLevel="0" collapsed="false">
      <c r="G206" s="1" t="str">
        <f aca="false" t="array" ref="G206:G206">IF(C206="","",INDEX(Akaun!$F$5:$F$150,MATCH(C206,Akaun!$A$5:$A$150,0)))</f>
        <v/>
      </c>
      <c r="H206" s="1" t="str">
        <f aca="false">IF(C206="","",INDEX(Akaun!$D$5:$D$150,MATCH(C206,Akaun!$A$5:$A$150,0)))</f>
        <v/>
      </c>
    </row>
    <row r="207" customFormat="false" ht="15" hidden="false" customHeight="true" outlineLevel="0" collapsed="false">
      <c r="G207" s="1" t="str">
        <f aca="false" t="array" ref="G207:G207">IF(C207="","",INDEX(Akaun!$F$5:$F$150,MATCH(C207,Akaun!$A$5:$A$150,0)))</f>
        <v/>
      </c>
      <c r="H207" s="1" t="str">
        <f aca="false">IF(C207="","",INDEX(Akaun!$D$5:$D$150,MATCH(C207,Akaun!$A$5:$A$150,0)))</f>
        <v/>
      </c>
    </row>
    <row r="208" customFormat="false" ht="15" hidden="false" customHeight="true" outlineLevel="0" collapsed="false">
      <c r="G208" s="1" t="str">
        <f aca="false" t="array" ref="G208:G208">IF(C208="","",INDEX(Akaun!$F$5:$F$150,MATCH(C208,Akaun!$A$5:$A$150,0)))</f>
        <v/>
      </c>
      <c r="H208" s="1" t="str">
        <f aca="false">IF(C208="","",INDEX(Akaun!$D$5:$D$150,MATCH(C208,Akaun!$A$5:$A$150,0)))</f>
        <v/>
      </c>
    </row>
    <row r="209" customFormat="false" ht="15" hidden="false" customHeight="true" outlineLevel="0" collapsed="false">
      <c r="G209" s="1" t="str">
        <f aca="false" t="array" ref="G209:G209">IF(C209="","",INDEX(Akaun!$F$5:$F$150,MATCH(C209,Akaun!$A$5:$A$150,0)))</f>
        <v/>
      </c>
      <c r="H209" s="1" t="str">
        <f aca="false">IF(C209="","",INDEX(Akaun!$D$5:$D$150,MATCH(C209,Akaun!$A$5:$A$150,0)))</f>
        <v/>
      </c>
    </row>
    <row r="210" customFormat="false" ht="15" hidden="false" customHeight="true" outlineLevel="0" collapsed="false">
      <c r="G210" s="1" t="str">
        <f aca="false" t="array" ref="G210:G210">IF(C210="","",INDEX(Akaun!$F$5:$F$150,MATCH(C210,Akaun!$A$5:$A$150,0)))</f>
        <v/>
      </c>
      <c r="H210" s="1" t="str">
        <f aca="false">IF(C210="","",INDEX(Akaun!$D$5:$D$150,MATCH(C210,Akaun!$A$5:$A$150,0)))</f>
        <v/>
      </c>
    </row>
    <row r="211" customFormat="false" ht="15" hidden="false" customHeight="true" outlineLevel="0" collapsed="false">
      <c r="G211" s="1" t="str">
        <f aca="false" t="array" ref="G211:G211">IF(C211="","",INDEX(Akaun!$F$5:$F$150,MATCH(C211,Akaun!$A$5:$A$150,0)))</f>
        <v/>
      </c>
      <c r="H211" s="1" t="str">
        <f aca="false">IF(C211="","",INDEX(Akaun!$D$5:$D$150,MATCH(C211,Akaun!$A$5:$A$150,0)))</f>
        <v/>
      </c>
    </row>
    <row r="212" customFormat="false" ht="15" hidden="false" customHeight="true" outlineLevel="0" collapsed="false">
      <c r="G212" s="1" t="str">
        <f aca="false" t="array" ref="G212:G212">IF(C212="","",INDEX(Akaun!$F$5:$F$150,MATCH(C212,Akaun!$A$5:$A$150,0)))</f>
        <v/>
      </c>
      <c r="H212" s="1" t="str">
        <f aca="false">IF(C212="","",INDEX(Akaun!$D$5:$D$150,MATCH(C212,Akaun!$A$5:$A$150,0)))</f>
        <v/>
      </c>
    </row>
    <row r="213" customFormat="false" ht="15" hidden="false" customHeight="true" outlineLevel="0" collapsed="false">
      <c r="G213" s="1" t="str">
        <f aca="false" t="array" ref="G213:G213">IF(C213="","",INDEX(Akaun!$F$5:$F$150,MATCH(C213,Akaun!$A$5:$A$150,0)))</f>
        <v/>
      </c>
      <c r="H213" s="1" t="str">
        <f aca="false">IF(C213="","",INDEX(Akaun!$D$5:$D$150,MATCH(C213,Akaun!$A$5:$A$150,0)))</f>
        <v/>
      </c>
    </row>
    <row r="214" customFormat="false" ht="15" hidden="false" customHeight="true" outlineLevel="0" collapsed="false">
      <c r="G214" s="1" t="str">
        <f aca="false" t="array" ref="G214:G214">IF(C214="","",INDEX(Akaun!$F$5:$F$150,MATCH(C214,Akaun!$A$5:$A$150,0)))</f>
        <v/>
      </c>
      <c r="H214" s="1" t="str">
        <f aca="false">IF(C214="","",INDEX(Akaun!$D$5:$D$150,MATCH(C214,Akaun!$A$5:$A$150,0)))</f>
        <v/>
      </c>
    </row>
    <row r="215" customFormat="false" ht="15" hidden="false" customHeight="true" outlineLevel="0" collapsed="false">
      <c r="G215" s="1" t="str">
        <f aca="false" t="array" ref="G215:G215">IF(C215="","",INDEX(Akaun!$F$5:$F$150,MATCH(C215,Akaun!$A$5:$A$150,0)))</f>
        <v/>
      </c>
      <c r="H215" s="1" t="str">
        <f aca="false">IF(C215="","",INDEX(Akaun!$D$5:$D$150,MATCH(C215,Akaun!$A$5:$A$150,0)))</f>
        <v/>
      </c>
    </row>
    <row r="216" customFormat="false" ht="15" hidden="false" customHeight="true" outlineLevel="0" collapsed="false">
      <c r="G216" s="1" t="str">
        <f aca="false" t="array" ref="G216:G216">IF(C216="","",INDEX(Akaun!$F$5:$F$150,MATCH(C216,Akaun!$A$5:$A$150,0)))</f>
        <v/>
      </c>
      <c r="H216" s="1" t="str">
        <f aca="false">IF(C216="","",INDEX(Akaun!$D$5:$D$150,MATCH(C216,Akaun!$A$5:$A$150,0)))</f>
        <v/>
      </c>
    </row>
    <row r="217" customFormat="false" ht="15" hidden="false" customHeight="true" outlineLevel="0" collapsed="false">
      <c r="G217" s="1" t="str">
        <f aca="false" t="array" ref="G217:G217">IF(C217="","",INDEX(Akaun!$F$5:$F$150,MATCH(C217,Akaun!$A$5:$A$150,0)))</f>
        <v/>
      </c>
      <c r="H217" s="1" t="str">
        <f aca="false">IF(C217="","",INDEX(Akaun!$D$5:$D$150,MATCH(C217,Akaun!$A$5:$A$150,0)))</f>
        <v/>
      </c>
    </row>
    <row r="218" customFormat="false" ht="15" hidden="false" customHeight="true" outlineLevel="0" collapsed="false">
      <c r="G218" s="1" t="str">
        <f aca="false" t="array" ref="G218:G218">IF(C218="","",INDEX(Akaun!$F$5:$F$150,MATCH(C218,Akaun!$A$5:$A$150,0)))</f>
        <v/>
      </c>
      <c r="H218" s="1" t="str">
        <f aca="false">IF(C218="","",INDEX(Akaun!$D$5:$D$150,MATCH(C218,Akaun!$A$5:$A$150,0)))</f>
        <v/>
      </c>
    </row>
    <row r="219" customFormat="false" ht="15" hidden="false" customHeight="true" outlineLevel="0" collapsed="false">
      <c r="G219" s="1" t="str">
        <f aca="false" t="array" ref="G219:G219">IF(C219="","",INDEX(Akaun!$F$5:$F$150,MATCH(C219,Akaun!$A$5:$A$150,0)))</f>
        <v/>
      </c>
      <c r="H219" s="1" t="str">
        <f aca="false">IF(C219="","",INDEX(Akaun!$D$5:$D$150,MATCH(C219,Akaun!$A$5:$A$150,0)))</f>
        <v/>
      </c>
    </row>
    <row r="220" customFormat="false" ht="15" hidden="false" customHeight="true" outlineLevel="0" collapsed="false">
      <c r="G220" s="1" t="str">
        <f aca="false" t="array" ref="G220:G220">IF(C220="","",INDEX(Akaun!$F$5:$F$150,MATCH(C220,Akaun!$A$5:$A$150,0)))</f>
        <v/>
      </c>
      <c r="H220" s="1" t="str">
        <f aca="false">IF(C220="","",INDEX(Akaun!$D$5:$D$150,MATCH(C220,Akaun!$A$5:$A$150,0)))</f>
        <v/>
      </c>
    </row>
    <row r="221" customFormat="false" ht="15" hidden="false" customHeight="true" outlineLevel="0" collapsed="false">
      <c r="G221" s="1" t="str">
        <f aca="false" t="array" ref="G221:G221">IF(C221="","",INDEX(Akaun!$F$5:$F$150,MATCH(C221,Akaun!$A$5:$A$150,0)))</f>
        <v/>
      </c>
      <c r="H221" s="1" t="str">
        <f aca="false">IF(C221="","",INDEX(Akaun!$D$5:$D$150,MATCH(C221,Akaun!$A$5:$A$150,0)))</f>
        <v/>
      </c>
    </row>
    <row r="222" customFormat="false" ht="15" hidden="false" customHeight="true" outlineLevel="0" collapsed="false">
      <c r="G222" s="1" t="str">
        <f aca="false" t="array" ref="G222:G222">IF(C222="","",INDEX(Akaun!$F$5:$F$150,MATCH(C222,Akaun!$A$5:$A$150,0)))</f>
        <v/>
      </c>
      <c r="H222" s="1" t="str">
        <f aca="false">IF(C222="","",INDEX(Akaun!$D$5:$D$150,MATCH(C222,Akaun!$A$5:$A$150,0)))</f>
        <v/>
      </c>
    </row>
    <row r="223" customFormat="false" ht="15" hidden="false" customHeight="true" outlineLevel="0" collapsed="false">
      <c r="G223" s="1" t="str">
        <f aca="false" t="array" ref="G223:G223">IF(C223="","",INDEX(Akaun!$F$5:$F$150,MATCH(C223,Akaun!$A$5:$A$150,0)))</f>
        <v/>
      </c>
      <c r="H223" s="1" t="str">
        <f aca="false">IF(C223="","",INDEX(Akaun!$D$5:$D$150,MATCH(C223,Akaun!$A$5:$A$150,0)))</f>
        <v/>
      </c>
    </row>
    <row r="224" customFormat="false" ht="15" hidden="false" customHeight="true" outlineLevel="0" collapsed="false">
      <c r="G224" s="1" t="str">
        <f aca="false" t="array" ref="G224:G224">IF(C224="","",INDEX(Akaun!$F$5:$F$150,MATCH(C224,Akaun!$A$5:$A$150,0)))</f>
        <v/>
      </c>
      <c r="H224" s="1" t="str">
        <f aca="false">IF(C224="","",INDEX(Akaun!$D$5:$D$150,MATCH(C224,Akaun!$A$5:$A$150,0)))</f>
        <v/>
      </c>
    </row>
    <row r="225" customFormat="false" ht="15" hidden="false" customHeight="true" outlineLevel="0" collapsed="false">
      <c r="G225" s="1" t="str">
        <f aca="false" t="array" ref="G225:G225">IF(C225="","",INDEX(Akaun!$F$5:$F$150,MATCH(C225,Akaun!$A$5:$A$150,0)))</f>
        <v/>
      </c>
      <c r="H225" s="1" t="str">
        <f aca="false">IF(C225="","",INDEX(Akaun!$D$5:$D$150,MATCH(C225,Akaun!$A$5:$A$150,0)))</f>
        <v/>
      </c>
    </row>
    <row r="226" customFormat="false" ht="15" hidden="false" customHeight="true" outlineLevel="0" collapsed="false">
      <c r="G226" s="1" t="str">
        <f aca="false" t="array" ref="G226:G226">IF(C226="","",INDEX(Akaun!$F$5:$F$150,MATCH(C226,Akaun!$A$5:$A$150,0)))</f>
        <v/>
      </c>
      <c r="H226" s="1" t="str">
        <f aca="false">IF(C226="","",INDEX(Akaun!$D$5:$D$150,MATCH(C226,Akaun!$A$5:$A$150,0)))</f>
        <v/>
      </c>
    </row>
    <row r="227" customFormat="false" ht="15" hidden="false" customHeight="true" outlineLevel="0" collapsed="false">
      <c r="G227" s="1" t="str">
        <f aca="false" t="array" ref="G227:G227">IF(C227="","",INDEX(Akaun!$F$5:$F$150,MATCH(C227,Akaun!$A$5:$A$150,0)))</f>
        <v/>
      </c>
      <c r="H227" s="1" t="str">
        <f aca="false">IF(C227="","",INDEX(Akaun!$D$5:$D$150,MATCH(C227,Akaun!$A$5:$A$150,0)))</f>
        <v/>
      </c>
    </row>
    <row r="228" customFormat="false" ht="15" hidden="false" customHeight="true" outlineLevel="0" collapsed="false">
      <c r="G228" s="1" t="str">
        <f aca="false" t="array" ref="G228:G228">IF(C228="","",INDEX(Akaun!$F$5:$F$150,MATCH(C228,Akaun!$A$5:$A$150,0)))</f>
        <v/>
      </c>
      <c r="H228" s="1" t="str">
        <f aca="false">IF(C228="","",INDEX(Akaun!$D$5:$D$150,MATCH(C228,Akaun!$A$5:$A$150,0)))</f>
        <v/>
      </c>
    </row>
    <row r="229" customFormat="false" ht="15" hidden="false" customHeight="true" outlineLevel="0" collapsed="false">
      <c r="G229" s="1" t="str">
        <f aca="false" t="array" ref="G229:G229">IF(C229="","",INDEX(Akaun!$F$5:$F$150,MATCH(C229,Akaun!$A$5:$A$150,0)))</f>
        <v/>
      </c>
      <c r="H229" s="1" t="str">
        <f aca="false">IF(C229="","",INDEX(Akaun!$D$5:$D$150,MATCH(C229,Akaun!$A$5:$A$150,0)))</f>
        <v/>
      </c>
    </row>
    <row r="230" customFormat="false" ht="15" hidden="false" customHeight="true" outlineLevel="0" collapsed="false">
      <c r="G230" s="1" t="str">
        <f aca="false" t="array" ref="G230:G230">IF(C230="","",INDEX(Akaun!$F$5:$F$150,MATCH(C230,Akaun!$A$5:$A$150,0)))</f>
        <v/>
      </c>
      <c r="H230" s="1" t="str">
        <f aca="false">IF(C230="","",INDEX(Akaun!$D$5:$D$150,MATCH(C230,Akaun!$A$5:$A$150,0)))</f>
        <v/>
      </c>
    </row>
    <row r="231" customFormat="false" ht="15" hidden="false" customHeight="true" outlineLevel="0" collapsed="false">
      <c r="G231" s="1" t="str">
        <f aca="false" t="array" ref="G231:G231">IF(C231="","",INDEX(Akaun!$F$5:$F$150,MATCH(C231,Akaun!$A$5:$A$150,0)))</f>
        <v/>
      </c>
      <c r="H231" s="1" t="str">
        <f aca="false">IF(C231="","",INDEX(Akaun!$D$5:$D$150,MATCH(C231,Akaun!$A$5:$A$150,0)))</f>
        <v/>
      </c>
    </row>
    <row r="232" customFormat="false" ht="15" hidden="false" customHeight="true" outlineLevel="0" collapsed="false">
      <c r="G232" s="1" t="str">
        <f aca="false" t="array" ref="G232:G232">IF(C232="","",INDEX(Akaun!$F$5:$F$150,MATCH(C232,Akaun!$A$5:$A$150,0)))</f>
        <v/>
      </c>
      <c r="H232" s="1" t="str">
        <f aca="false">IF(C232="","",INDEX(Akaun!$D$5:$D$150,MATCH(C232,Akaun!$A$5:$A$150,0)))</f>
        <v/>
      </c>
    </row>
    <row r="233" customFormat="false" ht="15" hidden="false" customHeight="true" outlineLevel="0" collapsed="false">
      <c r="G233" s="1" t="str">
        <f aca="false" t="array" ref="G233:G233">IF(C233="","",INDEX(Akaun!$F$5:$F$150,MATCH(C233,Akaun!$A$5:$A$150,0)))</f>
        <v/>
      </c>
      <c r="H233" s="1" t="str">
        <f aca="false">IF(C233="","",INDEX(Akaun!$D$5:$D$150,MATCH(C233,Akaun!$A$5:$A$150,0)))</f>
        <v/>
      </c>
    </row>
    <row r="234" customFormat="false" ht="15" hidden="false" customHeight="true" outlineLevel="0" collapsed="false">
      <c r="G234" s="1" t="str">
        <f aca="false" t="array" ref="G234:G234">IF(C234="","",INDEX(Akaun!$F$5:$F$150,MATCH(C234,Akaun!$A$5:$A$150,0)))</f>
        <v/>
      </c>
      <c r="H234" s="1" t="str">
        <f aca="false">IF(C234="","",INDEX(Akaun!$D$5:$D$150,MATCH(C234,Akaun!$A$5:$A$150,0)))</f>
        <v/>
      </c>
    </row>
    <row r="235" customFormat="false" ht="15" hidden="false" customHeight="true" outlineLevel="0" collapsed="false">
      <c r="G235" s="1" t="str">
        <f aca="false" t="array" ref="G235:G235">IF(C235="","",INDEX(Akaun!$F$5:$F$150,MATCH(C235,Akaun!$A$5:$A$150,0)))</f>
        <v/>
      </c>
      <c r="H235" s="1" t="str">
        <f aca="false">IF(C235="","",INDEX(Akaun!$D$5:$D$150,MATCH(C235,Akaun!$A$5:$A$150,0)))</f>
        <v/>
      </c>
    </row>
    <row r="236" customFormat="false" ht="15" hidden="false" customHeight="true" outlineLevel="0" collapsed="false">
      <c r="G236" s="1" t="str">
        <f aca="false" t="array" ref="G236:G236">IF(C236="","",INDEX(Akaun!$F$5:$F$150,MATCH(C236,Akaun!$A$5:$A$150,0)))</f>
        <v/>
      </c>
      <c r="H236" s="1" t="str">
        <f aca="false">IF(C236="","",INDEX(Akaun!$D$5:$D$150,MATCH(C236,Akaun!$A$5:$A$150,0)))</f>
        <v/>
      </c>
    </row>
    <row r="237" customFormat="false" ht="15" hidden="false" customHeight="true" outlineLevel="0" collapsed="false">
      <c r="G237" s="1" t="str">
        <f aca="false" t="array" ref="G237:G237">IF(C237="","",INDEX(Akaun!$F$5:$F$150,MATCH(C237,Akaun!$A$5:$A$150,0)))</f>
        <v/>
      </c>
      <c r="H237" s="1" t="str">
        <f aca="false">IF(C237="","",INDEX(Akaun!$D$5:$D$150,MATCH(C237,Akaun!$A$5:$A$150,0)))</f>
        <v/>
      </c>
    </row>
    <row r="238" customFormat="false" ht="15" hidden="false" customHeight="true" outlineLevel="0" collapsed="false">
      <c r="G238" s="1" t="str">
        <f aca="false" t="array" ref="G238:G238">IF(C238="","",INDEX(Akaun!$F$5:$F$150,MATCH(C238,Akaun!$A$5:$A$150,0)))</f>
        <v/>
      </c>
      <c r="H238" s="1" t="str">
        <f aca="false">IF(C238="","",INDEX(Akaun!$D$5:$D$150,MATCH(C238,Akaun!$A$5:$A$150,0)))</f>
        <v/>
      </c>
    </row>
    <row r="239" customFormat="false" ht="15" hidden="false" customHeight="true" outlineLevel="0" collapsed="false">
      <c r="G239" s="1" t="str">
        <f aca="false" t="array" ref="G239:G239">IF(C239="","",INDEX(Akaun!$F$5:$F$150,MATCH(C239,Akaun!$A$5:$A$150,0)))</f>
        <v/>
      </c>
      <c r="H239" s="1" t="str">
        <f aca="false">IF(C239="","",INDEX(Akaun!$D$5:$D$150,MATCH(C239,Akaun!$A$5:$A$150,0)))</f>
        <v/>
      </c>
    </row>
    <row r="240" customFormat="false" ht="15" hidden="false" customHeight="true" outlineLevel="0" collapsed="false">
      <c r="G240" s="1" t="str">
        <f aca="false" t="array" ref="G240:G240">IF(C240="","",INDEX(Akaun!$F$5:$F$150,MATCH(C240,Akaun!$A$5:$A$150,0)))</f>
        <v/>
      </c>
      <c r="H240" s="1" t="str">
        <f aca="false">IF(C240="","",INDEX(Akaun!$D$5:$D$150,MATCH(C240,Akaun!$A$5:$A$150,0)))</f>
        <v/>
      </c>
    </row>
    <row r="241" customFormat="false" ht="15" hidden="false" customHeight="true" outlineLevel="0" collapsed="false">
      <c r="G241" s="1" t="str">
        <f aca="false" t="array" ref="G241:G241">IF(C241="","",INDEX(Akaun!$F$5:$F$150,MATCH(C241,Akaun!$A$5:$A$150,0)))</f>
        <v/>
      </c>
      <c r="H241" s="1" t="str">
        <f aca="false">IF(C241="","",INDEX(Akaun!$D$5:$D$150,MATCH(C241,Akaun!$A$5:$A$150,0)))</f>
        <v/>
      </c>
    </row>
    <row r="242" customFormat="false" ht="15" hidden="false" customHeight="true" outlineLevel="0" collapsed="false">
      <c r="G242" s="1" t="str">
        <f aca="false" t="array" ref="G242:G242">IF(C242="","",INDEX(Akaun!$F$5:$F$150,MATCH(C242,Akaun!$A$5:$A$150,0)))</f>
        <v/>
      </c>
      <c r="H242" s="1" t="str">
        <f aca="false">IF(C242="","",INDEX(Akaun!$D$5:$D$150,MATCH(C242,Akaun!$A$5:$A$150,0)))</f>
        <v/>
      </c>
    </row>
    <row r="243" customFormat="false" ht="15" hidden="false" customHeight="true" outlineLevel="0" collapsed="false">
      <c r="G243" s="1" t="str">
        <f aca="false" t="array" ref="G243:G243">IF(C243="","",INDEX(Akaun!$F$5:$F$150,MATCH(C243,Akaun!$A$5:$A$150,0)))</f>
        <v/>
      </c>
      <c r="H243" s="1" t="str">
        <f aca="false">IF(C243="","",INDEX(Akaun!$D$5:$D$150,MATCH(C243,Akaun!$A$5:$A$150,0)))</f>
        <v/>
      </c>
    </row>
    <row r="244" customFormat="false" ht="15" hidden="false" customHeight="true" outlineLevel="0" collapsed="false">
      <c r="G244" s="1" t="str">
        <f aca="false" t="array" ref="G244:G244">IF(C244="","",INDEX(Akaun!$F$5:$F$150,MATCH(C244,Akaun!$A$5:$A$150,0)))</f>
        <v/>
      </c>
      <c r="H244" s="1" t="str">
        <f aca="false">IF(C244="","",INDEX(Akaun!$D$5:$D$150,MATCH(C244,Akaun!$A$5:$A$150,0)))</f>
        <v/>
      </c>
    </row>
    <row r="245" customFormat="false" ht="15" hidden="false" customHeight="true" outlineLevel="0" collapsed="false">
      <c r="G245" s="1" t="str">
        <f aca="false" t="array" ref="G245:G245">IF(C245="","",INDEX(Akaun!$F$5:$F$150,MATCH(C245,Akaun!$A$5:$A$150,0)))</f>
        <v/>
      </c>
      <c r="H245" s="1" t="str">
        <f aca="false">IF(C245="","",INDEX(Akaun!$D$5:$D$150,MATCH(C245,Akaun!$A$5:$A$150,0)))</f>
        <v/>
      </c>
    </row>
    <row r="246" customFormat="false" ht="15" hidden="false" customHeight="true" outlineLevel="0" collapsed="false">
      <c r="G246" s="1" t="str">
        <f aca="false" t="array" ref="G246:G246">IF(C246="","",INDEX(Akaun!$F$5:$F$150,MATCH(C246,Akaun!$A$5:$A$150,0)))</f>
        <v/>
      </c>
      <c r="H246" s="1" t="str">
        <f aca="false">IF(C246="","",INDEX(Akaun!$D$5:$D$150,MATCH(C246,Akaun!$A$5:$A$150,0)))</f>
        <v/>
      </c>
    </row>
    <row r="247" customFormat="false" ht="15" hidden="false" customHeight="true" outlineLevel="0" collapsed="false">
      <c r="G247" s="1" t="str">
        <f aca="false" t="array" ref="G247:G247">IF(C247="","",INDEX(Akaun!$F$5:$F$150,MATCH(C247,Akaun!$A$5:$A$150,0)))</f>
        <v/>
      </c>
      <c r="H247" s="1" t="str">
        <f aca="false">IF(C247="","",INDEX(Akaun!$D$5:$D$150,MATCH(C247,Akaun!$A$5:$A$150,0)))</f>
        <v/>
      </c>
    </row>
    <row r="248" customFormat="false" ht="15" hidden="false" customHeight="true" outlineLevel="0" collapsed="false">
      <c r="G248" s="1" t="str">
        <f aca="false" t="array" ref="G248:G248">IF(C248="","",INDEX(Akaun!$F$5:$F$150,MATCH(C248,Akaun!$A$5:$A$150,0)))</f>
        <v/>
      </c>
      <c r="H248" s="1" t="str">
        <f aca="false">IF(C248="","",INDEX(Akaun!$D$5:$D$150,MATCH(C248,Akaun!$A$5:$A$150,0)))</f>
        <v/>
      </c>
    </row>
    <row r="249" customFormat="false" ht="15" hidden="false" customHeight="true" outlineLevel="0" collapsed="false">
      <c r="G249" s="1" t="str">
        <f aca="false" t="array" ref="G249:G249">IF(C249="","",INDEX(Akaun!$F$5:$F$150,MATCH(C249,Akaun!$A$5:$A$150,0)))</f>
        <v/>
      </c>
      <c r="H249" s="1" t="str">
        <f aca="false">IF(C249="","",INDEX(Akaun!$D$5:$D$150,MATCH(C249,Akaun!$A$5:$A$150,0)))</f>
        <v/>
      </c>
    </row>
    <row r="250" customFormat="false" ht="15" hidden="false" customHeight="true" outlineLevel="0" collapsed="false">
      <c r="G250" s="1" t="str">
        <f aca="false" t="array" ref="G250:G250">IF(C250="","",INDEX(Akaun!$F$5:$F$150,MATCH(C250,Akaun!$A$5:$A$150,0)))</f>
        <v/>
      </c>
      <c r="H250" s="1" t="str">
        <f aca="false">IF(C250="","",INDEX(Akaun!$D$5:$D$150,MATCH(C250,Akaun!$A$5:$A$150,0)))</f>
        <v/>
      </c>
    </row>
    <row r="251" customFormat="false" ht="15" hidden="false" customHeight="true" outlineLevel="0" collapsed="false">
      <c r="G251" s="1" t="str">
        <f aca="false" t="array" ref="G251:G251">IF(C251="","",INDEX(Akaun!$F$5:$F$150,MATCH(C251,Akaun!$A$5:$A$150,0)))</f>
        <v/>
      </c>
      <c r="H251" s="1" t="str">
        <f aca="false">IF(C251="","",INDEX(Akaun!$D$5:$D$150,MATCH(C251,Akaun!$A$5:$A$150,0)))</f>
        <v/>
      </c>
    </row>
    <row r="252" customFormat="false" ht="15" hidden="false" customHeight="true" outlineLevel="0" collapsed="false">
      <c r="G252" s="1" t="str">
        <f aca="false" t="array" ref="G252:G252">IF(C252="","",INDEX(Akaun!$F$5:$F$150,MATCH(C252,Akaun!$A$5:$A$150,0)))</f>
        <v/>
      </c>
      <c r="H252" s="1" t="str">
        <f aca="false">IF(C252="","",INDEX(Akaun!$D$5:$D$150,MATCH(C252,Akaun!$A$5:$A$150,0)))</f>
        <v/>
      </c>
    </row>
    <row r="253" customFormat="false" ht="15" hidden="false" customHeight="true" outlineLevel="0" collapsed="false">
      <c r="G253" s="1" t="str">
        <f aca="false" t="array" ref="G253:G253">IF(C253="","",INDEX(Akaun!$F$5:$F$150,MATCH(C253,Akaun!$A$5:$A$150,0)))</f>
        <v/>
      </c>
      <c r="H253" s="1" t="str">
        <f aca="false">IF(C253="","",INDEX(Akaun!$D$5:$D$150,MATCH(C253,Akaun!$A$5:$A$150,0)))</f>
        <v/>
      </c>
    </row>
    <row r="254" customFormat="false" ht="15" hidden="false" customHeight="true" outlineLevel="0" collapsed="false">
      <c r="G254" s="1" t="str">
        <f aca="false" t="array" ref="G254:G254">IF(C254="","",INDEX(Akaun!$F$5:$F$150,MATCH(C254,Akaun!$A$5:$A$150,0)))</f>
        <v/>
      </c>
      <c r="H254" s="1" t="str">
        <f aca="false">IF(C254="","",INDEX(Akaun!$D$5:$D$150,MATCH(C254,Akaun!$A$5:$A$150,0)))</f>
        <v/>
      </c>
    </row>
    <row r="255" customFormat="false" ht="15" hidden="false" customHeight="true" outlineLevel="0" collapsed="false">
      <c r="G255" s="1" t="str">
        <f aca="false" t="array" ref="G255:G255">IF(C255="","",INDEX(Akaun!$F$5:$F$150,MATCH(C255,Akaun!$A$5:$A$150,0)))</f>
        <v/>
      </c>
      <c r="H255" s="1" t="str">
        <f aca="false">IF(C255="","",INDEX(Akaun!$D$5:$D$150,MATCH(C255,Akaun!$A$5:$A$150,0)))</f>
        <v/>
      </c>
    </row>
    <row r="256" customFormat="false" ht="15" hidden="false" customHeight="true" outlineLevel="0" collapsed="false">
      <c r="G256" s="1" t="str">
        <f aca="false" t="array" ref="G256:G256">IF(C256="","",INDEX(Akaun!$F$5:$F$150,MATCH(C256,Akaun!$A$5:$A$150,0)))</f>
        <v/>
      </c>
      <c r="H256" s="1" t="str">
        <f aca="false">IF(C256="","",INDEX(Akaun!$D$5:$D$150,MATCH(C256,Akaun!$A$5:$A$150,0)))</f>
        <v/>
      </c>
    </row>
    <row r="257" customFormat="false" ht="15" hidden="false" customHeight="true" outlineLevel="0" collapsed="false">
      <c r="G257" s="1" t="str">
        <f aca="false" t="array" ref="G257:G257">IF(C257="","",INDEX(Akaun!$F$5:$F$150,MATCH(C257,Akaun!$A$5:$A$150,0)))</f>
        <v/>
      </c>
      <c r="H257" s="1" t="str">
        <f aca="false">IF(C257="","",INDEX(Akaun!$D$5:$D$150,MATCH(C257,Akaun!$A$5:$A$150,0)))</f>
        <v/>
      </c>
    </row>
    <row r="258" customFormat="false" ht="15" hidden="false" customHeight="true" outlineLevel="0" collapsed="false">
      <c r="G258" s="1" t="str">
        <f aca="false" t="array" ref="G258:G258">IF(C258="","",INDEX(Akaun!$F$5:$F$150,MATCH(C258,Akaun!$A$5:$A$150,0)))</f>
        <v/>
      </c>
      <c r="H258" s="1" t="str">
        <f aca="false">IF(C258="","",INDEX(Akaun!$D$5:$D$150,MATCH(C258,Akaun!$A$5:$A$150,0)))</f>
        <v/>
      </c>
    </row>
    <row r="259" customFormat="false" ht="15" hidden="false" customHeight="true" outlineLevel="0" collapsed="false">
      <c r="G259" s="1" t="str">
        <f aca="false" t="array" ref="G259:G259">IF(C259="","",INDEX(Akaun!$F$5:$F$150,MATCH(C259,Akaun!$A$5:$A$150,0)))</f>
        <v/>
      </c>
      <c r="H259" s="1" t="str">
        <f aca="false">IF(C259="","",INDEX(Akaun!$D$5:$D$150,MATCH(C259,Akaun!$A$5:$A$150,0)))</f>
        <v/>
      </c>
    </row>
    <row r="260" customFormat="false" ht="15" hidden="false" customHeight="true" outlineLevel="0" collapsed="false">
      <c r="G260" s="1" t="str">
        <f aca="false" t="array" ref="G260:G260">IF(C260="","",INDEX(Akaun!$F$5:$F$150,MATCH(C260,Akaun!$A$5:$A$150,0)))</f>
        <v/>
      </c>
      <c r="H260" s="1" t="str">
        <f aca="false">IF(C260="","",INDEX(Akaun!$D$5:$D$150,MATCH(C260,Akaun!$A$5:$A$150,0)))</f>
        <v/>
      </c>
    </row>
    <row r="261" customFormat="false" ht="15" hidden="false" customHeight="true" outlineLevel="0" collapsed="false">
      <c r="G261" s="1" t="str">
        <f aca="false" t="array" ref="G261:G261">IF(C261="","",INDEX(Akaun!$F$5:$F$150,MATCH(C261,Akaun!$A$5:$A$150,0)))</f>
        <v/>
      </c>
      <c r="H261" s="1" t="str">
        <f aca="false">IF(C261="","",INDEX(Akaun!$D$5:$D$150,MATCH(C261,Akaun!$A$5:$A$150,0)))</f>
        <v/>
      </c>
    </row>
    <row r="262" customFormat="false" ht="15" hidden="false" customHeight="true" outlineLevel="0" collapsed="false">
      <c r="G262" s="1" t="str">
        <f aca="false" t="array" ref="G262:G262">IF(C262="","",INDEX(Akaun!$F$5:$F$150,MATCH(C262,Akaun!$A$5:$A$150,0)))</f>
        <v/>
      </c>
      <c r="H262" s="1" t="str">
        <f aca="false">IF(C262="","",INDEX(Akaun!$D$5:$D$150,MATCH(C262,Akaun!$A$5:$A$150,0)))</f>
        <v/>
      </c>
    </row>
    <row r="263" customFormat="false" ht="15" hidden="false" customHeight="true" outlineLevel="0" collapsed="false">
      <c r="G263" s="1" t="str">
        <f aca="false" t="array" ref="G263:G263">IF(C263="","",INDEX(Akaun!$F$5:$F$150,MATCH(C263,Akaun!$A$5:$A$150,0)))</f>
        <v/>
      </c>
      <c r="H263" s="1" t="str">
        <f aca="false">IF(C263="","",INDEX(Akaun!$D$5:$D$150,MATCH(C263,Akaun!$A$5:$A$150,0)))</f>
        <v/>
      </c>
    </row>
    <row r="264" customFormat="false" ht="15" hidden="false" customHeight="true" outlineLevel="0" collapsed="false">
      <c r="G264" s="1" t="str">
        <f aca="false" t="array" ref="G264:G264">IF(C264="","",INDEX(Akaun!$F$5:$F$150,MATCH(C264,Akaun!$A$5:$A$150,0)))</f>
        <v/>
      </c>
      <c r="H264" s="1" t="str">
        <f aca="false">IF(C264="","",INDEX(Akaun!$D$5:$D$150,MATCH(C264,Akaun!$A$5:$A$150,0)))</f>
        <v/>
      </c>
    </row>
    <row r="265" customFormat="false" ht="15" hidden="false" customHeight="true" outlineLevel="0" collapsed="false">
      <c r="G265" s="1" t="str">
        <f aca="false" t="array" ref="G265:G265">IF(C265="","",INDEX(Akaun!$F$5:$F$150,MATCH(C265,Akaun!$A$5:$A$150,0)))</f>
        <v/>
      </c>
      <c r="H265" s="1" t="str">
        <f aca="false">IF(C265="","",INDEX(Akaun!$D$5:$D$150,MATCH(C265,Akaun!$A$5:$A$150,0)))</f>
        <v/>
      </c>
    </row>
    <row r="266" customFormat="false" ht="15" hidden="false" customHeight="true" outlineLevel="0" collapsed="false">
      <c r="G266" s="1" t="str">
        <f aca="false" t="array" ref="G266:G266">IF(C266="","",INDEX(Akaun!$F$5:$F$150,MATCH(C266,Akaun!$A$5:$A$150,0)))</f>
        <v/>
      </c>
      <c r="H266" s="1" t="str">
        <f aca="false">IF(C266="","",INDEX(Akaun!$D$5:$D$150,MATCH(C266,Akaun!$A$5:$A$150,0)))</f>
        <v/>
      </c>
    </row>
    <row r="267" customFormat="false" ht="15" hidden="false" customHeight="true" outlineLevel="0" collapsed="false">
      <c r="G267" s="1" t="str">
        <f aca="false" t="array" ref="G267:G267">IF(C267="","",INDEX(Akaun!$F$5:$F$150,MATCH(C267,Akaun!$A$5:$A$150,0)))</f>
        <v/>
      </c>
      <c r="H267" s="1" t="str">
        <f aca="false">IF(C267="","",INDEX(Akaun!$D$5:$D$150,MATCH(C267,Akaun!$A$5:$A$150,0)))</f>
        <v/>
      </c>
    </row>
    <row r="268" customFormat="false" ht="15" hidden="false" customHeight="true" outlineLevel="0" collapsed="false">
      <c r="G268" s="1" t="str">
        <f aca="false" t="array" ref="G268:G268">IF(C268="","",INDEX(Akaun!$F$5:$F$150,MATCH(C268,Akaun!$A$5:$A$150,0)))</f>
        <v/>
      </c>
      <c r="H268" s="1" t="str">
        <f aca="false">IF(C268="","",INDEX(Akaun!$D$5:$D$150,MATCH(C268,Akaun!$A$5:$A$150,0)))</f>
        <v/>
      </c>
    </row>
    <row r="269" customFormat="false" ht="15" hidden="false" customHeight="true" outlineLevel="0" collapsed="false">
      <c r="G269" s="1" t="str">
        <f aca="false" t="array" ref="G269:G269">IF(C269="","",INDEX(Akaun!$F$5:$F$150,MATCH(C269,Akaun!$A$5:$A$150,0)))</f>
        <v/>
      </c>
      <c r="H269" s="1" t="str">
        <f aca="false">IF(C269="","",INDEX(Akaun!$D$5:$D$150,MATCH(C269,Akaun!$A$5:$A$150,0)))</f>
        <v/>
      </c>
    </row>
    <row r="270" customFormat="false" ht="15" hidden="false" customHeight="true" outlineLevel="0" collapsed="false">
      <c r="G270" s="1" t="str">
        <f aca="false" t="array" ref="G270:G270">IF(C270="","",INDEX(Akaun!$F$5:$F$150,MATCH(C270,Akaun!$A$5:$A$150,0)))</f>
        <v/>
      </c>
      <c r="H270" s="1" t="str">
        <f aca="false">IF(C270="","",INDEX(Akaun!$D$5:$D$150,MATCH(C270,Akaun!$A$5:$A$150,0)))</f>
        <v/>
      </c>
    </row>
    <row r="271" customFormat="false" ht="15" hidden="false" customHeight="true" outlineLevel="0" collapsed="false">
      <c r="G271" s="1" t="str">
        <f aca="false" t="array" ref="G271:G271">IF(C271="","",INDEX(Akaun!$F$5:$F$150,MATCH(C271,Akaun!$A$5:$A$150,0)))</f>
        <v/>
      </c>
      <c r="H271" s="1" t="str">
        <f aca="false">IF(C271="","",INDEX(Akaun!$D$5:$D$150,MATCH(C271,Akaun!$A$5:$A$150,0)))</f>
        <v/>
      </c>
    </row>
    <row r="272" customFormat="false" ht="15" hidden="false" customHeight="true" outlineLevel="0" collapsed="false">
      <c r="G272" s="1" t="str">
        <f aca="false" t="array" ref="G272:G272">IF(C272="","",INDEX(Akaun!$F$5:$F$150,MATCH(C272,Akaun!$A$5:$A$150,0)))</f>
        <v/>
      </c>
      <c r="H272" s="1" t="str">
        <f aca="false">IF(C272="","",INDEX(Akaun!$D$5:$D$150,MATCH(C272,Akaun!$A$5:$A$150,0)))</f>
        <v/>
      </c>
    </row>
    <row r="273" customFormat="false" ht="15" hidden="false" customHeight="true" outlineLevel="0" collapsed="false">
      <c r="G273" s="1" t="str">
        <f aca="false" t="array" ref="G273:G273">IF(C273="","",INDEX(Akaun!$F$5:$F$150,MATCH(C273,Akaun!$A$5:$A$150,0)))</f>
        <v/>
      </c>
      <c r="H273" s="1" t="str">
        <f aca="false">IF(C273="","",INDEX(Akaun!$D$5:$D$150,MATCH(C273,Akaun!$A$5:$A$150,0)))</f>
        <v/>
      </c>
    </row>
    <row r="274" customFormat="false" ht="15" hidden="false" customHeight="true" outlineLevel="0" collapsed="false">
      <c r="G274" s="1" t="str">
        <f aca="false" t="array" ref="G274:G274">IF(C274="","",INDEX(Akaun!$F$5:$F$150,MATCH(C274,Akaun!$A$5:$A$150,0)))</f>
        <v/>
      </c>
      <c r="H274" s="1" t="str">
        <f aca="false">IF(C274="","",INDEX(Akaun!$D$5:$D$150,MATCH(C274,Akaun!$A$5:$A$150,0)))</f>
        <v/>
      </c>
    </row>
    <row r="275" customFormat="false" ht="15" hidden="false" customHeight="true" outlineLevel="0" collapsed="false">
      <c r="G275" s="1" t="str">
        <f aca="false" t="array" ref="G275:G275">IF(C275="","",INDEX(Akaun!$F$5:$F$150,MATCH(C275,Akaun!$A$5:$A$150,0)))</f>
        <v/>
      </c>
      <c r="H275" s="1" t="str">
        <f aca="false">IF(C275="","",INDEX(Akaun!$D$5:$D$150,MATCH(C275,Akaun!$A$5:$A$150,0)))</f>
        <v/>
      </c>
    </row>
    <row r="276" customFormat="false" ht="15" hidden="false" customHeight="true" outlineLevel="0" collapsed="false">
      <c r="G276" s="1" t="str">
        <f aca="false" t="array" ref="G276:G276">IF(C276="","",INDEX(Akaun!$F$5:$F$150,MATCH(C276,Akaun!$A$5:$A$150,0)))</f>
        <v/>
      </c>
      <c r="H276" s="1" t="str">
        <f aca="false">IF(C276="","",INDEX(Akaun!$D$5:$D$150,MATCH(C276,Akaun!$A$5:$A$150,0)))</f>
        <v/>
      </c>
    </row>
    <row r="277" customFormat="false" ht="15" hidden="false" customHeight="true" outlineLevel="0" collapsed="false">
      <c r="G277" s="1" t="str">
        <f aca="false" t="array" ref="G277:G277">IF(C277="","",INDEX(Akaun!$F$5:$F$150,MATCH(C277,Akaun!$A$5:$A$150,0)))</f>
        <v/>
      </c>
      <c r="H277" s="1" t="str">
        <f aca="false">IF(C277="","",INDEX(Akaun!$D$5:$D$150,MATCH(C277,Akaun!$A$5:$A$150,0)))</f>
        <v/>
      </c>
    </row>
    <row r="278" customFormat="false" ht="15" hidden="false" customHeight="true" outlineLevel="0" collapsed="false">
      <c r="G278" s="1" t="str">
        <f aca="false" t="array" ref="G278:G278">IF(C278="","",INDEX(Akaun!$F$5:$F$150,MATCH(C278,Akaun!$A$5:$A$150,0)))</f>
        <v/>
      </c>
      <c r="H278" s="1" t="str">
        <f aca="false">IF(C278="","",INDEX(Akaun!$D$5:$D$150,MATCH(C278,Akaun!$A$5:$A$150,0)))</f>
        <v/>
      </c>
    </row>
    <row r="279" customFormat="false" ht="15" hidden="false" customHeight="true" outlineLevel="0" collapsed="false">
      <c r="G279" s="1" t="str">
        <f aca="false" t="array" ref="G279:G279">IF(C279="","",INDEX(Akaun!$F$5:$F$150,MATCH(C279,Akaun!$A$5:$A$150,0)))</f>
        <v/>
      </c>
      <c r="H279" s="1" t="str">
        <f aca="false">IF(C279="","",INDEX(Akaun!$D$5:$D$150,MATCH(C279,Akaun!$A$5:$A$150,0)))</f>
        <v/>
      </c>
    </row>
    <row r="280" customFormat="false" ht="15" hidden="false" customHeight="true" outlineLevel="0" collapsed="false">
      <c r="G280" s="1" t="str">
        <f aca="false" t="array" ref="G280:G280">IF(C280="","",INDEX(Akaun!$F$5:$F$150,MATCH(C280,Akaun!$A$5:$A$150,0)))</f>
        <v/>
      </c>
      <c r="H280" s="1" t="str">
        <f aca="false">IF(C280="","",INDEX(Akaun!$D$5:$D$150,MATCH(C280,Akaun!$A$5:$A$150,0)))</f>
        <v/>
      </c>
    </row>
    <row r="281" customFormat="false" ht="15" hidden="false" customHeight="true" outlineLevel="0" collapsed="false">
      <c r="G281" s="1" t="str">
        <f aca="false" t="array" ref="G281:G281">IF(C281="","",INDEX(Akaun!$F$5:$F$150,MATCH(C281,Akaun!$A$5:$A$150,0)))</f>
        <v/>
      </c>
      <c r="H281" s="1" t="str">
        <f aca="false">IF(C281="","",INDEX(Akaun!$D$5:$D$150,MATCH(C281,Akaun!$A$5:$A$150,0)))</f>
        <v/>
      </c>
    </row>
    <row r="282" customFormat="false" ht="15" hidden="false" customHeight="true" outlineLevel="0" collapsed="false">
      <c r="G282" s="1" t="str">
        <f aca="false" t="array" ref="G282:G282">IF(C282="","",INDEX(Akaun!$F$5:$F$150,MATCH(C282,Akaun!$A$5:$A$150,0)))</f>
        <v/>
      </c>
      <c r="H282" s="1" t="str">
        <f aca="false">IF(C282="","",INDEX(Akaun!$D$5:$D$150,MATCH(C282,Akaun!$A$5:$A$150,0)))</f>
        <v/>
      </c>
    </row>
    <row r="283" customFormat="false" ht="15" hidden="false" customHeight="true" outlineLevel="0" collapsed="false">
      <c r="G283" s="1" t="str">
        <f aca="false" t="array" ref="G283:G283">IF(C283="","",INDEX(Akaun!$F$5:$F$150,MATCH(C283,Akaun!$A$5:$A$150,0)))</f>
        <v/>
      </c>
      <c r="H283" s="1" t="str">
        <f aca="false">IF(C283="","",INDEX(Akaun!$D$5:$D$150,MATCH(C283,Akaun!$A$5:$A$150,0)))</f>
        <v/>
      </c>
    </row>
    <row r="284" customFormat="false" ht="15" hidden="false" customHeight="true" outlineLevel="0" collapsed="false">
      <c r="G284" s="1" t="str">
        <f aca="false" t="array" ref="G284:G284">IF(C284="","",INDEX(Akaun!$F$5:$F$150,MATCH(C284,Akaun!$A$5:$A$150,0)))</f>
        <v/>
      </c>
      <c r="H284" s="1" t="str">
        <f aca="false">IF(C284="","",INDEX(Akaun!$D$5:$D$150,MATCH(C284,Akaun!$A$5:$A$150,0)))</f>
        <v/>
      </c>
    </row>
    <row r="285" customFormat="false" ht="15" hidden="false" customHeight="true" outlineLevel="0" collapsed="false">
      <c r="G285" s="1" t="str">
        <f aca="false" t="array" ref="G285:G285">IF(C285="","",INDEX(Akaun!$F$5:$F$150,MATCH(C285,Akaun!$A$5:$A$150,0)))</f>
        <v/>
      </c>
      <c r="H285" s="1" t="str">
        <f aca="false">IF(C285="","",INDEX(Akaun!$D$5:$D$150,MATCH(C285,Akaun!$A$5:$A$150,0)))</f>
        <v/>
      </c>
    </row>
    <row r="286" customFormat="false" ht="15" hidden="false" customHeight="true" outlineLevel="0" collapsed="false">
      <c r="G286" s="1" t="str">
        <f aca="false" t="array" ref="G286:G286">IF(C286="","",INDEX(Akaun!$F$5:$F$150,MATCH(C286,Akaun!$A$5:$A$150,0)))</f>
        <v/>
      </c>
      <c r="H286" s="1" t="str">
        <f aca="false">IF(C286="","",INDEX(Akaun!$D$5:$D$150,MATCH(C286,Akaun!$A$5:$A$150,0)))</f>
        <v/>
      </c>
    </row>
    <row r="287" customFormat="false" ht="15" hidden="false" customHeight="true" outlineLevel="0" collapsed="false">
      <c r="G287" s="1" t="str">
        <f aca="false" t="array" ref="G287:G287">IF(C287="","",INDEX(Akaun!$F$5:$F$150,MATCH(C287,Akaun!$A$5:$A$150,0)))</f>
        <v/>
      </c>
      <c r="H287" s="1" t="str">
        <f aca="false">IF(C287="","",INDEX(Akaun!$D$5:$D$150,MATCH(C287,Akaun!$A$5:$A$150,0)))</f>
        <v/>
      </c>
    </row>
    <row r="288" customFormat="false" ht="15" hidden="false" customHeight="true" outlineLevel="0" collapsed="false">
      <c r="G288" s="1" t="str">
        <f aca="false" t="array" ref="G288:G288">IF(C288="","",INDEX(Akaun!$F$5:$F$150,MATCH(C288,Akaun!$A$5:$A$150,0)))</f>
        <v/>
      </c>
      <c r="H288" s="1" t="str">
        <f aca="false">IF(C288="","",INDEX(Akaun!$D$5:$D$150,MATCH(C288,Akaun!$A$5:$A$150,0)))</f>
        <v/>
      </c>
    </row>
    <row r="289" customFormat="false" ht="15" hidden="false" customHeight="true" outlineLevel="0" collapsed="false">
      <c r="G289" s="1" t="str">
        <f aca="false" t="array" ref="G289:G289">IF(C289="","",INDEX(Akaun!$F$5:$F$150,MATCH(C289,Akaun!$A$5:$A$150,0)))</f>
        <v/>
      </c>
      <c r="H289" s="1" t="str">
        <f aca="false">IF(C289="","",INDEX(Akaun!$D$5:$D$150,MATCH(C289,Akaun!$A$5:$A$150,0)))</f>
        <v/>
      </c>
    </row>
    <row r="290" customFormat="false" ht="15" hidden="false" customHeight="true" outlineLevel="0" collapsed="false">
      <c r="G290" s="1" t="str">
        <f aca="false" t="array" ref="G290:G290">IF(C290="","",INDEX(Akaun!$F$5:$F$150,MATCH(C290,Akaun!$A$5:$A$150,0)))</f>
        <v/>
      </c>
      <c r="H290" s="1" t="str">
        <f aca="false">IF(C290="","",INDEX(Akaun!$D$5:$D$150,MATCH(C290,Akaun!$A$5:$A$150,0)))</f>
        <v/>
      </c>
    </row>
    <row r="291" customFormat="false" ht="15" hidden="false" customHeight="true" outlineLevel="0" collapsed="false">
      <c r="G291" s="1" t="str">
        <f aca="false" t="array" ref="G291:G291">IF(C291="","",INDEX(Akaun!$F$5:$F$150,MATCH(C291,Akaun!$A$5:$A$150,0)))</f>
        <v/>
      </c>
      <c r="H291" s="1" t="str">
        <f aca="false">IF(C291="","",INDEX(Akaun!$D$5:$D$150,MATCH(C291,Akaun!$A$5:$A$150,0)))</f>
        <v/>
      </c>
    </row>
    <row r="292" customFormat="false" ht="15" hidden="false" customHeight="true" outlineLevel="0" collapsed="false">
      <c r="G292" s="1" t="str">
        <f aca="false" t="array" ref="G292:G292">IF(C292="","",INDEX(Akaun!$F$5:$F$150,MATCH(C292,Akaun!$A$5:$A$150,0)))</f>
        <v/>
      </c>
      <c r="H292" s="1" t="str">
        <f aca="false">IF(C292="","",INDEX(Akaun!$D$5:$D$150,MATCH(C292,Akaun!$A$5:$A$150,0)))</f>
        <v/>
      </c>
    </row>
    <row r="293" customFormat="false" ht="15" hidden="false" customHeight="true" outlineLevel="0" collapsed="false">
      <c r="G293" s="1" t="str">
        <f aca="false" t="array" ref="G293:G293">IF(C293="","",INDEX(Akaun!$F$5:$F$150,MATCH(C293,Akaun!$A$5:$A$150,0)))</f>
        <v/>
      </c>
      <c r="H293" s="1" t="str">
        <f aca="false">IF(C293="","",INDEX(Akaun!$D$5:$D$150,MATCH(C293,Akaun!$A$5:$A$150,0)))</f>
        <v/>
      </c>
    </row>
    <row r="294" customFormat="false" ht="15" hidden="false" customHeight="true" outlineLevel="0" collapsed="false">
      <c r="G294" s="1" t="str">
        <f aca="false" t="array" ref="G294:G294">IF(C294="","",INDEX(Akaun!$F$5:$F$150,MATCH(C294,Akaun!$A$5:$A$150,0)))</f>
        <v/>
      </c>
      <c r="H294" s="1" t="str">
        <f aca="false">IF(C294="","",INDEX(Akaun!$D$5:$D$150,MATCH(C294,Akaun!$A$5:$A$150,0)))</f>
        <v/>
      </c>
    </row>
    <row r="295" customFormat="false" ht="15" hidden="false" customHeight="true" outlineLevel="0" collapsed="false">
      <c r="G295" s="1" t="str">
        <f aca="false" t="array" ref="G295:G295">IF(C295="","",INDEX(Akaun!$F$5:$F$150,MATCH(C295,Akaun!$A$5:$A$150,0)))</f>
        <v/>
      </c>
      <c r="H295" s="1" t="str">
        <f aca="false">IF(C295="","",INDEX(Akaun!$D$5:$D$150,MATCH(C295,Akaun!$A$5:$A$150,0)))</f>
        <v/>
      </c>
    </row>
    <row r="296" customFormat="false" ht="15" hidden="false" customHeight="true" outlineLevel="0" collapsed="false">
      <c r="G296" s="1" t="str">
        <f aca="false" t="array" ref="G296:G296">IF(C296="","",INDEX(Akaun!$F$5:$F$150,MATCH(C296,Akaun!$A$5:$A$150,0)))</f>
        <v/>
      </c>
      <c r="H296" s="1" t="str">
        <f aca="false">IF(C296="","",INDEX(Akaun!$D$5:$D$150,MATCH(C296,Akaun!$A$5:$A$150,0)))</f>
        <v/>
      </c>
    </row>
    <row r="297" customFormat="false" ht="15" hidden="false" customHeight="true" outlineLevel="0" collapsed="false">
      <c r="G297" s="1" t="str">
        <f aca="false" t="array" ref="G297:G297">IF(C297="","",INDEX(Akaun!$F$5:$F$150,MATCH(C297,Akaun!$A$5:$A$150,0)))</f>
        <v/>
      </c>
      <c r="H297" s="1" t="str">
        <f aca="false">IF(C297="","",INDEX(Akaun!$D$5:$D$150,MATCH(C297,Akaun!$A$5:$A$150,0)))</f>
        <v/>
      </c>
    </row>
    <row r="298" customFormat="false" ht="15" hidden="false" customHeight="true" outlineLevel="0" collapsed="false">
      <c r="G298" s="1" t="str">
        <f aca="false" t="array" ref="G298:G298">IF(C298="","",INDEX(Akaun!$F$5:$F$150,MATCH(C298,Akaun!$A$5:$A$150,0)))</f>
        <v/>
      </c>
      <c r="H298" s="1" t="str">
        <f aca="false">IF(C298="","",INDEX(Akaun!$D$5:$D$150,MATCH(C298,Akaun!$A$5:$A$150,0)))</f>
        <v/>
      </c>
    </row>
    <row r="299" customFormat="false" ht="15" hidden="false" customHeight="true" outlineLevel="0" collapsed="false">
      <c r="G299" s="1" t="str">
        <f aca="false" t="array" ref="G299:G299">IF(C299="","",INDEX(Akaun!$F$5:$F$150,MATCH(C299,Akaun!$A$5:$A$150,0)))</f>
        <v/>
      </c>
      <c r="H299" s="1" t="str">
        <f aca="false">IF(C299="","",INDEX(Akaun!$D$5:$D$150,MATCH(C299,Akaun!$A$5:$A$150,0)))</f>
        <v/>
      </c>
    </row>
    <row r="300" customFormat="false" ht="15" hidden="false" customHeight="true" outlineLevel="0" collapsed="false">
      <c r="G300" s="1" t="str">
        <f aca="false" t="array" ref="G300:G300">IF(C300="","",INDEX(Akaun!$F$5:$F$150,MATCH(C300,Akaun!$A$5:$A$150,0)))</f>
        <v/>
      </c>
      <c r="H300" s="1" t="str">
        <f aca="false">IF(C300="","",INDEX(Akaun!$D$5:$D$150,MATCH(C300,Akaun!$A$5:$A$150,0)))</f>
        <v/>
      </c>
    </row>
    <row r="301" customFormat="false" ht="15" hidden="false" customHeight="true" outlineLevel="0" collapsed="false">
      <c r="G301" s="1" t="str">
        <f aca="false" t="array" ref="G301:G301">IF(C301="","",INDEX(Akaun!$F$5:$F$150,MATCH(C301,Akaun!$A$5:$A$150,0)))</f>
        <v/>
      </c>
      <c r="H301" s="1" t="str">
        <f aca="false">IF(C301="","",INDEX(Akaun!$D$5:$D$150,MATCH(C301,Akaun!$A$5:$A$150,0)))</f>
        <v/>
      </c>
    </row>
    <row r="302" customFormat="false" ht="15" hidden="false" customHeight="true" outlineLevel="0" collapsed="false">
      <c r="G302" s="1" t="str">
        <f aca="false" t="array" ref="G302:G302">IF(C302="","",INDEX(Akaun!$F$5:$F$150,MATCH(C302,Akaun!$A$5:$A$150,0)))</f>
        <v/>
      </c>
      <c r="H302" s="1" t="str">
        <f aca="false">IF(C302="","",INDEX(Akaun!$D$5:$D$150,MATCH(C302,Akaun!$A$5:$A$150,0)))</f>
        <v/>
      </c>
    </row>
    <row r="303" customFormat="false" ht="15" hidden="false" customHeight="true" outlineLevel="0" collapsed="false">
      <c r="G303" s="1" t="str">
        <f aca="false" t="array" ref="G303:G303">IF(C303="","",INDEX(Akaun!$F$5:$F$150,MATCH(C303,Akaun!$A$5:$A$150,0)))</f>
        <v/>
      </c>
      <c r="H303" s="1" t="str">
        <f aca="false">IF(C303="","",INDEX(Akaun!$D$5:$D$150,MATCH(C303,Akaun!$A$5:$A$150,0)))</f>
        <v/>
      </c>
    </row>
    <row r="304" customFormat="false" ht="15" hidden="false" customHeight="true" outlineLevel="0" collapsed="false">
      <c r="G304" s="1" t="str">
        <f aca="false" t="array" ref="G304:G304">IF(C304="","",INDEX(Akaun!$F$5:$F$150,MATCH(C304,Akaun!$A$5:$A$150,0)))</f>
        <v/>
      </c>
      <c r="H304" s="1" t="str">
        <f aca="false">IF(C304="","",INDEX(Akaun!$D$5:$D$150,MATCH(C304,Akaun!$A$5:$A$150,0)))</f>
        <v/>
      </c>
    </row>
    <row r="305" customFormat="false" ht="15" hidden="false" customHeight="true" outlineLevel="0" collapsed="false">
      <c r="G305" s="1" t="str">
        <f aca="false" t="array" ref="G305:G305">IF(C305="","",INDEX(Akaun!$F$5:$F$150,MATCH(C305,Akaun!$A$5:$A$150,0)))</f>
        <v/>
      </c>
      <c r="H305" s="1" t="str">
        <f aca="false">IF(C305="","",INDEX(Akaun!$D$5:$D$150,MATCH(C305,Akaun!$A$5:$A$150,0)))</f>
        <v/>
      </c>
    </row>
    <row r="306" customFormat="false" ht="15" hidden="false" customHeight="true" outlineLevel="0" collapsed="false">
      <c r="G306" s="1" t="str">
        <f aca="false" t="array" ref="G306:G306">IF(C306="","",INDEX(Akaun!$F$5:$F$150,MATCH(C306,Akaun!$A$5:$A$150,0)))</f>
        <v/>
      </c>
      <c r="H306" s="1" t="str">
        <f aca="false">IF(C306="","",INDEX(Akaun!$D$5:$D$150,MATCH(C306,Akaun!$A$5:$A$150,0)))</f>
        <v/>
      </c>
    </row>
    <row r="307" customFormat="false" ht="15" hidden="false" customHeight="true" outlineLevel="0" collapsed="false">
      <c r="G307" s="1" t="str">
        <f aca="false" t="array" ref="G307:G307">IF(C307="","",INDEX(Akaun!$F$5:$F$150,MATCH(C307,Akaun!$A$5:$A$150,0)))</f>
        <v/>
      </c>
      <c r="H307" s="1" t="str">
        <f aca="false">IF(C307="","",INDEX(Akaun!$D$5:$D$150,MATCH(C307,Akaun!$A$5:$A$150,0)))</f>
        <v/>
      </c>
    </row>
    <row r="308" customFormat="false" ht="15" hidden="false" customHeight="true" outlineLevel="0" collapsed="false">
      <c r="G308" s="1" t="str">
        <f aca="false" t="array" ref="G308:G308">IF(C308="","",INDEX(Akaun!$F$5:$F$150,MATCH(C308,Akaun!$A$5:$A$150,0)))</f>
        <v/>
      </c>
      <c r="H308" s="1" t="str">
        <f aca="false">IF(C308="","",INDEX(Akaun!$D$5:$D$150,MATCH(C308,Akaun!$A$5:$A$150,0)))</f>
        <v/>
      </c>
    </row>
    <row r="309" customFormat="false" ht="15" hidden="false" customHeight="true" outlineLevel="0" collapsed="false">
      <c r="G309" s="1" t="str">
        <f aca="false" t="array" ref="G309:G309">IF(C309="","",INDEX(Akaun!$F$5:$F$150,MATCH(C309,Akaun!$A$5:$A$150,0)))</f>
        <v/>
      </c>
      <c r="H309" s="1" t="str">
        <f aca="false">IF(C309="","",INDEX(Akaun!$D$5:$D$150,MATCH(C309,Akaun!$A$5:$A$150,0)))</f>
        <v/>
      </c>
    </row>
    <row r="310" customFormat="false" ht="15" hidden="false" customHeight="true" outlineLevel="0" collapsed="false">
      <c r="G310" s="1" t="str">
        <f aca="false" t="array" ref="G310:G310">IF(C310="","",INDEX(Akaun!$F$5:$F$150,MATCH(C310,Akaun!$A$5:$A$150,0)))</f>
        <v/>
      </c>
      <c r="H310" s="1" t="str">
        <f aca="false">IF(C310="","",INDEX(Akaun!$D$5:$D$150,MATCH(C310,Akaun!$A$5:$A$150,0)))</f>
        <v/>
      </c>
    </row>
    <row r="311" customFormat="false" ht="15" hidden="false" customHeight="true" outlineLevel="0" collapsed="false">
      <c r="G311" s="1" t="str">
        <f aca="false" t="array" ref="G311:G311">IF(C311="","",INDEX(Akaun!$F$5:$F$150,MATCH(C311,Akaun!$A$5:$A$150,0)))</f>
        <v/>
      </c>
      <c r="H311" s="1" t="str">
        <f aca="false">IF(C311="","",INDEX(Akaun!$D$5:$D$150,MATCH(C311,Akaun!$A$5:$A$150,0)))</f>
        <v/>
      </c>
    </row>
    <row r="312" customFormat="false" ht="15" hidden="false" customHeight="true" outlineLevel="0" collapsed="false">
      <c r="G312" s="1" t="str">
        <f aca="false" t="array" ref="G312:G312">IF(C312="","",INDEX(Akaun!$F$5:$F$150,MATCH(C312,Akaun!$A$5:$A$150,0)))</f>
        <v/>
      </c>
      <c r="H312" s="1" t="str">
        <f aca="false">IF(C312="","",INDEX(Akaun!$D$5:$D$150,MATCH(C312,Akaun!$A$5:$A$150,0)))</f>
        <v/>
      </c>
    </row>
    <row r="313" customFormat="false" ht="15" hidden="false" customHeight="true" outlineLevel="0" collapsed="false">
      <c r="G313" s="1" t="str">
        <f aca="false" t="array" ref="G313:G313">IF(C313="","",INDEX(Akaun!$F$5:$F$150,MATCH(C313,Akaun!$A$5:$A$150,0)))</f>
        <v/>
      </c>
      <c r="H313" s="1" t="str">
        <f aca="false">IF(C313="","",INDEX(Akaun!$D$5:$D$150,MATCH(C313,Akaun!$A$5:$A$150,0)))</f>
        <v/>
      </c>
    </row>
    <row r="314" customFormat="false" ht="15" hidden="false" customHeight="true" outlineLevel="0" collapsed="false">
      <c r="G314" s="1" t="str">
        <f aca="false" t="array" ref="G314:G314">IF(C314="","",INDEX(Akaun!$F$5:$F$150,MATCH(C314,Akaun!$A$5:$A$150,0)))</f>
        <v/>
      </c>
      <c r="H314" s="1" t="str">
        <f aca="false">IF(C314="","",INDEX(Akaun!$D$5:$D$150,MATCH(C314,Akaun!$A$5:$A$150,0)))</f>
        <v/>
      </c>
    </row>
    <row r="315" customFormat="false" ht="15" hidden="false" customHeight="true" outlineLevel="0" collapsed="false">
      <c r="G315" s="1" t="str">
        <f aca="false" t="array" ref="G315:G315">IF(C315="","",INDEX(Akaun!$F$5:$F$150,MATCH(C315,Akaun!$A$5:$A$150,0)))</f>
        <v/>
      </c>
      <c r="H315" s="1" t="str">
        <f aca="false">IF(C315="","",INDEX(Akaun!$D$5:$D$150,MATCH(C315,Akaun!$A$5:$A$150,0)))</f>
        <v/>
      </c>
    </row>
    <row r="316" customFormat="false" ht="15" hidden="false" customHeight="true" outlineLevel="0" collapsed="false">
      <c r="G316" s="1" t="str">
        <f aca="false" t="array" ref="G316:G316">IF(C316="","",INDEX(Akaun!$F$5:$F$150,MATCH(C316,Akaun!$A$5:$A$150,0)))</f>
        <v/>
      </c>
      <c r="H316" s="1" t="str">
        <f aca="false">IF(C316="","",INDEX(Akaun!$D$5:$D$150,MATCH(C316,Akaun!$A$5:$A$150,0)))</f>
        <v/>
      </c>
    </row>
    <row r="317" customFormat="false" ht="15" hidden="false" customHeight="true" outlineLevel="0" collapsed="false">
      <c r="G317" s="1" t="str">
        <f aca="false" t="array" ref="G317:G317">IF(C317="","",INDEX(Akaun!$F$5:$F$150,MATCH(C317,Akaun!$A$5:$A$150,0)))</f>
        <v/>
      </c>
      <c r="H317" s="1" t="str">
        <f aca="false">IF(C317="","",INDEX(Akaun!$D$5:$D$150,MATCH(C317,Akaun!$A$5:$A$150,0)))</f>
        <v/>
      </c>
    </row>
    <row r="318" customFormat="false" ht="15" hidden="false" customHeight="true" outlineLevel="0" collapsed="false">
      <c r="G318" s="1" t="str">
        <f aca="false" t="array" ref="G318:G318">IF(C318="","",INDEX(Akaun!$F$5:$F$150,MATCH(C318,Akaun!$A$5:$A$150,0)))</f>
        <v/>
      </c>
      <c r="H318" s="1" t="str">
        <f aca="false">IF(C318="","",INDEX(Akaun!$D$5:$D$150,MATCH(C318,Akaun!$A$5:$A$150,0)))</f>
        <v/>
      </c>
    </row>
    <row r="319" customFormat="false" ht="15" hidden="false" customHeight="true" outlineLevel="0" collapsed="false">
      <c r="G319" s="1" t="str">
        <f aca="false" t="array" ref="G319:G319">IF(C319="","",INDEX(Akaun!$F$5:$F$150,MATCH(C319,Akaun!$A$5:$A$150,0)))</f>
        <v/>
      </c>
      <c r="H319" s="1" t="str">
        <f aca="false">IF(C319="","",INDEX(Akaun!$D$5:$D$150,MATCH(C319,Akaun!$A$5:$A$150,0)))</f>
        <v/>
      </c>
    </row>
    <row r="320" customFormat="false" ht="15" hidden="false" customHeight="true" outlineLevel="0" collapsed="false">
      <c r="G320" s="1" t="str">
        <f aca="false" t="array" ref="G320:G320">IF(C320="","",INDEX(Akaun!$F$5:$F$150,MATCH(C320,Akaun!$A$5:$A$150,0)))</f>
        <v/>
      </c>
      <c r="H320" s="1" t="str">
        <f aca="false">IF(C320="","",INDEX(Akaun!$D$5:$D$150,MATCH(C320,Akaun!$A$5:$A$150,0)))</f>
        <v/>
      </c>
    </row>
    <row r="321" customFormat="false" ht="15" hidden="false" customHeight="true" outlineLevel="0" collapsed="false">
      <c r="G321" s="1" t="str">
        <f aca="false" t="array" ref="G321:G321">IF(C321="","",INDEX(Akaun!$F$5:$F$150,MATCH(C321,Akaun!$A$5:$A$150,0)))</f>
        <v/>
      </c>
      <c r="H321" s="1" t="str">
        <f aca="false">IF(C321="","",INDEX(Akaun!$D$5:$D$150,MATCH(C321,Akaun!$A$5:$A$150,0)))</f>
        <v/>
      </c>
    </row>
    <row r="322" customFormat="false" ht="15" hidden="false" customHeight="true" outlineLevel="0" collapsed="false">
      <c r="G322" s="1" t="str">
        <f aca="false" t="array" ref="G322:G322">IF(C322="","",INDEX(Akaun!$F$5:$F$150,MATCH(C322,Akaun!$A$5:$A$150,0)))</f>
        <v/>
      </c>
      <c r="H322" s="1" t="str">
        <f aca="false">IF(C322="","",INDEX(Akaun!$D$5:$D$150,MATCH(C322,Akaun!$A$5:$A$150,0)))</f>
        <v/>
      </c>
    </row>
    <row r="323" customFormat="false" ht="15" hidden="false" customHeight="true" outlineLevel="0" collapsed="false">
      <c r="G323" s="1" t="str">
        <f aca="false" t="array" ref="G323:G323">IF(C323="","",INDEX(Akaun!$F$5:$F$150,MATCH(C323,Akaun!$A$5:$A$150,0)))</f>
        <v/>
      </c>
      <c r="H323" s="1" t="str">
        <f aca="false">IF(C323="","",INDEX(Akaun!$D$5:$D$150,MATCH(C323,Akaun!$A$5:$A$150,0)))</f>
        <v/>
      </c>
    </row>
    <row r="324" customFormat="false" ht="15" hidden="false" customHeight="true" outlineLevel="0" collapsed="false">
      <c r="G324" s="1" t="str">
        <f aca="false" t="array" ref="G324:G324">IF(C324="","",INDEX(Akaun!$F$5:$F$150,MATCH(C324,Akaun!$A$5:$A$150,0)))</f>
        <v/>
      </c>
      <c r="H324" s="1" t="str">
        <f aca="false">IF(C324="","",INDEX(Akaun!$D$5:$D$150,MATCH(C324,Akaun!$A$5:$A$150,0)))</f>
        <v/>
      </c>
    </row>
    <row r="325" customFormat="false" ht="15" hidden="false" customHeight="true" outlineLevel="0" collapsed="false">
      <c r="G325" s="1" t="str">
        <f aca="false" t="array" ref="G325:G325">IF(C325="","",INDEX(Akaun!$F$5:$F$150,MATCH(C325,Akaun!$A$5:$A$150,0)))</f>
        <v/>
      </c>
      <c r="H325" s="1" t="str">
        <f aca="false">IF(C325="","",INDEX(Akaun!$D$5:$D$150,MATCH(C325,Akaun!$A$5:$A$150,0)))</f>
        <v/>
      </c>
    </row>
    <row r="326" customFormat="false" ht="15" hidden="false" customHeight="true" outlineLevel="0" collapsed="false">
      <c r="G326" s="1" t="str">
        <f aca="false" t="array" ref="G326:G326">IF(C326="","",INDEX(Akaun!$F$5:$F$150,MATCH(C326,Akaun!$A$5:$A$150,0)))</f>
        <v/>
      </c>
      <c r="H326" s="1" t="str">
        <f aca="false">IF(C326="","",INDEX(Akaun!$D$5:$D$150,MATCH(C326,Akaun!$A$5:$A$150,0)))</f>
        <v/>
      </c>
    </row>
    <row r="327" customFormat="false" ht="15" hidden="false" customHeight="true" outlineLevel="0" collapsed="false">
      <c r="G327" s="1" t="str">
        <f aca="false" t="array" ref="G327:G327">IF(C327="","",INDEX(Akaun!$F$5:$F$150,MATCH(C327,Akaun!$A$5:$A$150,0)))</f>
        <v/>
      </c>
      <c r="H327" s="1" t="str">
        <f aca="false">IF(C327="","",INDEX(Akaun!$D$5:$D$150,MATCH(C327,Akaun!$A$5:$A$150,0)))</f>
        <v/>
      </c>
    </row>
    <row r="328" customFormat="false" ht="15" hidden="false" customHeight="true" outlineLevel="0" collapsed="false">
      <c r="G328" s="1" t="str">
        <f aca="false" t="array" ref="G328:G328">IF(C328="","",INDEX(Akaun!$F$5:$F$150,MATCH(C328,Akaun!$A$5:$A$150,0)))</f>
        <v/>
      </c>
      <c r="H328" s="1" t="str">
        <f aca="false">IF(C328="","",INDEX(Akaun!$D$5:$D$150,MATCH(C328,Akaun!$A$5:$A$150,0)))</f>
        <v/>
      </c>
    </row>
    <row r="329" customFormat="false" ht="15" hidden="false" customHeight="true" outlineLevel="0" collapsed="false">
      <c r="G329" s="1" t="str">
        <f aca="false" t="array" ref="G329:G329">IF(C329="","",INDEX(Akaun!$F$5:$F$150,MATCH(C329,Akaun!$A$5:$A$150,0)))</f>
        <v/>
      </c>
      <c r="H329" s="1" t="str">
        <f aca="false">IF(C329="","",INDEX(Akaun!$D$5:$D$150,MATCH(C329,Akaun!$A$5:$A$150,0)))</f>
        <v/>
      </c>
    </row>
    <row r="330" customFormat="false" ht="15" hidden="false" customHeight="true" outlineLevel="0" collapsed="false">
      <c r="G330" s="1" t="str">
        <f aca="false" t="array" ref="G330:G330">IF(C330="","",INDEX(Akaun!$F$5:$F$150,MATCH(C330,Akaun!$A$5:$A$150,0)))</f>
        <v/>
      </c>
      <c r="H330" s="1" t="str">
        <f aca="false">IF(C330="","",INDEX(Akaun!$D$5:$D$150,MATCH(C330,Akaun!$A$5:$A$150,0)))</f>
        <v/>
      </c>
    </row>
    <row r="331" customFormat="false" ht="15" hidden="false" customHeight="true" outlineLevel="0" collapsed="false">
      <c r="G331" s="1" t="str">
        <f aca="false" t="array" ref="G331:G331">IF(C331="","",INDEX(Akaun!$F$5:$F$150,MATCH(C331,Akaun!$A$5:$A$150,0)))</f>
        <v/>
      </c>
      <c r="H331" s="1" t="str">
        <f aca="false">IF(C331="","",INDEX(Akaun!$D$5:$D$150,MATCH(C331,Akaun!$A$5:$A$150,0)))</f>
        <v/>
      </c>
    </row>
    <row r="332" customFormat="false" ht="15" hidden="false" customHeight="true" outlineLevel="0" collapsed="false">
      <c r="G332" s="1" t="str">
        <f aca="false" t="array" ref="G332:G332">IF(C332="","",INDEX(Akaun!$F$5:$F$150,MATCH(C332,Akaun!$A$5:$A$150,0)))</f>
        <v/>
      </c>
      <c r="H332" s="1" t="str">
        <f aca="false">IF(C332="","",INDEX(Akaun!$D$5:$D$150,MATCH(C332,Akaun!$A$5:$A$150,0)))</f>
        <v/>
      </c>
    </row>
    <row r="333" customFormat="false" ht="15" hidden="false" customHeight="true" outlineLevel="0" collapsed="false">
      <c r="G333" s="1" t="str">
        <f aca="false" t="array" ref="G333:G333">IF(C333="","",INDEX(Akaun!$F$5:$F$150,MATCH(C333,Akaun!$A$5:$A$150,0)))</f>
        <v/>
      </c>
      <c r="H333" s="1" t="str">
        <f aca="false">IF(C333="","",INDEX(Akaun!$D$5:$D$150,MATCH(C333,Akaun!$A$5:$A$150,0)))</f>
        <v/>
      </c>
    </row>
    <row r="334" customFormat="false" ht="15" hidden="false" customHeight="true" outlineLevel="0" collapsed="false">
      <c r="G334" s="1" t="str">
        <f aca="false" t="array" ref="G334:G334">IF(C334="","",INDEX(Akaun!$F$5:$F$150,MATCH(C334,Akaun!$A$5:$A$150,0)))</f>
        <v/>
      </c>
      <c r="H334" s="1" t="str">
        <f aca="false">IF(C334="","",INDEX(Akaun!$D$5:$D$150,MATCH(C334,Akaun!$A$5:$A$150,0)))</f>
        <v/>
      </c>
    </row>
    <row r="335" customFormat="false" ht="15" hidden="false" customHeight="true" outlineLevel="0" collapsed="false">
      <c r="G335" s="1" t="str">
        <f aca="false" t="array" ref="G335:G335">IF(C335="","",INDEX(Akaun!$F$5:$F$150,MATCH(C335,Akaun!$A$5:$A$150,0)))</f>
        <v/>
      </c>
      <c r="H335" s="1" t="str">
        <f aca="false">IF(C335="","",INDEX(Akaun!$D$5:$D$150,MATCH(C335,Akaun!$A$5:$A$150,0)))</f>
        <v/>
      </c>
    </row>
    <row r="336" customFormat="false" ht="15" hidden="false" customHeight="true" outlineLevel="0" collapsed="false">
      <c r="G336" s="1" t="str">
        <f aca="false" t="array" ref="G336:G336">IF(C336="","",INDEX(Akaun!$F$5:$F$150,MATCH(C336,Akaun!$A$5:$A$150,0)))</f>
        <v/>
      </c>
      <c r="H336" s="1" t="str">
        <f aca="false">IF(C336="","",INDEX(Akaun!$D$5:$D$150,MATCH(C336,Akaun!$A$5:$A$150,0)))</f>
        <v/>
      </c>
    </row>
    <row r="337" customFormat="false" ht="15" hidden="false" customHeight="true" outlineLevel="0" collapsed="false">
      <c r="G337" s="1" t="str">
        <f aca="false" t="array" ref="G337:G337">IF(C337="","",INDEX(Akaun!$F$5:$F$150,MATCH(C337,Akaun!$A$5:$A$150,0)))</f>
        <v/>
      </c>
      <c r="H337" s="1" t="str">
        <f aca="false">IF(C337="","",INDEX(Akaun!$D$5:$D$150,MATCH(C337,Akaun!$A$5:$A$150,0)))</f>
        <v/>
      </c>
    </row>
    <row r="338" customFormat="false" ht="15" hidden="false" customHeight="true" outlineLevel="0" collapsed="false">
      <c r="G338" s="1" t="str">
        <f aca="false" t="array" ref="G338:G338">IF(C338="","",INDEX(Akaun!$F$5:$F$150,MATCH(C338,Akaun!$A$5:$A$150,0)))</f>
        <v/>
      </c>
      <c r="H338" s="1" t="str">
        <f aca="false">IF(C338="","",INDEX(Akaun!$D$5:$D$150,MATCH(C338,Akaun!$A$5:$A$150,0)))</f>
        <v/>
      </c>
    </row>
    <row r="339" customFormat="false" ht="15" hidden="false" customHeight="true" outlineLevel="0" collapsed="false">
      <c r="G339" s="1" t="str">
        <f aca="false" t="array" ref="G339:G339">IF(C339="","",INDEX(Akaun!$F$5:$F$150,MATCH(C339,Akaun!$A$5:$A$150,0)))</f>
        <v/>
      </c>
      <c r="H339" s="1" t="str">
        <f aca="false">IF(C339="","",INDEX(Akaun!$D$5:$D$150,MATCH(C339,Akaun!$A$5:$A$150,0)))</f>
        <v/>
      </c>
    </row>
    <row r="340" customFormat="false" ht="15" hidden="false" customHeight="true" outlineLevel="0" collapsed="false">
      <c r="G340" s="1" t="str">
        <f aca="false" t="array" ref="G340:G340">IF(C340="","",INDEX(Akaun!$F$5:$F$150,MATCH(C340,Akaun!$A$5:$A$150,0)))</f>
        <v/>
      </c>
      <c r="H340" s="1" t="str">
        <f aca="false">IF(C340="","",INDEX(Akaun!$D$5:$D$150,MATCH(C340,Akaun!$A$5:$A$150,0)))</f>
        <v/>
      </c>
    </row>
    <row r="341" customFormat="false" ht="15" hidden="false" customHeight="true" outlineLevel="0" collapsed="false">
      <c r="G341" s="1" t="str">
        <f aca="false" t="array" ref="G341:G341">IF(C341="","",INDEX(Akaun!$F$5:$F$150,MATCH(C341,Akaun!$A$5:$A$150,0)))</f>
        <v/>
      </c>
      <c r="H341" s="1" t="str">
        <f aca="false">IF(C341="","",INDEX(Akaun!$D$5:$D$150,MATCH(C341,Akaun!$A$5:$A$150,0)))</f>
        <v/>
      </c>
    </row>
    <row r="342" customFormat="false" ht="15" hidden="false" customHeight="true" outlineLevel="0" collapsed="false">
      <c r="G342" s="1" t="str">
        <f aca="false" t="array" ref="G342:G342">IF(C342="","",INDEX(Akaun!$F$5:$F$150,MATCH(C342,Akaun!$A$5:$A$150,0)))</f>
        <v/>
      </c>
      <c r="H342" s="1" t="str">
        <f aca="false">IF(C342="","",INDEX(Akaun!$D$5:$D$150,MATCH(C342,Akaun!$A$5:$A$150,0)))</f>
        <v/>
      </c>
    </row>
    <row r="343" customFormat="false" ht="15" hidden="false" customHeight="true" outlineLevel="0" collapsed="false">
      <c r="G343" s="1" t="str">
        <f aca="false" t="array" ref="G343:G343">IF(C343="","",INDEX(Akaun!$F$5:$F$150,MATCH(C343,Akaun!$A$5:$A$150,0)))</f>
        <v/>
      </c>
      <c r="H343" s="1" t="str">
        <f aca="false">IF(C343="","",INDEX(Akaun!$D$5:$D$150,MATCH(C343,Akaun!$A$5:$A$150,0)))</f>
        <v/>
      </c>
    </row>
    <row r="344" customFormat="false" ht="15" hidden="false" customHeight="true" outlineLevel="0" collapsed="false">
      <c r="G344" s="1" t="str">
        <f aca="false" t="array" ref="G344:G344">IF(C344="","",INDEX(Akaun!$F$5:$F$150,MATCH(C344,Akaun!$A$5:$A$150,0)))</f>
        <v/>
      </c>
      <c r="H344" s="1" t="str">
        <f aca="false">IF(C344="","",INDEX(Akaun!$D$5:$D$150,MATCH(C344,Akaun!$A$5:$A$150,0)))</f>
        <v/>
      </c>
    </row>
    <row r="345" customFormat="false" ht="15" hidden="false" customHeight="true" outlineLevel="0" collapsed="false">
      <c r="G345" s="1" t="str">
        <f aca="false" t="array" ref="G345:G345">IF(C345="","",INDEX(Akaun!$F$5:$F$150,MATCH(C345,Akaun!$A$5:$A$150,0)))</f>
        <v/>
      </c>
      <c r="H345" s="1" t="str">
        <f aca="false">IF(C345="","",INDEX(Akaun!$D$5:$D$150,MATCH(C345,Akaun!$A$5:$A$150,0)))</f>
        <v/>
      </c>
    </row>
    <row r="346" customFormat="false" ht="15" hidden="false" customHeight="true" outlineLevel="0" collapsed="false">
      <c r="G346" s="1" t="str">
        <f aca="false" t="array" ref="G346:G346">IF(C346="","",INDEX(Akaun!$F$5:$F$150,MATCH(C346,Akaun!$A$5:$A$150,0)))</f>
        <v/>
      </c>
      <c r="H346" s="1" t="str">
        <f aca="false">IF(C346="","",INDEX(Akaun!$D$5:$D$150,MATCH(C346,Akaun!$A$5:$A$150,0)))</f>
        <v/>
      </c>
    </row>
    <row r="347" customFormat="false" ht="15" hidden="false" customHeight="true" outlineLevel="0" collapsed="false">
      <c r="G347" s="1" t="str">
        <f aca="false" t="array" ref="G347:G347">IF(C347="","",INDEX(Akaun!$F$5:$F$150,MATCH(C347,Akaun!$A$5:$A$150,0)))</f>
        <v/>
      </c>
      <c r="H347" s="1" t="str">
        <f aca="false">IF(C347="","",INDEX(Akaun!$D$5:$D$150,MATCH(C347,Akaun!$A$5:$A$150,0)))</f>
        <v/>
      </c>
    </row>
    <row r="348" customFormat="false" ht="15" hidden="false" customHeight="true" outlineLevel="0" collapsed="false">
      <c r="G348" s="1" t="str">
        <f aca="false" t="array" ref="G348:G348">IF(C348="","",INDEX(Akaun!$F$5:$F$150,MATCH(C348,Akaun!$A$5:$A$150,0)))</f>
        <v/>
      </c>
      <c r="H348" s="1" t="str">
        <f aca="false">IF(C348="","",INDEX(Akaun!$D$5:$D$150,MATCH(C348,Akaun!$A$5:$A$150,0)))</f>
        <v/>
      </c>
    </row>
    <row r="349" customFormat="false" ht="15" hidden="false" customHeight="true" outlineLevel="0" collapsed="false">
      <c r="G349" s="1" t="str">
        <f aca="false" t="array" ref="G349:G349">IF(C349="","",INDEX(Akaun!$F$5:$F$150,MATCH(C349,Akaun!$A$5:$A$150,0)))</f>
        <v/>
      </c>
      <c r="H349" s="1" t="str">
        <f aca="false">IF(C349="","",INDEX(Akaun!$D$5:$D$150,MATCH(C349,Akaun!$A$5:$A$150,0)))</f>
        <v/>
      </c>
    </row>
    <row r="350" customFormat="false" ht="15" hidden="false" customHeight="true" outlineLevel="0" collapsed="false">
      <c r="G350" s="1" t="str">
        <f aca="false" t="array" ref="G350:G350">IF(C350="","",INDEX(Akaun!$F$5:$F$150,MATCH(C350,Akaun!$A$5:$A$150,0)))</f>
        <v/>
      </c>
      <c r="H350" s="1" t="str">
        <f aca="false">IF(C350="","",INDEX(Akaun!$D$5:$D$150,MATCH(C350,Akaun!$A$5:$A$150,0)))</f>
        <v/>
      </c>
    </row>
    <row r="351" customFormat="false" ht="15" hidden="false" customHeight="true" outlineLevel="0" collapsed="false">
      <c r="G351" s="1" t="str">
        <f aca="false" t="array" ref="G351:G351">IF(C351="","",INDEX(Akaun!$F$5:$F$150,MATCH(C351,Akaun!$A$5:$A$150,0)))</f>
        <v/>
      </c>
      <c r="H351" s="1" t="str">
        <f aca="false">IF(C351="","",INDEX(Akaun!$D$5:$D$150,MATCH(C351,Akaun!$A$5:$A$150,0)))</f>
        <v/>
      </c>
    </row>
    <row r="352" customFormat="false" ht="15" hidden="false" customHeight="true" outlineLevel="0" collapsed="false">
      <c r="G352" s="1" t="str">
        <f aca="false" t="array" ref="G352:G352">IF(C352="","",INDEX(Akaun!$F$5:$F$150,MATCH(C352,Akaun!$A$5:$A$150,0)))</f>
        <v/>
      </c>
      <c r="H352" s="1" t="str">
        <f aca="false">IF(C352="","",INDEX(Akaun!$D$5:$D$150,MATCH(C352,Akaun!$A$5:$A$150,0)))</f>
        <v/>
      </c>
    </row>
    <row r="353" customFormat="false" ht="15" hidden="false" customHeight="true" outlineLevel="0" collapsed="false">
      <c r="G353" s="1" t="str">
        <f aca="false" t="array" ref="G353:G353">IF(C353="","",INDEX(Akaun!$F$5:$F$150,MATCH(C353,Akaun!$A$5:$A$150,0)))</f>
        <v/>
      </c>
      <c r="H353" s="1" t="str">
        <f aca="false">IF(C353="","",INDEX(Akaun!$D$5:$D$150,MATCH(C353,Akaun!$A$5:$A$150,0)))</f>
        <v/>
      </c>
    </row>
    <row r="354" customFormat="false" ht="15" hidden="false" customHeight="true" outlineLevel="0" collapsed="false">
      <c r="G354" s="1" t="str">
        <f aca="false" t="array" ref="G354:G354">IF(C354="","",INDEX(Akaun!$F$5:$F$150,MATCH(C354,Akaun!$A$5:$A$150,0)))</f>
        <v/>
      </c>
      <c r="H354" s="1" t="str">
        <f aca="false">IF(C354="","",INDEX(Akaun!$D$5:$D$150,MATCH(C354,Akaun!$A$5:$A$150,0)))</f>
        <v/>
      </c>
    </row>
    <row r="355" customFormat="false" ht="15" hidden="false" customHeight="true" outlineLevel="0" collapsed="false">
      <c r="G355" s="1" t="str">
        <f aca="false" t="array" ref="G355:G355">IF(C355="","",INDEX(Akaun!$F$5:$F$150,MATCH(C355,Akaun!$A$5:$A$150,0)))</f>
        <v/>
      </c>
      <c r="H355" s="1" t="str">
        <f aca="false">IF(C355="","",INDEX(Akaun!$D$5:$D$150,MATCH(C355,Akaun!$A$5:$A$150,0)))</f>
        <v/>
      </c>
    </row>
    <row r="356" customFormat="false" ht="15" hidden="false" customHeight="true" outlineLevel="0" collapsed="false">
      <c r="G356" s="1" t="str">
        <f aca="false" t="array" ref="G356:G356">IF(C356="","",INDEX(Akaun!$F$5:$F$150,MATCH(C356,Akaun!$A$5:$A$150,0)))</f>
        <v/>
      </c>
      <c r="H356" s="1" t="str">
        <f aca="false">IF(C356="","",INDEX(Akaun!$D$5:$D$150,MATCH(C356,Akaun!$A$5:$A$150,0)))</f>
        <v/>
      </c>
    </row>
    <row r="357" customFormat="false" ht="15" hidden="false" customHeight="true" outlineLevel="0" collapsed="false">
      <c r="G357" s="1" t="str">
        <f aca="false" t="array" ref="G357:G357">IF(C357="","",INDEX(Akaun!$F$5:$F$150,MATCH(C357,Akaun!$A$5:$A$150,0)))</f>
        <v/>
      </c>
      <c r="H357" s="1" t="str">
        <f aca="false">IF(C357="","",INDEX(Akaun!$D$5:$D$150,MATCH(C357,Akaun!$A$5:$A$150,0)))</f>
        <v/>
      </c>
    </row>
    <row r="358" customFormat="false" ht="15" hidden="false" customHeight="true" outlineLevel="0" collapsed="false">
      <c r="G358" s="1" t="str">
        <f aca="false" t="array" ref="G358:G358">IF(C358="","",INDEX(Akaun!$F$5:$F$150,MATCH(C358,Akaun!$A$5:$A$150,0)))</f>
        <v/>
      </c>
      <c r="H358" s="1" t="str">
        <f aca="false">IF(C358="","",INDEX(Akaun!$D$5:$D$150,MATCH(C358,Akaun!$A$5:$A$150,0)))</f>
        <v/>
      </c>
    </row>
    <row r="359" customFormat="false" ht="15" hidden="false" customHeight="true" outlineLevel="0" collapsed="false">
      <c r="G359" s="1" t="str">
        <f aca="false" t="array" ref="G359:G359">IF(C359="","",INDEX(Akaun!$F$5:$F$150,MATCH(C359,Akaun!$A$5:$A$150,0)))</f>
        <v/>
      </c>
      <c r="H359" s="1" t="str">
        <f aca="false">IF(C359="","",INDEX(Akaun!$D$5:$D$150,MATCH(C359,Akaun!$A$5:$A$150,0)))</f>
        <v/>
      </c>
    </row>
    <row r="360" customFormat="false" ht="15" hidden="false" customHeight="true" outlineLevel="0" collapsed="false">
      <c r="G360" s="1" t="str">
        <f aca="false" t="array" ref="G360:G360">IF(C360="","",INDEX(Akaun!$F$5:$F$150,MATCH(C360,Akaun!$A$5:$A$150,0)))</f>
        <v/>
      </c>
      <c r="H360" s="1" t="str">
        <f aca="false">IF(C360="","",INDEX(Akaun!$D$5:$D$150,MATCH(C360,Akaun!$A$5:$A$150,0)))</f>
        <v/>
      </c>
    </row>
    <row r="361" customFormat="false" ht="15" hidden="false" customHeight="true" outlineLevel="0" collapsed="false">
      <c r="G361" s="1" t="str">
        <f aca="false" t="array" ref="G361:G361">IF(C361="","",INDEX(Akaun!$F$5:$F$150,MATCH(C361,Akaun!$A$5:$A$150,0)))</f>
        <v/>
      </c>
      <c r="H361" s="1" t="str">
        <f aca="false">IF(C361="","",INDEX(Akaun!$D$5:$D$150,MATCH(C361,Akaun!$A$5:$A$150,0)))</f>
        <v/>
      </c>
    </row>
    <row r="362" customFormat="false" ht="15" hidden="false" customHeight="true" outlineLevel="0" collapsed="false">
      <c r="G362" s="1" t="str">
        <f aca="false" t="array" ref="G362:G362">IF(C362="","",INDEX(Akaun!$F$5:$F$150,MATCH(C362,Akaun!$A$5:$A$150,0)))</f>
        <v/>
      </c>
      <c r="H362" s="1" t="str">
        <f aca="false">IF(C362="","",INDEX(Akaun!$D$5:$D$150,MATCH(C362,Akaun!$A$5:$A$150,0)))</f>
        <v/>
      </c>
    </row>
    <row r="363" customFormat="false" ht="15" hidden="false" customHeight="true" outlineLevel="0" collapsed="false">
      <c r="G363" s="1" t="str">
        <f aca="false" t="array" ref="G363:G363">IF(C363="","",INDEX(Akaun!$F$5:$F$150,MATCH(C363,Akaun!$A$5:$A$150,0)))</f>
        <v/>
      </c>
      <c r="H363" s="1" t="str">
        <f aca="false">IF(C363="","",INDEX(Akaun!$D$5:$D$150,MATCH(C363,Akaun!$A$5:$A$150,0)))</f>
        <v/>
      </c>
    </row>
    <row r="364" customFormat="false" ht="15" hidden="false" customHeight="true" outlineLevel="0" collapsed="false">
      <c r="G364" s="1" t="str">
        <f aca="false" t="array" ref="G364:G364">IF(C364="","",INDEX(Akaun!$F$5:$F$150,MATCH(C364,Akaun!$A$5:$A$150,0)))</f>
        <v/>
      </c>
      <c r="H364" s="1" t="str">
        <f aca="false">IF(C364="","",INDEX(Akaun!$D$5:$D$150,MATCH(C364,Akaun!$A$5:$A$150,0)))</f>
        <v/>
      </c>
    </row>
    <row r="365" customFormat="false" ht="15" hidden="false" customHeight="true" outlineLevel="0" collapsed="false">
      <c r="G365" s="1" t="str">
        <f aca="false" t="array" ref="G365:G365">IF(C365="","",INDEX(Akaun!$F$5:$F$150,MATCH(C365,Akaun!$A$5:$A$150,0)))</f>
        <v/>
      </c>
      <c r="H365" s="1" t="str">
        <f aca="false">IF(C365="","",INDEX(Akaun!$D$5:$D$150,MATCH(C365,Akaun!$A$5:$A$150,0)))</f>
        <v/>
      </c>
    </row>
    <row r="366" customFormat="false" ht="15" hidden="false" customHeight="true" outlineLevel="0" collapsed="false">
      <c r="G366" s="1" t="str">
        <f aca="false" t="array" ref="G366:G366">IF(C366="","",INDEX(Akaun!$F$5:$F$150,MATCH(C366,Akaun!$A$5:$A$150,0)))</f>
        <v/>
      </c>
      <c r="H366" s="1" t="str">
        <f aca="false">IF(C366="","",INDEX(Akaun!$D$5:$D$150,MATCH(C366,Akaun!$A$5:$A$150,0)))</f>
        <v/>
      </c>
    </row>
    <row r="367" customFormat="false" ht="15" hidden="false" customHeight="true" outlineLevel="0" collapsed="false">
      <c r="G367" s="1" t="str">
        <f aca="false" t="array" ref="G367:G367">IF(C367="","",INDEX(Akaun!$F$5:$F$150,MATCH(C367,Akaun!$A$5:$A$150,0)))</f>
        <v/>
      </c>
      <c r="H367" s="1" t="str">
        <f aca="false">IF(C367="","",INDEX(Akaun!$D$5:$D$150,MATCH(C367,Akaun!$A$5:$A$150,0)))</f>
        <v/>
      </c>
    </row>
    <row r="368" customFormat="false" ht="15" hidden="false" customHeight="true" outlineLevel="0" collapsed="false">
      <c r="G368" s="1" t="str">
        <f aca="false" t="array" ref="G368:G368">IF(C368="","",INDEX(Akaun!$F$5:$F$150,MATCH(C368,Akaun!$A$5:$A$150,0)))</f>
        <v/>
      </c>
      <c r="H368" s="1" t="str">
        <f aca="false">IF(C368="","",INDEX(Akaun!$D$5:$D$150,MATCH(C368,Akaun!$A$5:$A$150,0)))</f>
        <v/>
      </c>
    </row>
    <row r="369" customFormat="false" ht="15" hidden="false" customHeight="true" outlineLevel="0" collapsed="false">
      <c r="G369" s="1" t="str">
        <f aca="false" t="array" ref="G369:G369">IF(C369="","",INDEX(Akaun!$F$5:$F$150,MATCH(C369,Akaun!$A$5:$A$150,0)))</f>
        <v/>
      </c>
      <c r="H369" s="1" t="str">
        <f aca="false">IF(C369="","",INDEX(Akaun!$D$5:$D$150,MATCH(C369,Akaun!$A$5:$A$150,0)))</f>
        <v/>
      </c>
    </row>
    <row r="370" customFormat="false" ht="15" hidden="false" customHeight="true" outlineLevel="0" collapsed="false">
      <c r="G370" s="1" t="str">
        <f aca="false" t="array" ref="G370:G370">IF(C370="","",INDEX(Akaun!$F$5:$F$150,MATCH(C370,Akaun!$A$5:$A$150,0)))</f>
        <v/>
      </c>
      <c r="H370" s="1" t="str">
        <f aca="false">IF(C370="","",INDEX(Akaun!$D$5:$D$150,MATCH(C370,Akaun!$A$5:$A$150,0)))</f>
        <v/>
      </c>
    </row>
    <row r="371" customFormat="false" ht="15" hidden="false" customHeight="true" outlineLevel="0" collapsed="false">
      <c r="G371" s="1" t="str">
        <f aca="false" t="array" ref="G371:G371">IF(C371="","",INDEX(Akaun!$F$5:$F$150,MATCH(C371,Akaun!$A$5:$A$150,0)))</f>
        <v/>
      </c>
      <c r="H371" s="1" t="str">
        <f aca="false">IF(C371="","",INDEX(Akaun!$D$5:$D$150,MATCH(C371,Akaun!$A$5:$A$150,0)))</f>
        <v/>
      </c>
    </row>
    <row r="372" customFormat="false" ht="15" hidden="false" customHeight="true" outlineLevel="0" collapsed="false">
      <c r="G372" s="1" t="str">
        <f aca="false" t="array" ref="G372:G372">IF(C372="","",INDEX(Akaun!$F$5:$F$150,MATCH(C372,Akaun!$A$5:$A$150,0)))</f>
        <v/>
      </c>
      <c r="H372" s="1" t="str">
        <f aca="false">IF(C372="","",INDEX(Akaun!$D$5:$D$150,MATCH(C372,Akaun!$A$5:$A$150,0)))</f>
        <v/>
      </c>
    </row>
    <row r="373" customFormat="false" ht="15" hidden="false" customHeight="true" outlineLevel="0" collapsed="false">
      <c r="G373" s="1" t="str">
        <f aca="false" t="array" ref="G373:G373">IF(C373="","",INDEX(Akaun!$F$5:$F$150,MATCH(C373,Akaun!$A$5:$A$150,0)))</f>
        <v/>
      </c>
      <c r="H373" s="1" t="str">
        <f aca="false">IF(C373="","",INDEX(Akaun!$D$5:$D$150,MATCH(C373,Akaun!$A$5:$A$150,0)))</f>
        <v/>
      </c>
    </row>
    <row r="374" customFormat="false" ht="15" hidden="false" customHeight="true" outlineLevel="0" collapsed="false">
      <c r="G374" s="1" t="str">
        <f aca="false" t="array" ref="G374:G374">IF(C374="","",INDEX(Akaun!$F$5:$F$150,MATCH(C374,Akaun!$A$5:$A$150,0)))</f>
        <v/>
      </c>
      <c r="H374" s="1" t="str">
        <f aca="false">IF(C374="","",INDEX(Akaun!$D$5:$D$150,MATCH(C374,Akaun!$A$5:$A$150,0)))</f>
        <v/>
      </c>
    </row>
    <row r="375" customFormat="false" ht="15" hidden="false" customHeight="true" outlineLevel="0" collapsed="false">
      <c r="G375" s="1" t="str">
        <f aca="false" t="array" ref="G375:G375">IF(C375="","",INDEX(Akaun!$F$5:$F$150,MATCH(C375,Akaun!$A$5:$A$150,0)))</f>
        <v/>
      </c>
      <c r="H375" s="1" t="str">
        <f aca="false">IF(C375="","",INDEX(Akaun!$D$5:$D$150,MATCH(C375,Akaun!$A$5:$A$150,0)))</f>
        <v/>
      </c>
    </row>
    <row r="376" customFormat="false" ht="15" hidden="false" customHeight="true" outlineLevel="0" collapsed="false">
      <c r="G376" s="1" t="str">
        <f aca="false" t="array" ref="G376:G376">IF(C376="","",INDEX(Akaun!$F$5:$F$150,MATCH(C376,Akaun!$A$5:$A$150,0)))</f>
        <v/>
      </c>
      <c r="H376" s="1" t="str">
        <f aca="false">IF(C376="","",INDEX(Akaun!$D$5:$D$150,MATCH(C376,Akaun!$A$5:$A$150,0)))</f>
        <v/>
      </c>
    </row>
    <row r="377" customFormat="false" ht="15" hidden="false" customHeight="true" outlineLevel="0" collapsed="false">
      <c r="G377" s="1" t="str">
        <f aca="false" t="array" ref="G377:G377">IF(C377="","",INDEX(Akaun!$F$5:$F$150,MATCH(C377,Akaun!$A$5:$A$150,0)))</f>
        <v/>
      </c>
      <c r="H377" s="1" t="str">
        <f aca="false">IF(C377="","",INDEX(Akaun!$D$5:$D$150,MATCH(C377,Akaun!$A$5:$A$150,0)))</f>
        <v/>
      </c>
    </row>
    <row r="378" customFormat="false" ht="15" hidden="false" customHeight="true" outlineLevel="0" collapsed="false">
      <c r="G378" s="1" t="str">
        <f aca="false" t="array" ref="G378:G378">IF(C378="","",INDEX(Akaun!$F$5:$F$150,MATCH(C378,Akaun!$A$5:$A$150,0)))</f>
        <v/>
      </c>
      <c r="H378" s="1" t="str">
        <f aca="false">IF(C378="","",INDEX(Akaun!$D$5:$D$150,MATCH(C378,Akaun!$A$5:$A$150,0)))</f>
        <v/>
      </c>
    </row>
    <row r="379" customFormat="false" ht="15" hidden="false" customHeight="true" outlineLevel="0" collapsed="false">
      <c r="G379" s="1" t="str">
        <f aca="false" t="array" ref="G379:G379">IF(C379="","",INDEX(Akaun!$F$5:$F$150,MATCH(C379,Akaun!$A$5:$A$150,0)))</f>
        <v/>
      </c>
      <c r="H379" s="1" t="str">
        <f aca="false">IF(C379="","",INDEX(Akaun!$D$5:$D$150,MATCH(C379,Akaun!$A$5:$A$150,0)))</f>
        <v/>
      </c>
    </row>
    <row r="380" customFormat="false" ht="15" hidden="false" customHeight="true" outlineLevel="0" collapsed="false">
      <c r="G380" s="1" t="str">
        <f aca="false" t="array" ref="G380:G380">IF(C380="","",INDEX(Akaun!$F$5:$F$150,MATCH(C380,Akaun!$A$5:$A$150,0)))</f>
        <v/>
      </c>
      <c r="H380" s="1" t="str">
        <f aca="false">IF(C380="","",INDEX(Akaun!$D$5:$D$150,MATCH(C380,Akaun!$A$5:$A$150,0)))</f>
        <v/>
      </c>
    </row>
    <row r="381" customFormat="false" ht="15" hidden="false" customHeight="true" outlineLevel="0" collapsed="false">
      <c r="G381" s="1" t="str">
        <f aca="false" t="array" ref="G381:G381">IF(C381="","",INDEX(Akaun!$F$5:$F$150,MATCH(C381,Akaun!$A$5:$A$150,0)))</f>
        <v/>
      </c>
      <c r="H381" s="1" t="str">
        <f aca="false">IF(C381="","",INDEX(Akaun!$D$5:$D$150,MATCH(C381,Akaun!$A$5:$A$150,0)))</f>
        <v/>
      </c>
    </row>
    <row r="382" customFormat="false" ht="15" hidden="false" customHeight="true" outlineLevel="0" collapsed="false">
      <c r="G382" s="1" t="str">
        <f aca="false" t="array" ref="G382:G382">IF(C382="","",INDEX(Akaun!$F$5:$F$150,MATCH(C382,Akaun!$A$5:$A$150,0)))</f>
        <v/>
      </c>
      <c r="H382" s="1" t="str">
        <f aca="false">IF(C382="","",INDEX(Akaun!$D$5:$D$150,MATCH(C382,Akaun!$A$5:$A$150,0)))</f>
        <v/>
      </c>
    </row>
    <row r="383" customFormat="false" ht="15" hidden="false" customHeight="true" outlineLevel="0" collapsed="false">
      <c r="G383" s="1" t="str">
        <f aca="false" t="array" ref="G383:G383">IF(C383="","",INDEX(Akaun!$F$5:$F$150,MATCH(C383,Akaun!$A$5:$A$150,0)))</f>
        <v/>
      </c>
      <c r="H383" s="1" t="str">
        <f aca="false">IF(C383="","",INDEX(Akaun!$D$5:$D$150,MATCH(C383,Akaun!$A$5:$A$150,0)))</f>
        <v/>
      </c>
    </row>
    <row r="384" customFormat="false" ht="15" hidden="false" customHeight="true" outlineLevel="0" collapsed="false">
      <c r="G384" s="1" t="str">
        <f aca="false" t="array" ref="G384:G384">IF(C384="","",INDEX(Akaun!$F$5:$F$150,MATCH(C384,Akaun!$A$5:$A$150,0)))</f>
        <v/>
      </c>
      <c r="H384" s="1" t="str">
        <f aca="false">IF(C384="","",INDEX(Akaun!$D$5:$D$150,MATCH(C384,Akaun!$A$5:$A$150,0)))</f>
        <v/>
      </c>
    </row>
    <row r="385" customFormat="false" ht="15" hidden="false" customHeight="true" outlineLevel="0" collapsed="false">
      <c r="G385" s="1" t="str">
        <f aca="false" t="array" ref="G385:G385">IF(C385="","",INDEX(Akaun!$F$5:$F$150,MATCH(C385,Akaun!$A$5:$A$150,0)))</f>
        <v/>
      </c>
      <c r="H385" s="1" t="str">
        <f aca="false">IF(C385="","",INDEX(Akaun!$D$5:$D$150,MATCH(C385,Akaun!$A$5:$A$150,0)))</f>
        <v/>
      </c>
    </row>
    <row r="386" customFormat="false" ht="15" hidden="false" customHeight="true" outlineLevel="0" collapsed="false">
      <c r="G386" s="1" t="str">
        <f aca="false" t="array" ref="G386:G386">IF(C386="","",INDEX(Akaun!$F$5:$F$150,MATCH(C386,Akaun!$A$5:$A$150,0)))</f>
        <v/>
      </c>
      <c r="H386" s="1" t="str">
        <f aca="false">IF(C386="","",INDEX(Akaun!$D$5:$D$150,MATCH(C386,Akaun!$A$5:$A$150,0)))</f>
        <v/>
      </c>
    </row>
    <row r="387" customFormat="false" ht="15" hidden="false" customHeight="true" outlineLevel="0" collapsed="false">
      <c r="G387" s="1" t="str">
        <f aca="false" t="array" ref="G387:G387">IF(C387="","",INDEX(Akaun!$F$5:$F$150,MATCH(C387,Akaun!$A$5:$A$150,0)))</f>
        <v/>
      </c>
      <c r="H387" s="1" t="str">
        <f aca="false">IF(C387="","",INDEX(Akaun!$D$5:$D$150,MATCH(C387,Akaun!$A$5:$A$150,0)))</f>
        <v/>
      </c>
    </row>
    <row r="388" customFormat="false" ht="15" hidden="false" customHeight="true" outlineLevel="0" collapsed="false">
      <c r="G388" s="1" t="str">
        <f aca="false" t="array" ref="G388:G388">IF(C388="","",INDEX(Akaun!$F$5:$F$150,MATCH(C388,Akaun!$A$5:$A$150,0)))</f>
        <v/>
      </c>
      <c r="H388" s="1" t="str">
        <f aca="false">IF(C388="","",INDEX(Akaun!$D$5:$D$150,MATCH(C388,Akaun!$A$5:$A$150,0)))</f>
        <v/>
      </c>
    </row>
    <row r="389" customFormat="false" ht="15" hidden="false" customHeight="true" outlineLevel="0" collapsed="false">
      <c r="G389" s="1" t="str">
        <f aca="false" t="array" ref="G389:G389">IF(C389="","",INDEX(Akaun!$F$5:$F$150,MATCH(C389,Akaun!$A$5:$A$150,0)))</f>
        <v/>
      </c>
      <c r="H389" s="1" t="str">
        <f aca="false">IF(C389="","",INDEX(Akaun!$D$5:$D$150,MATCH(C389,Akaun!$A$5:$A$150,0)))</f>
        <v/>
      </c>
    </row>
    <row r="390" customFormat="false" ht="15" hidden="false" customHeight="true" outlineLevel="0" collapsed="false">
      <c r="G390" s="1" t="str">
        <f aca="false" t="array" ref="G390:G390">IF(C390="","",INDEX(Akaun!$F$5:$F$150,MATCH(C390,Akaun!$A$5:$A$150,0)))</f>
        <v/>
      </c>
      <c r="H390" s="1" t="str">
        <f aca="false">IF(C390="","",INDEX(Akaun!$D$5:$D$150,MATCH(C390,Akaun!$A$5:$A$150,0)))</f>
        <v/>
      </c>
    </row>
    <row r="391" customFormat="false" ht="15" hidden="false" customHeight="true" outlineLevel="0" collapsed="false">
      <c r="G391" s="1" t="str">
        <f aca="false" t="array" ref="G391:G391">IF(C391="","",INDEX(Akaun!$F$5:$F$150,MATCH(C391,Akaun!$A$5:$A$150,0)))</f>
        <v/>
      </c>
      <c r="H391" s="1" t="str">
        <f aca="false">IF(C391="","",INDEX(Akaun!$D$5:$D$150,MATCH(C391,Akaun!$A$5:$A$150,0)))</f>
        <v/>
      </c>
    </row>
    <row r="392" customFormat="false" ht="15" hidden="false" customHeight="true" outlineLevel="0" collapsed="false">
      <c r="G392" s="1" t="str">
        <f aca="false" t="array" ref="G392:G392">IF(C392="","",INDEX(Akaun!$F$5:$F$150,MATCH(C392,Akaun!$A$5:$A$150,0)))</f>
        <v/>
      </c>
      <c r="H392" s="1" t="str">
        <f aca="false">IF(C392="","",INDEX(Akaun!$D$5:$D$150,MATCH(C392,Akaun!$A$5:$A$150,0)))</f>
        <v/>
      </c>
    </row>
    <row r="393" customFormat="false" ht="15" hidden="false" customHeight="true" outlineLevel="0" collapsed="false">
      <c r="G393" s="1" t="str">
        <f aca="false" t="array" ref="G393:G393">IF(C393="","",INDEX(Akaun!$F$5:$F$150,MATCH(C393,Akaun!$A$5:$A$150,0)))</f>
        <v/>
      </c>
      <c r="H393" s="1" t="str">
        <f aca="false">IF(C393="","",INDEX(Akaun!$D$5:$D$150,MATCH(C393,Akaun!$A$5:$A$150,0)))</f>
        <v/>
      </c>
    </row>
    <row r="394" customFormat="false" ht="15" hidden="false" customHeight="true" outlineLevel="0" collapsed="false">
      <c r="G394" s="1" t="str">
        <f aca="false" t="array" ref="G394:G394">IF(C394="","",INDEX(Akaun!$F$5:$F$150,MATCH(C394,Akaun!$A$5:$A$150,0)))</f>
        <v/>
      </c>
      <c r="H394" s="1" t="str">
        <f aca="false">IF(C394="","",INDEX(Akaun!$D$5:$D$150,MATCH(C394,Akaun!$A$5:$A$150,0)))</f>
        <v/>
      </c>
    </row>
    <row r="395" customFormat="false" ht="15" hidden="false" customHeight="true" outlineLevel="0" collapsed="false">
      <c r="G395" s="1" t="str">
        <f aca="false" t="array" ref="G395:G395">IF(C395="","",INDEX(Akaun!$F$5:$F$150,MATCH(C395,Akaun!$A$5:$A$150,0)))</f>
        <v/>
      </c>
      <c r="H395" s="1" t="str">
        <f aca="false">IF(C395="","",INDEX(Akaun!$D$5:$D$150,MATCH(C395,Akaun!$A$5:$A$150,0)))</f>
        <v/>
      </c>
    </row>
    <row r="396" customFormat="false" ht="15" hidden="false" customHeight="true" outlineLevel="0" collapsed="false">
      <c r="G396" s="1" t="str">
        <f aca="false" t="array" ref="G396:G396">IF(C396="","",INDEX(Akaun!$F$5:$F$150,MATCH(C396,Akaun!$A$5:$A$150,0)))</f>
        <v/>
      </c>
      <c r="H396" s="1" t="str">
        <f aca="false">IF(C396="","",INDEX(Akaun!$D$5:$D$150,MATCH(C396,Akaun!$A$5:$A$150,0)))</f>
        <v/>
      </c>
    </row>
    <row r="397" customFormat="false" ht="15" hidden="false" customHeight="true" outlineLevel="0" collapsed="false">
      <c r="G397" s="1" t="str">
        <f aca="false" t="array" ref="G397:G397">IF(C397="","",INDEX(Akaun!$F$5:$F$150,MATCH(C397,Akaun!$A$5:$A$150,0)))</f>
        <v/>
      </c>
      <c r="H397" s="1" t="str">
        <f aca="false">IF(C397="","",INDEX(Akaun!$D$5:$D$150,MATCH(C397,Akaun!$A$5:$A$150,0)))</f>
        <v/>
      </c>
    </row>
    <row r="398" customFormat="false" ht="15" hidden="false" customHeight="true" outlineLevel="0" collapsed="false">
      <c r="G398" s="1" t="str">
        <f aca="false" t="array" ref="G398:G398">IF(C398="","",INDEX(Akaun!$F$5:$F$150,MATCH(C398,Akaun!$A$5:$A$150,0)))</f>
        <v/>
      </c>
      <c r="H398" s="1" t="str">
        <f aca="false">IF(C398="","",INDEX(Akaun!$D$5:$D$150,MATCH(C398,Akaun!$A$5:$A$150,0)))</f>
        <v/>
      </c>
    </row>
    <row r="399" customFormat="false" ht="15" hidden="false" customHeight="true" outlineLevel="0" collapsed="false">
      <c r="G399" s="1" t="str">
        <f aca="false" t="array" ref="G399:G399">IF(C399="","",INDEX(Akaun!$F$5:$F$150,MATCH(C399,Akaun!$A$5:$A$150,0)))</f>
        <v/>
      </c>
      <c r="H399" s="1" t="str">
        <f aca="false">IF(C399="","",INDEX(Akaun!$D$5:$D$150,MATCH(C399,Akaun!$A$5:$A$150,0)))</f>
        <v/>
      </c>
    </row>
    <row r="400" customFormat="false" ht="15" hidden="false" customHeight="true" outlineLevel="0" collapsed="false">
      <c r="G400" s="1" t="str">
        <f aca="false" t="array" ref="G400:G400">IF(C400="","",INDEX(Akaun!$F$5:$F$150,MATCH(C400,Akaun!$A$5:$A$150,0)))</f>
        <v/>
      </c>
      <c r="H400" s="1" t="str">
        <f aca="false">IF(C400="","",INDEX(Akaun!$D$5:$D$150,MATCH(C400,Akaun!$A$5:$A$150,0)))</f>
        <v/>
      </c>
    </row>
    <row r="401" customFormat="false" ht="15" hidden="false" customHeight="true" outlineLevel="0" collapsed="false">
      <c r="G401" s="1" t="str">
        <f aca="false" t="array" ref="G401:G401">IF(C401="","",INDEX(Akaun!$F$5:$F$150,MATCH(C401,Akaun!$A$5:$A$150,0)))</f>
        <v/>
      </c>
      <c r="H401" s="1" t="str">
        <f aca="false">IF(C401="","",INDEX(Akaun!$D$5:$D$150,MATCH(C401,Akaun!$A$5:$A$150,0)))</f>
        <v/>
      </c>
    </row>
    <row r="402" customFormat="false" ht="15" hidden="false" customHeight="true" outlineLevel="0" collapsed="false">
      <c r="G402" s="1" t="str">
        <f aca="false" t="array" ref="G402:G402">IF(C402="","",INDEX(Akaun!$F$5:$F$150,MATCH(C402,Akaun!$A$5:$A$150,0)))</f>
        <v/>
      </c>
      <c r="H402" s="1" t="str">
        <f aca="false">IF(C402="","",INDEX(Akaun!$D$5:$D$150,MATCH(C402,Akaun!$A$5:$A$150,0)))</f>
        <v/>
      </c>
    </row>
    <row r="403" customFormat="false" ht="15" hidden="false" customHeight="true" outlineLevel="0" collapsed="false">
      <c r="G403" s="1" t="str">
        <f aca="false" t="array" ref="G403:G403">IF(C403="","",INDEX(Akaun!$F$5:$F$150,MATCH(C403,Akaun!$A$5:$A$150,0)))</f>
        <v/>
      </c>
      <c r="H403" s="1" t="str">
        <f aca="false">IF(C403="","",INDEX(Akaun!$D$5:$D$150,MATCH(C403,Akaun!$A$5:$A$150,0)))</f>
        <v/>
      </c>
    </row>
    <row r="404" customFormat="false" ht="15" hidden="false" customHeight="true" outlineLevel="0" collapsed="false">
      <c r="G404" s="1" t="str">
        <f aca="false" t="array" ref="G404:G404">IF(C404="","",INDEX(Akaun!$F$5:$F$150,MATCH(C404,Akaun!$A$5:$A$150,0)))</f>
        <v/>
      </c>
      <c r="H404" s="1" t="str">
        <f aca="false">IF(C404="","",INDEX(Akaun!$D$5:$D$150,MATCH(C404,Akaun!$A$5:$A$150,0)))</f>
        <v/>
      </c>
    </row>
    <row r="405" customFormat="false" ht="15" hidden="false" customHeight="true" outlineLevel="0" collapsed="false">
      <c r="G405" s="1" t="str">
        <f aca="false" t="array" ref="G405:G405">IF(C405="","",INDEX(Akaun!$F$5:$F$150,MATCH(C405,Akaun!$A$5:$A$150,0)))</f>
        <v/>
      </c>
      <c r="H405" s="1" t="str">
        <f aca="false">IF(C405="","",INDEX(Akaun!$D$5:$D$150,MATCH(C405,Akaun!$A$5:$A$150,0)))</f>
        <v/>
      </c>
    </row>
    <row r="406" customFormat="false" ht="15" hidden="false" customHeight="true" outlineLevel="0" collapsed="false">
      <c r="G406" s="1" t="str">
        <f aca="false" t="array" ref="G406:G406">IF(C406="","",INDEX(Akaun!$F$5:$F$150,MATCH(C406,Akaun!$A$5:$A$150,0)))</f>
        <v/>
      </c>
      <c r="H406" s="1" t="str">
        <f aca="false">IF(C406="","",INDEX(Akaun!$D$5:$D$150,MATCH(C406,Akaun!$A$5:$A$150,0)))</f>
        <v/>
      </c>
    </row>
    <row r="407" customFormat="false" ht="15" hidden="false" customHeight="true" outlineLevel="0" collapsed="false">
      <c r="G407" s="1" t="str">
        <f aca="false" t="array" ref="G407:G407">IF(C407="","",INDEX(Akaun!$F$5:$F$150,MATCH(C407,Akaun!$A$5:$A$150,0)))</f>
        <v/>
      </c>
      <c r="H407" s="1" t="str">
        <f aca="false">IF(C407="","",INDEX(Akaun!$D$5:$D$150,MATCH(C407,Akaun!$A$5:$A$150,0)))</f>
        <v/>
      </c>
    </row>
    <row r="408" customFormat="false" ht="15" hidden="false" customHeight="true" outlineLevel="0" collapsed="false">
      <c r="G408" s="1" t="str">
        <f aca="false" t="array" ref="G408:G408">IF(C408="","",INDEX(Akaun!$F$5:$F$150,MATCH(C408,Akaun!$A$5:$A$150,0)))</f>
        <v/>
      </c>
      <c r="H408" s="1" t="str">
        <f aca="false">IF(C408="","",INDEX(Akaun!$D$5:$D$150,MATCH(C408,Akaun!$A$5:$A$150,0)))</f>
        <v/>
      </c>
    </row>
    <row r="409" customFormat="false" ht="15" hidden="false" customHeight="true" outlineLevel="0" collapsed="false">
      <c r="G409" s="1" t="str">
        <f aca="false" t="array" ref="G409:G409">IF(C409="","",INDEX(Akaun!$F$5:$F$150,MATCH(C409,Akaun!$A$5:$A$150,0)))</f>
        <v/>
      </c>
      <c r="H409" s="1" t="str">
        <f aca="false">IF(C409="","",INDEX(Akaun!$D$5:$D$150,MATCH(C409,Akaun!$A$5:$A$150,0)))</f>
        <v/>
      </c>
    </row>
    <row r="410" customFormat="false" ht="15" hidden="false" customHeight="true" outlineLevel="0" collapsed="false">
      <c r="G410" s="1" t="str">
        <f aca="false" t="array" ref="G410:G410">IF(C410="","",INDEX(Akaun!$F$5:$F$150,MATCH(C410,Akaun!$A$5:$A$150,0)))</f>
        <v/>
      </c>
      <c r="H410" s="1" t="str">
        <f aca="false">IF(C410="","",INDEX(Akaun!$D$5:$D$150,MATCH(C410,Akaun!$A$5:$A$150,0)))</f>
        <v/>
      </c>
    </row>
    <row r="411" customFormat="false" ht="15" hidden="false" customHeight="true" outlineLevel="0" collapsed="false">
      <c r="G411" s="1" t="str">
        <f aca="false" t="array" ref="G411:G411">IF(C411="","",INDEX(Akaun!$F$5:$F$150,MATCH(C411,Akaun!$A$5:$A$150,0)))</f>
        <v/>
      </c>
      <c r="H411" s="1" t="str">
        <f aca="false">IF(C411="","",INDEX(Akaun!$D$5:$D$150,MATCH(C411,Akaun!$A$5:$A$150,0)))</f>
        <v/>
      </c>
    </row>
    <row r="412" customFormat="false" ht="15" hidden="false" customHeight="true" outlineLevel="0" collapsed="false">
      <c r="G412" s="1" t="str">
        <f aca="false" t="array" ref="G412:G412">IF(C412="","",INDEX(Akaun!$F$5:$F$150,MATCH(C412,Akaun!$A$5:$A$150,0)))</f>
        <v/>
      </c>
      <c r="H412" s="1" t="str">
        <f aca="false">IF(C412="","",INDEX(Akaun!$D$5:$D$150,MATCH(C412,Akaun!$A$5:$A$150,0)))</f>
        <v/>
      </c>
    </row>
    <row r="413" customFormat="false" ht="15" hidden="false" customHeight="true" outlineLevel="0" collapsed="false">
      <c r="G413" s="1" t="str">
        <f aca="false" t="array" ref="G413:G413">IF(C413="","",INDEX(Akaun!$F$5:$F$150,MATCH(C413,Akaun!$A$5:$A$150,0)))</f>
        <v/>
      </c>
      <c r="H413" s="1" t="str">
        <f aca="false">IF(C413="","",INDEX(Akaun!$D$5:$D$150,MATCH(C413,Akaun!$A$5:$A$150,0)))</f>
        <v/>
      </c>
    </row>
    <row r="414" customFormat="false" ht="15" hidden="false" customHeight="true" outlineLevel="0" collapsed="false">
      <c r="G414" s="1" t="str">
        <f aca="false" t="array" ref="G414:G414">IF(C414="","",INDEX(Akaun!$F$5:$F$150,MATCH(C414,Akaun!$A$5:$A$150,0)))</f>
        <v/>
      </c>
      <c r="H414" s="1" t="str">
        <f aca="false">IF(C414="","",INDEX(Akaun!$D$5:$D$150,MATCH(C414,Akaun!$A$5:$A$150,0)))</f>
        <v/>
      </c>
    </row>
    <row r="415" customFormat="false" ht="15" hidden="false" customHeight="true" outlineLevel="0" collapsed="false">
      <c r="G415" s="1" t="str">
        <f aca="false" t="array" ref="G415:G415">IF(C415="","",INDEX(Akaun!$F$5:$F$150,MATCH(C415,Akaun!$A$5:$A$150,0)))</f>
        <v/>
      </c>
      <c r="H415" s="1" t="str">
        <f aca="false">IF(C415="","",INDEX(Akaun!$D$5:$D$150,MATCH(C415,Akaun!$A$5:$A$150,0)))</f>
        <v/>
      </c>
    </row>
    <row r="416" customFormat="false" ht="15" hidden="false" customHeight="true" outlineLevel="0" collapsed="false">
      <c r="G416" s="1" t="str">
        <f aca="false" t="array" ref="G416:G416">IF(C416="","",INDEX(Akaun!$F$5:$F$150,MATCH(C416,Akaun!$A$5:$A$150,0)))</f>
        <v/>
      </c>
      <c r="H416" s="1" t="str">
        <f aca="false">IF(C416="","",INDEX(Akaun!$D$5:$D$150,MATCH(C416,Akaun!$A$5:$A$150,0)))</f>
        <v/>
      </c>
    </row>
    <row r="417" customFormat="false" ht="15" hidden="false" customHeight="true" outlineLevel="0" collapsed="false">
      <c r="G417" s="1" t="str">
        <f aca="false" t="array" ref="G417:G417">IF(C417="","",INDEX(Akaun!$F$5:$F$150,MATCH(C417,Akaun!$A$5:$A$150,0)))</f>
        <v/>
      </c>
      <c r="H417" s="1" t="str">
        <f aca="false">IF(C417="","",INDEX(Akaun!$D$5:$D$150,MATCH(C417,Akaun!$A$5:$A$150,0)))</f>
        <v/>
      </c>
    </row>
    <row r="418" customFormat="false" ht="15" hidden="false" customHeight="true" outlineLevel="0" collapsed="false">
      <c r="G418" s="1" t="str">
        <f aca="false" t="array" ref="G418:G418">IF(C418="","",INDEX(Akaun!$F$5:$F$150,MATCH(C418,Akaun!$A$5:$A$150,0)))</f>
        <v/>
      </c>
      <c r="H418" s="1" t="str">
        <f aca="false">IF(C418="","",INDEX(Akaun!$D$5:$D$150,MATCH(C418,Akaun!$A$5:$A$150,0)))</f>
        <v/>
      </c>
    </row>
    <row r="419" customFormat="false" ht="15" hidden="false" customHeight="true" outlineLevel="0" collapsed="false">
      <c r="G419" s="1" t="str">
        <f aca="false" t="array" ref="G419:G419">IF(C419="","",INDEX(Akaun!$F$5:$F$150,MATCH(C419,Akaun!$A$5:$A$150,0)))</f>
        <v/>
      </c>
      <c r="H419" s="1" t="str">
        <f aca="false">IF(C419="","",INDEX(Akaun!$D$5:$D$150,MATCH(C419,Akaun!$A$5:$A$150,0)))</f>
        <v/>
      </c>
    </row>
    <row r="420" customFormat="false" ht="15" hidden="false" customHeight="true" outlineLevel="0" collapsed="false">
      <c r="G420" s="1" t="str">
        <f aca="false" t="array" ref="G420:G420">IF(C420="","",INDEX(Akaun!$F$5:$F$150,MATCH(C420,Akaun!$A$5:$A$150,0)))</f>
        <v/>
      </c>
      <c r="H420" s="1" t="str">
        <f aca="false">IF(C420="","",INDEX(Akaun!$D$5:$D$150,MATCH(C420,Akaun!$A$5:$A$150,0)))</f>
        <v/>
      </c>
    </row>
    <row r="421" customFormat="false" ht="15" hidden="false" customHeight="true" outlineLevel="0" collapsed="false">
      <c r="G421" s="1" t="str">
        <f aca="false" t="array" ref="G421:G421">IF(C421="","",INDEX(Akaun!$F$5:$F$150,MATCH(C421,Akaun!$A$5:$A$150,0)))</f>
        <v/>
      </c>
      <c r="H421" s="1" t="str">
        <f aca="false">IF(C421="","",INDEX(Akaun!$D$5:$D$150,MATCH(C421,Akaun!$A$5:$A$150,0)))</f>
        <v/>
      </c>
    </row>
    <row r="422" customFormat="false" ht="15" hidden="false" customHeight="true" outlineLevel="0" collapsed="false">
      <c r="G422" s="1" t="str">
        <f aca="false" t="array" ref="G422:G422">IF(C422="","",INDEX(Akaun!$F$5:$F$150,MATCH(C422,Akaun!$A$5:$A$150,0)))</f>
        <v/>
      </c>
      <c r="H422" s="1" t="str">
        <f aca="false">IF(C422="","",INDEX(Akaun!$D$5:$D$150,MATCH(C422,Akaun!$A$5:$A$150,0)))</f>
        <v/>
      </c>
    </row>
    <row r="423" customFormat="false" ht="15" hidden="false" customHeight="true" outlineLevel="0" collapsed="false">
      <c r="G423" s="1" t="str">
        <f aca="false" t="array" ref="G423:G423">IF(C423="","",INDEX(Akaun!$F$5:$F$150,MATCH(C423,Akaun!$A$5:$A$150,0)))</f>
        <v/>
      </c>
      <c r="H423" s="1" t="str">
        <f aca="false">IF(C423="","",INDEX(Akaun!$D$5:$D$150,MATCH(C423,Akaun!$A$5:$A$150,0)))</f>
        <v/>
      </c>
    </row>
    <row r="424" customFormat="false" ht="15" hidden="false" customHeight="true" outlineLevel="0" collapsed="false">
      <c r="G424" s="1" t="str">
        <f aca="false" t="array" ref="G424:G424">IF(C424="","",INDEX(Akaun!$F$5:$F$150,MATCH(C424,Akaun!$A$5:$A$150,0)))</f>
        <v/>
      </c>
      <c r="H424" s="1" t="str">
        <f aca="false">IF(C424="","",INDEX(Akaun!$D$5:$D$150,MATCH(C424,Akaun!$A$5:$A$150,0)))</f>
        <v/>
      </c>
    </row>
    <row r="425" customFormat="false" ht="15" hidden="false" customHeight="true" outlineLevel="0" collapsed="false">
      <c r="G425" s="1" t="str">
        <f aca="false" t="array" ref="G425:G425">IF(C425="","",INDEX(Akaun!$F$5:$F$150,MATCH(C425,Akaun!$A$5:$A$150,0)))</f>
        <v/>
      </c>
      <c r="H425" s="1" t="str">
        <f aca="false">IF(C425="","",INDEX(Akaun!$D$5:$D$150,MATCH(C425,Akaun!$A$5:$A$150,0)))</f>
        <v/>
      </c>
    </row>
    <row r="426" customFormat="false" ht="15" hidden="false" customHeight="true" outlineLevel="0" collapsed="false">
      <c r="G426" s="1" t="str">
        <f aca="false" t="array" ref="G426:G426">IF(C426="","",INDEX(Akaun!$F$5:$F$150,MATCH(C426,Akaun!$A$5:$A$150,0)))</f>
        <v/>
      </c>
      <c r="H426" s="1" t="str">
        <f aca="false">IF(C426="","",INDEX(Akaun!$D$5:$D$150,MATCH(C426,Akaun!$A$5:$A$150,0)))</f>
        <v/>
      </c>
    </row>
    <row r="427" customFormat="false" ht="15" hidden="false" customHeight="true" outlineLevel="0" collapsed="false">
      <c r="G427" s="1" t="str">
        <f aca="false" t="array" ref="G427:G427">IF(C427="","",INDEX(Akaun!$F$5:$F$150,MATCH(C427,Akaun!$A$5:$A$150,0)))</f>
        <v/>
      </c>
      <c r="H427" s="1" t="str">
        <f aca="false">IF(C427="","",INDEX(Akaun!$D$5:$D$150,MATCH(C427,Akaun!$A$5:$A$150,0)))</f>
        <v/>
      </c>
    </row>
    <row r="428" customFormat="false" ht="15" hidden="false" customHeight="true" outlineLevel="0" collapsed="false">
      <c r="G428" s="1" t="str">
        <f aca="false" t="array" ref="G428:G428">IF(C428="","",INDEX(Akaun!$F$5:$F$150,MATCH(C428,Akaun!$A$5:$A$150,0)))</f>
        <v/>
      </c>
      <c r="H428" s="1" t="str">
        <f aca="false">IF(C428="","",INDEX(Akaun!$D$5:$D$150,MATCH(C428,Akaun!$A$5:$A$150,0)))</f>
        <v/>
      </c>
    </row>
    <row r="429" customFormat="false" ht="15" hidden="false" customHeight="true" outlineLevel="0" collapsed="false">
      <c r="G429" s="1" t="str">
        <f aca="false" t="array" ref="G429:G429">IF(C429="","",INDEX(Akaun!$F$5:$F$150,MATCH(C429,Akaun!$A$5:$A$150,0)))</f>
        <v/>
      </c>
      <c r="H429" s="1" t="str">
        <f aca="false">IF(C429="","",INDEX(Akaun!$D$5:$D$150,MATCH(C429,Akaun!$A$5:$A$150,0)))</f>
        <v/>
      </c>
    </row>
    <row r="430" customFormat="false" ht="15" hidden="false" customHeight="true" outlineLevel="0" collapsed="false">
      <c r="G430" s="1" t="str">
        <f aca="false" t="array" ref="G430:G430">IF(C430="","",INDEX(Akaun!$F$5:$F$150,MATCH(C430,Akaun!$A$5:$A$150,0)))</f>
        <v/>
      </c>
      <c r="H430" s="1" t="str">
        <f aca="false">IF(C430="","",INDEX(Akaun!$D$5:$D$150,MATCH(C430,Akaun!$A$5:$A$150,0)))</f>
        <v/>
      </c>
    </row>
    <row r="431" customFormat="false" ht="15" hidden="false" customHeight="true" outlineLevel="0" collapsed="false">
      <c r="G431" s="1" t="str">
        <f aca="false" t="array" ref="G431:G431">IF(C431="","",INDEX(Akaun!$F$5:$F$150,MATCH(C431,Akaun!$A$5:$A$150,0)))</f>
        <v/>
      </c>
      <c r="H431" s="1" t="str">
        <f aca="false">IF(C431="","",INDEX(Akaun!$D$5:$D$150,MATCH(C431,Akaun!$A$5:$A$150,0)))</f>
        <v/>
      </c>
    </row>
    <row r="432" customFormat="false" ht="15" hidden="false" customHeight="true" outlineLevel="0" collapsed="false">
      <c r="G432" s="1" t="str">
        <f aca="false" t="array" ref="G432:G432">IF(C432="","",INDEX(Akaun!$F$5:$F$150,MATCH(C432,Akaun!$A$5:$A$150,0)))</f>
        <v/>
      </c>
      <c r="H432" s="1" t="str">
        <f aca="false">IF(C432="","",INDEX(Akaun!$D$5:$D$150,MATCH(C432,Akaun!$A$5:$A$150,0)))</f>
        <v/>
      </c>
    </row>
    <row r="433" customFormat="false" ht="15" hidden="false" customHeight="true" outlineLevel="0" collapsed="false">
      <c r="G433" s="1" t="str">
        <f aca="false" t="array" ref="G433:G433">IF(C433="","",INDEX(Akaun!$F$5:$F$150,MATCH(C433,Akaun!$A$5:$A$150,0)))</f>
        <v/>
      </c>
      <c r="H433" s="1" t="str">
        <f aca="false">IF(C433="","",INDEX(Akaun!$D$5:$D$150,MATCH(C433,Akaun!$A$5:$A$150,0)))</f>
        <v/>
      </c>
    </row>
    <row r="434" customFormat="false" ht="15" hidden="false" customHeight="true" outlineLevel="0" collapsed="false">
      <c r="G434" s="1" t="str">
        <f aca="false" t="array" ref="G434:G434">IF(C434="","",INDEX(Akaun!$F$5:$F$150,MATCH(C434,Akaun!$A$5:$A$150,0)))</f>
        <v/>
      </c>
      <c r="H434" s="1" t="str">
        <f aca="false">IF(C434="","",INDEX(Akaun!$D$5:$D$150,MATCH(C434,Akaun!$A$5:$A$150,0)))</f>
        <v/>
      </c>
    </row>
    <row r="435" customFormat="false" ht="15" hidden="false" customHeight="true" outlineLevel="0" collapsed="false">
      <c r="G435" s="1" t="str">
        <f aca="false" t="array" ref="G435:G435">IF(C435="","",INDEX(Akaun!$F$5:$F$150,MATCH(C435,Akaun!$A$5:$A$150,0)))</f>
        <v/>
      </c>
      <c r="H435" s="1" t="str">
        <f aca="false">IF(C435="","",INDEX(Akaun!$D$5:$D$150,MATCH(C435,Akaun!$A$5:$A$150,0)))</f>
        <v/>
      </c>
    </row>
    <row r="436" customFormat="false" ht="15" hidden="false" customHeight="true" outlineLevel="0" collapsed="false">
      <c r="G436" s="1" t="str">
        <f aca="false" t="array" ref="G436:G436">IF(C436="","",INDEX(Akaun!$F$5:$F$150,MATCH(C436,Akaun!$A$5:$A$150,0)))</f>
        <v/>
      </c>
      <c r="H436" s="1" t="str">
        <f aca="false">IF(C436="","",INDEX(Akaun!$D$5:$D$150,MATCH(C436,Akaun!$A$5:$A$150,0)))</f>
        <v/>
      </c>
    </row>
    <row r="437" customFormat="false" ht="15" hidden="false" customHeight="true" outlineLevel="0" collapsed="false">
      <c r="G437" s="1" t="str">
        <f aca="false" t="array" ref="G437:G437">IF(C437="","",INDEX(Akaun!$F$5:$F$150,MATCH(C437,Akaun!$A$5:$A$150,0)))</f>
        <v/>
      </c>
      <c r="H437" s="1" t="str">
        <f aca="false">IF(C437="","",INDEX(Akaun!$D$5:$D$150,MATCH(C437,Akaun!$A$5:$A$150,0)))</f>
        <v/>
      </c>
    </row>
    <row r="438" customFormat="false" ht="15" hidden="false" customHeight="true" outlineLevel="0" collapsed="false">
      <c r="G438" s="1" t="str">
        <f aca="false" t="array" ref="G438:G438">IF(C438="","",INDEX(Akaun!$F$5:$F$150,MATCH(C438,Akaun!$A$5:$A$150,0)))</f>
        <v/>
      </c>
      <c r="H438" s="1" t="str">
        <f aca="false">IF(C438="","",INDEX(Akaun!$D$5:$D$150,MATCH(C438,Akaun!$A$5:$A$150,0)))</f>
        <v/>
      </c>
    </row>
    <row r="439" customFormat="false" ht="15" hidden="false" customHeight="true" outlineLevel="0" collapsed="false">
      <c r="G439" s="1" t="str">
        <f aca="false" t="array" ref="G439:G439">IF(C439="","",INDEX(Akaun!$F$5:$F$150,MATCH(C439,Akaun!$A$5:$A$150,0)))</f>
        <v/>
      </c>
      <c r="H439" s="1" t="str">
        <f aca="false">IF(C439="","",INDEX(Akaun!$D$5:$D$150,MATCH(C439,Akaun!$A$5:$A$150,0)))</f>
        <v/>
      </c>
    </row>
    <row r="440" customFormat="false" ht="15" hidden="false" customHeight="true" outlineLevel="0" collapsed="false">
      <c r="G440" s="1" t="str">
        <f aca="false" t="array" ref="G440:G440">IF(C440="","",INDEX(Akaun!$F$5:$F$150,MATCH(C440,Akaun!$A$5:$A$150,0)))</f>
        <v/>
      </c>
      <c r="H440" s="1" t="str">
        <f aca="false">IF(C440="","",INDEX(Akaun!$D$5:$D$150,MATCH(C440,Akaun!$A$5:$A$150,0)))</f>
        <v/>
      </c>
    </row>
    <row r="441" customFormat="false" ht="15" hidden="false" customHeight="true" outlineLevel="0" collapsed="false">
      <c r="G441" s="1" t="str">
        <f aca="false" t="array" ref="G441:G441">IF(C441="","",INDEX(Akaun!$F$5:$F$150,MATCH(C441,Akaun!$A$5:$A$150,0)))</f>
        <v/>
      </c>
      <c r="H441" s="1" t="str">
        <f aca="false">IF(C441="","",INDEX(Akaun!$D$5:$D$150,MATCH(C441,Akaun!$A$5:$A$150,0)))</f>
        <v/>
      </c>
    </row>
    <row r="442" customFormat="false" ht="15" hidden="false" customHeight="true" outlineLevel="0" collapsed="false">
      <c r="G442" s="1" t="str">
        <f aca="false" t="array" ref="G442:G442">IF(C442="","",INDEX(Akaun!$F$5:$F$150,MATCH(C442,Akaun!$A$5:$A$150,0)))</f>
        <v/>
      </c>
      <c r="H442" s="1" t="str">
        <f aca="false">IF(C442="","",INDEX(Akaun!$D$5:$D$150,MATCH(C442,Akaun!$A$5:$A$150,0)))</f>
        <v/>
      </c>
    </row>
    <row r="443" customFormat="false" ht="15" hidden="false" customHeight="true" outlineLevel="0" collapsed="false">
      <c r="G443" s="1" t="str">
        <f aca="false" t="array" ref="G443:G443">IF(C443="","",INDEX(Akaun!$F$5:$F$150,MATCH(C443,Akaun!$A$5:$A$150,0)))</f>
        <v/>
      </c>
      <c r="H443" s="1" t="str">
        <f aca="false">IF(C443="","",INDEX(Akaun!$D$5:$D$150,MATCH(C443,Akaun!$A$5:$A$150,0)))</f>
        <v/>
      </c>
    </row>
    <row r="444" customFormat="false" ht="15" hidden="false" customHeight="true" outlineLevel="0" collapsed="false">
      <c r="G444" s="1" t="str">
        <f aca="false" t="array" ref="G444:G444">IF(C444="","",INDEX(Akaun!$F$5:$F$150,MATCH(C444,Akaun!$A$5:$A$150,0)))</f>
        <v/>
      </c>
      <c r="H444" s="1" t="str">
        <f aca="false">IF(C444="","",INDEX(Akaun!$D$5:$D$150,MATCH(C444,Akaun!$A$5:$A$150,0)))</f>
        <v/>
      </c>
    </row>
    <row r="445" customFormat="false" ht="15" hidden="false" customHeight="true" outlineLevel="0" collapsed="false">
      <c r="G445" s="1" t="str">
        <f aca="false" t="array" ref="G445:G445">IF(C445="","",INDEX(Akaun!$F$5:$F$150,MATCH(C445,Akaun!$A$5:$A$150,0)))</f>
        <v/>
      </c>
      <c r="H445" s="1" t="str">
        <f aca="false">IF(C445="","",INDEX(Akaun!$D$5:$D$150,MATCH(C445,Akaun!$A$5:$A$150,0)))</f>
        <v/>
      </c>
    </row>
    <row r="446" customFormat="false" ht="15" hidden="false" customHeight="true" outlineLevel="0" collapsed="false">
      <c r="G446" s="1" t="str">
        <f aca="false" t="array" ref="G446:G446">IF(C446="","",INDEX(Akaun!$F$5:$F$150,MATCH(C446,Akaun!$A$5:$A$150,0)))</f>
        <v/>
      </c>
      <c r="H446" s="1" t="str">
        <f aca="false">IF(C446="","",INDEX(Akaun!$D$5:$D$150,MATCH(C446,Akaun!$A$5:$A$150,0)))</f>
        <v/>
      </c>
    </row>
    <row r="447" customFormat="false" ht="15" hidden="false" customHeight="true" outlineLevel="0" collapsed="false">
      <c r="G447" s="1" t="str">
        <f aca="false" t="array" ref="G447:G447">IF(C447="","",INDEX(Akaun!$F$5:$F$150,MATCH(C447,Akaun!$A$5:$A$150,0)))</f>
        <v/>
      </c>
      <c r="H447" s="1" t="str">
        <f aca="false">IF(C447="","",INDEX(Akaun!$D$5:$D$150,MATCH(C447,Akaun!$A$5:$A$150,0)))</f>
        <v/>
      </c>
    </row>
    <row r="448" customFormat="false" ht="15" hidden="false" customHeight="true" outlineLevel="0" collapsed="false">
      <c r="G448" s="1" t="str">
        <f aca="false" t="array" ref="G448:G448">IF(C448="","",INDEX(Akaun!$F$5:$F$150,MATCH(C448,Akaun!$A$5:$A$150,0)))</f>
        <v/>
      </c>
      <c r="H448" s="1" t="str">
        <f aca="false">IF(C448="","",INDEX(Akaun!$D$5:$D$150,MATCH(C448,Akaun!$A$5:$A$150,0)))</f>
        <v/>
      </c>
    </row>
    <row r="449" customFormat="false" ht="15" hidden="false" customHeight="true" outlineLevel="0" collapsed="false">
      <c r="G449" s="1" t="str">
        <f aca="false" t="array" ref="G449:G449">IF(C449="","",INDEX(Akaun!$F$5:$F$150,MATCH(C449,Akaun!$A$5:$A$150,0)))</f>
        <v/>
      </c>
      <c r="H449" s="1" t="str">
        <f aca="false">IF(C449="","",INDEX(Akaun!$D$5:$D$150,MATCH(C449,Akaun!$A$5:$A$150,0)))</f>
        <v/>
      </c>
    </row>
    <row r="450" customFormat="false" ht="15" hidden="false" customHeight="true" outlineLevel="0" collapsed="false">
      <c r="G450" s="1" t="str">
        <f aca="false" t="array" ref="G450:G450">IF(C450="","",INDEX(Akaun!$F$5:$F$150,MATCH(C450,Akaun!$A$5:$A$150,0)))</f>
        <v/>
      </c>
      <c r="H450" s="1" t="str">
        <f aca="false">IF(C450="","",INDEX(Akaun!$D$5:$D$150,MATCH(C450,Akaun!$A$5:$A$150,0)))</f>
        <v/>
      </c>
    </row>
    <row r="451" customFormat="false" ht="15" hidden="false" customHeight="true" outlineLevel="0" collapsed="false">
      <c r="G451" s="1" t="str">
        <f aca="false" t="array" ref="G451:G451">IF(C451="","",INDEX(Akaun!$F$5:$F$150,MATCH(C451,Akaun!$A$5:$A$150,0)))</f>
        <v/>
      </c>
      <c r="H451" s="1" t="str">
        <f aca="false">IF(C451="","",INDEX(Akaun!$D$5:$D$150,MATCH(C451,Akaun!$A$5:$A$150,0)))</f>
        <v/>
      </c>
    </row>
    <row r="452" customFormat="false" ht="15" hidden="false" customHeight="true" outlineLevel="0" collapsed="false">
      <c r="G452" s="1" t="str">
        <f aca="false" t="array" ref="G452:G452">IF(C452="","",INDEX(Akaun!$F$5:$F$150,MATCH(C452,Akaun!$A$5:$A$150,0)))</f>
        <v/>
      </c>
      <c r="H452" s="1" t="str">
        <f aca="false">IF(C452="","",INDEX(Akaun!$D$5:$D$150,MATCH(C452,Akaun!$A$5:$A$150,0)))</f>
        <v/>
      </c>
    </row>
    <row r="453" customFormat="false" ht="15" hidden="false" customHeight="true" outlineLevel="0" collapsed="false">
      <c r="G453" s="1" t="str">
        <f aca="false" t="array" ref="G453:G453">IF(C453="","",INDEX(Akaun!$F$5:$F$150,MATCH(C453,Akaun!$A$5:$A$150,0)))</f>
        <v/>
      </c>
      <c r="H453" s="1" t="str">
        <f aca="false">IF(C453="","",INDEX(Akaun!$D$5:$D$150,MATCH(C453,Akaun!$A$5:$A$150,0)))</f>
        <v/>
      </c>
    </row>
    <row r="454" customFormat="false" ht="15" hidden="false" customHeight="true" outlineLevel="0" collapsed="false">
      <c r="G454" s="1" t="str">
        <f aca="false" t="array" ref="G454:G454">IF(C454="","",INDEX(Akaun!$F$5:$F$150,MATCH(C454,Akaun!$A$5:$A$150,0)))</f>
        <v/>
      </c>
      <c r="H454" s="1" t="str">
        <f aca="false">IF(C454="","",INDEX(Akaun!$D$5:$D$150,MATCH(C454,Akaun!$A$5:$A$150,0)))</f>
        <v/>
      </c>
    </row>
    <row r="455" customFormat="false" ht="15" hidden="false" customHeight="true" outlineLevel="0" collapsed="false">
      <c r="G455" s="1" t="str">
        <f aca="false" t="array" ref="G455:G455">IF(C455="","",INDEX(Akaun!$F$5:$F$150,MATCH(C455,Akaun!$A$5:$A$150,0)))</f>
        <v/>
      </c>
      <c r="H455" s="1" t="str">
        <f aca="false">IF(C455="","",INDEX(Akaun!$D$5:$D$150,MATCH(C455,Akaun!$A$5:$A$150,0)))</f>
        <v/>
      </c>
    </row>
    <row r="456" customFormat="false" ht="15" hidden="false" customHeight="true" outlineLevel="0" collapsed="false">
      <c r="G456" s="1" t="str">
        <f aca="false" t="array" ref="G456:G456">IF(C456="","",INDEX(Akaun!$F$5:$F$150,MATCH(C456,Akaun!$A$5:$A$150,0)))</f>
        <v/>
      </c>
      <c r="H456" s="1" t="str">
        <f aca="false">IF(C456="","",INDEX(Akaun!$D$5:$D$150,MATCH(C456,Akaun!$A$5:$A$150,0)))</f>
        <v/>
      </c>
    </row>
    <row r="457" customFormat="false" ht="15" hidden="false" customHeight="true" outlineLevel="0" collapsed="false">
      <c r="G457" s="1" t="str">
        <f aca="false" t="array" ref="G457:G457">IF(C457="","",INDEX(Akaun!$F$5:$F$150,MATCH(C457,Akaun!$A$5:$A$150,0)))</f>
        <v/>
      </c>
      <c r="H457" s="1" t="str">
        <f aca="false">IF(C457="","",INDEX(Akaun!$D$5:$D$150,MATCH(C457,Akaun!$A$5:$A$150,0)))</f>
        <v/>
      </c>
    </row>
    <row r="458" customFormat="false" ht="15" hidden="false" customHeight="true" outlineLevel="0" collapsed="false">
      <c r="G458" s="1" t="str">
        <f aca="false" t="array" ref="G458:G458">IF(C458="","",INDEX(Akaun!$F$5:$F$150,MATCH(C458,Akaun!$A$5:$A$150,0)))</f>
        <v/>
      </c>
      <c r="H458" s="1" t="str">
        <f aca="false">IF(C458="","",INDEX(Akaun!$D$5:$D$150,MATCH(C458,Akaun!$A$5:$A$150,0)))</f>
        <v/>
      </c>
    </row>
    <row r="459" customFormat="false" ht="15" hidden="false" customHeight="true" outlineLevel="0" collapsed="false">
      <c r="G459" s="1" t="str">
        <f aca="false" t="array" ref="G459:G459">IF(C459="","",INDEX(Akaun!$F$5:$F$150,MATCH(C459,Akaun!$A$5:$A$150,0)))</f>
        <v/>
      </c>
      <c r="H459" s="1" t="str">
        <f aca="false">IF(C459="","",INDEX(Akaun!$D$5:$D$150,MATCH(C459,Akaun!$A$5:$A$150,0)))</f>
        <v/>
      </c>
    </row>
    <row r="460" customFormat="false" ht="15" hidden="false" customHeight="true" outlineLevel="0" collapsed="false">
      <c r="G460" s="1" t="str">
        <f aca="false" t="array" ref="G460:G460">IF(C460="","",INDEX(Akaun!$F$5:$F$150,MATCH(C460,Akaun!$A$5:$A$150,0)))</f>
        <v/>
      </c>
      <c r="H460" s="1" t="str">
        <f aca="false">IF(C460="","",INDEX(Akaun!$D$5:$D$150,MATCH(C460,Akaun!$A$5:$A$150,0)))</f>
        <v/>
      </c>
    </row>
    <row r="461" customFormat="false" ht="15" hidden="false" customHeight="true" outlineLevel="0" collapsed="false">
      <c r="G461" s="1" t="str">
        <f aca="false" t="array" ref="G461:G461">IF(C461="","",INDEX(Akaun!$F$5:$F$150,MATCH(C461,Akaun!$A$5:$A$150,0)))</f>
        <v/>
      </c>
      <c r="H461" s="1" t="str">
        <f aca="false">IF(C461="","",INDEX(Akaun!$D$5:$D$150,MATCH(C461,Akaun!$A$5:$A$150,0)))</f>
        <v/>
      </c>
    </row>
    <row r="462" customFormat="false" ht="15" hidden="false" customHeight="true" outlineLevel="0" collapsed="false">
      <c r="G462" s="1" t="str">
        <f aca="false" t="array" ref="G462:G462">IF(C462="","",INDEX(Akaun!$F$5:$F$150,MATCH(C462,Akaun!$A$5:$A$150,0)))</f>
        <v/>
      </c>
      <c r="H462" s="1" t="str">
        <f aca="false">IF(C462="","",INDEX(Akaun!$D$5:$D$150,MATCH(C462,Akaun!$A$5:$A$150,0)))</f>
        <v/>
      </c>
    </row>
    <row r="463" customFormat="false" ht="15" hidden="false" customHeight="true" outlineLevel="0" collapsed="false">
      <c r="G463" s="1" t="str">
        <f aca="false" t="array" ref="G463:G463">IF(C463="","",INDEX(Akaun!$F$5:$F$150,MATCH(C463,Akaun!$A$5:$A$150,0)))</f>
        <v/>
      </c>
      <c r="H463" s="1" t="str">
        <f aca="false">IF(C463="","",INDEX(Akaun!$D$5:$D$150,MATCH(C463,Akaun!$A$5:$A$150,0)))</f>
        <v/>
      </c>
    </row>
    <row r="464" customFormat="false" ht="15" hidden="false" customHeight="true" outlineLevel="0" collapsed="false">
      <c r="G464" s="1" t="str">
        <f aca="false" t="array" ref="G464:G464">IF(C464="","",INDEX(Akaun!$F$5:$F$150,MATCH(C464,Akaun!$A$5:$A$150,0)))</f>
        <v/>
      </c>
      <c r="H464" s="1" t="str">
        <f aca="false">IF(C464="","",INDEX(Akaun!$D$5:$D$150,MATCH(C464,Akaun!$A$5:$A$150,0)))</f>
        <v/>
      </c>
    </row>
    <row r="465" customFormat="false" ht="15" hidden="false" customHeight="true" outlineLevel="0" collapsed="false">
      <c r="G465" s="1" t="str">
        <f aca="false" t="array" ref="G465:G465">IF(C465="","",INDEX(Akaun!$F$5:$F$150,MATCH(C465,Akaun!$A$5:$A$150,0)))</f>
        <v/>
      </c>
      <c r="H465" s="1" t="str">
        <f aca="false">IF(C465="","",INDEX(Akaun!$D$5:$D$150,MATCH(C465,Akaun!$A$5:$A$150,0)))</f>
        <v/>
      </c>
    </row>
    <row r="466" customFormat="false" ht="15" hidden="false" customHeight="true" outlineLevel="0" collapsed="false">
      <c r="G466" s="1" t="str">
        <f aca="false" t="array" ref="G466:G466">IF(C466="","",INDEX(Akaun!$F$5:$F$150,MATCH(C466,Akaun!$A$5:$A$150,0)))</f>
        <v/>
      </c>
      <c r="H466" s="1" t="str">
        <f aca="false">IF(C466="","",INDEX(Akaun!$D$5:$D$150,MATCH(C466,Akaun!$A$5:$A$150,0)))</f>
        <v/>
      </c>
    </row>
    <row r="467" customFormat="false" ht="15" hidden="false" customHeight="true" outlineLevel="0" collapsed="false">
      <c r="G467" s="1" t="str">
        <f aca="false" t="array" ref="G467:G467">IF(C467="","",INDEX(Akaun!$F$5:$F$150,MATCH(C467,Akaun!$A$5:$A$150,0)))</f>
        <v/>
      </c>
      <c r="H467" s="1" t="str">
        <f aca="false">IF(C467="","",INDEX(Akaun!$D$5:$D$150,MATCH(C467,Akaun!$A$5:$A$150,0)))</f>
        <v/>
      </c>
    </row>
    <row r="468" customFormat="false" ht="15" hidden="false" customHeight="true" outlineLevel="0" collapsed="false">
      <c r="G468" s="1" t="str">
        <f aca="false" t="array" ref="G468:G468">IF(C468="","",INDEX(Akaun!$F$5:$F$150,MATCH(C468,Akaun!$A$5:$A$150,0)))</f>
        <v/>
      </c>
      <c r="H468" s="1" t="str">
        <f aca="false">IF(C468="","",INDEX(Akaun!$D$5:$D$150,MATCH(C468,Akaun!$A$5:$A$150,0)))</f>
        <v/>
      </c>
    </row>
    <row r="469" customFormat="false" ht="15" hidden="false" customHeight="true" outlineLevel="0" collapsed="false">
      <c r="G469" s="1" t="str">
        <f aca="false" t="array" ref="G469:G469">IF(C469="","",INDEX(Akaun!$F$5:$F$150,MATCH(C469,Akaun!$A$5:$A$150,0)))</f>
        <v/>
      </c>
      <c r="H469" s="1" t="str">
        <f aca="false">IF(C469="","",INDEX(Akaun!$D$5:$D$150,MATCH(C469,Akaun!$A$5:$A$150,0)))</f>
        <v/>
      </c>
    </row>
    <row r="470" customFormat="false" ht="15" hidden="false" customHeight="true" outlineLevel="0" collapsed="false">
      <c r="G470" s="1" t="str">
        <f aca="false" t="array" ref="G470:G470">IF(C470="","",INDEX(Akaun!$F$5:$F$150,MATCH(C470,Akaun!$A$5:$A$150,0)))</f>
        <v/>
      </c>
      <c r="H470" s="1" t="str">
        <f aca="false">IF(C470="","",INDEX(Akaun!$D$5:$D$150,MATCH(C470,Akaun!$A$5:$A$150,0)))</f>
        <v/>
      </c>
    </row>
    <row r="471" customFormat="false" ht="15" hidden="false" customHeight="true" outlineLevel="0" collapsed="false">
      <c r="G471" s="1" t="str">
        <f aca="false" t="array" ref="G471:G471">IF(C471="","",INDEX(Akaun!$F$5:$F$150,MATCH(C471,Akaun!$A$5:$A$150,0)))</f>
        <v/>
      </c>
      <c r="H471" s="1" t="str">
        <f aca="false">IF(C471="","",INDEX(Akaun!$D$5:$D$150,MATCH(C471,Akaun!$A$5:$A$150,0)))</f>
        <v/>
      </c>
    </row>
    <row r="472" customFormat="false" ht="15" hidden="false" customHeight="true" outlineLevel="0" collapsed="false">
      <c r="G472" s="1" t="str">
        <f aca="false" t="array" ref="G472:G472">IF(C472="","",INDEX(Akaun!$F$5:$F$150,MATCH(C472,Akaun!$A$5:$A$150,0)))</f>
        <v/>
      </c>
      <c r="H472" s="1" t="str">
        <f aca="false">IF(C472="","",INDEX(Akaun!$D$5:$D$150,MATCH(C472,Akaun!$A$5:$A$150,0)))</f>
        <v/>
      </c>
    </row>
    <row r="473" customFormat="false" ht="15" hidden="false" customHeight="true" outlineLevel="0" collapsed="false">
      <c r="G473" s="1" t="str">
        <f aca="false" t="array" ref="G473:G473">IF(C473="","",INDEX(Akaun!$F$5:$F$150,MATCH(C473,Akaun!$A$5:$A$150,0)))</f>
        <v/>
      </c>
      <c r="H473" s="1" t="str">
        <f aca="false">IF(C473="","",INDEX(Akaun!$D$5:$D$150,MATCH(C473,Akaun!$A$5:$A$150,0)))</f>
        <v/>
      </c>
    </row>
    <row r="474" customFormat="false" ht="15" hidden="false" customHeight="true" outlineLevel="0" collapsed="false">
      <c r="G474" s="1" t="str">
        <f aca="false" t="array" ref="G474:G474">IF(C474="","",INDEX(Akaun!$F$5:$F$150,MATCH(C474,Akaun!$A$5:$A$150,0)))</f>
        <v/>
      </c>
      <c r="H474" s="1" t="str">
        <f aca="false">IF(C474="","",INDEX(Akaun!$D$5:$D$150,MATCH(C474,Akaun!$A$5:$A$150,0)))</f>
        <v/>
      </c>
    </row>
    <row r="475" customFormat="false" ht="15" hidden="false" customHeight="true" outlineLevel="0" collapsed="false">
      <c r="G475" s="1" t="str">
        <f aca="false" t="array" ref="G475:G475">IF(C475="","",INDEX(Akaun!$F$5:$F$150,MATCH(C475,Akaun!$A$5:$A$150,0)))</f>
        <v/>
      </c>
      <c r="H475" s="1" t="str">
        <f aca="false">IF(C475="","",INDEX(Akaun!$D$5:$D$150,MATCH(C475,Akaun!$A$5:$A$150,0)))</f>
        <v/>
      </c>
    </row>
    <row r="476" customFormat="false" ht="15" hidden="false" customHeight="true" outlineLevel="0" collapsed="false">
      <c r="G476" s="1" t="str">
        <f aca="false" t="array" ref="G476:G476">IF(C476="","",INDEX(Akaun!$F$5:$F$150,MATCH(C476,Akaun!$A$5:$A$150,0)))</f>
        <v/>
      </c>
      <c r="H476" s="1" t="str">
        <f aca="false">IF(C476="","",INDEX(Akaun!$D$5:$D$150,MATCH(C476,Akaun!$A$5:$A$150,0)))</f>
        <v/>
      </c>
    </row>
    <row r="477" customFormat="false" ht="15" hidden="false" customHeight="true" outlineLevel="0" collapsed="false">
      <c r="G477" s="1" t="str">
        <f aca="false" t="array" ref="G477:G477">IF(C477="","",INDEX(Akaun!$F$5:$F$150,MATCH(C477,Akaun!$A$5:$A$150,0)))</f>
        <v/>
      </c>
      <c r="H477" s="1" t="str">
        <f aca="false">IF(C477="","",INDEX(Akaun!$D$5:$D$150,MATCH(C477,Akaun!$A$5:$A$150,0)))</f>
        <v/>
      </c>
    </row>
    <row r="478" customFormat="false" ht="15" hidden="false" customHeight="true" outlineLevel="0" collapsed="false">
      <c r="G478" s="1" t="str">
        <f aca="false" t="array" ref="G478:G478">IF(C478="","",INDEX(Akaun!$F$5:$F$150,MATCH(C478,Akaun!$A$5:$A$150,0)))</f>
        <v/>
      </c>
      <c r="H478" s="1" t="str">
        <f aca="false">IF(C478="","",INDEX(Akaun!$D$5:$D$150,MATCH(C478,Akaun!$A$5:$A$150,0)))</f>
        <v/>
      </c>
    </row>
    <row r="479" customFormat="false" ht="15" hidden="false" customHeight="true" outlineLevel="0" collapsed="false">
      <c r="G479" s="1" t="str">
        <f aca="false" t="array" ref="G479:G479">IF(C479="","",INDEX(Akaun!$F$5:$F$150,MATCH(C479,Akaun!$A$5:$A$150,0)))</f>
        <v/>
      </c>
      <c r="H479" s="1" t="str">
        <f aca="false">IF(C479="","",INDEX(Akaun!$D$5:$D$150,MATCH(C479,Akaun!$A$5:$A$150,0)))</f>
        <v/>
      </c>
    </row>
    <row r="480" customFormat="false" ht="15" hidden="false" customHeight="true" outlineLevel="0" collapsed="false">
      <c r="G480" s="1" t="str">
        <f aca="false" t="array" ref="G480:G480">IF(C480="","",INDEX(Akaun!$F$5:$F$150,MATCH(C480,Akaun!$A$5:$A$150,0)))</f>
        <v/>
      </c>
      <c r="H480" s="1" t="str">
        <f aca="false">IF(C480="","",INDEX(Akaun!$D$5:$D$150,MATCH(C480,Akaun!$A$5:$A$150,0)))</f>
        <v/>
      </c>
    </row>
    <row r="481" customFormat="false" ht="15" hidden="false" customHeight="true" outlineLevel="0" collapsed="false">
      <c r="G481" s="1" t="str">
        <f aca="false" t="array" ref="G481:G481">IF(C481="","",INDEX(Akaun!$F$5:$F$150,MATCH(C481,Akaun!$A$5:$A$150,0)))</f>
        <v/>
      </c>
      <c r="H481" s="1" t="str">
        <f aca="false">IF(C481="","",INDEX(Akaun!$D$5:$D$150,MATCH(C481,Akaun!$A$5:$A$150,0)))</f>
        <v/>
      </c>
    </row>
    <row r="482" customFormat="false" ht="15" hidden="false" customHeight="true" outlineLevel="0" collapsed="false">
      <c r="G482" s="1" t="str">
        <f aca="false" t="array" ref="G482:G482">IF(C482="","",INDEX(Akaun!$F$5:$F$150,MATCH(C482,Akaun!$A$5:$A$150,0)))</f>
        <v/>
      </c>
      <c r="H482" s="1" t="str">
        <f aca="false">IF(C482="","",INDEX(Akaun!$D$5:$D$150,MATCH(C482,Akaun!$A$5:$A$150,0)))</f>
        <v/>
      </c>
    </row>
    <row r="483" customFormat="false" ht="15" hidden="false" customHeight="true" outlineLevel="0" collapsed="false">
      <c r="G483" s="1" t="str">
        <f aca="false" t="array" ref="G483:G483">IF(C483="","",INDEX(Akaun!$F$5:$F$150,MATCH(C483,Akaun!$A$5:$A$150,0)))</f>
        <v/>
      </c>
      <c r="H483" s="1" t="str">
        <f aca="false">IF(C483="","",INDEX(Akaun!$D$5:$D$150,MATCH(C483,Akaun!$A$5:$A$150,0)))</f>
        <v/>
      </c>
    </row>
    <row r="484" customFormat="false" ht="15" hidden="false" customHeight="true" outlineLevel="0" collapsed="false">
      <c r="G484" s="1" t="str">
        <f aca="false" t="array" ref="G484:G484">IF(C484="","",INDEX(Akaun!$F$5:$F$150,MATCH(C484,Akaun!$A$5:$A$150,0)))</f>
        <v/>
      </c>
      <c r="H484" s="1" t="str">
        <f aca="false">IF(C484="","",INDEX(Akaun!$D$5:$D$150,MATCH(C484,Akaun!$A$5:$A$150,0)))</f>
        <v/>
      </c>
    </row>
    <row r="485" customFormat="false" ht="15" hidden="false" customHeight="true" outlineLevel="0" collapsed="false">
      <c r="G485" s="1" t="str">
        <f aca="false" t="array" ref="G485:G485">IF(C485="","",INDEX(Akaun!$F$5:$F$150,MATCH(C485,Akaun!$A$5:$A$150,0)))</f>
        <v/>
      </c>
      <c r="H485" s="1" t="str">
        <f aca="false">IF(C485="","",INDEX(Akaun!$D$5:$D$150,MATCH(C485,Akaun!$A$5:$A$150,0)))</f>
        <v/>
      </c>
    </row>
    <row r="486" customFormat="false" ht="15" hidden="false" customHeight="true" outlineLevel="0" collapsed="false">
      <c r="G486" s="1" t="str">
        <f aca="false" t="array" ref="G486:G486">IF(C486="","",INDEX(Akaun!$F$5:$F$150,MATCH(C486,Akaun!$A$5:$A$150,0)))</f>
        <v/>
      </c>
      <c r="H486" s="1" t="str">
        <f aca="false">IF(C486="","",INDEX(Akaun!$D$5:$D$150,MATCH(C486,Akaun!$A$5:$A$150,0)))</f>
        <v/>
      </c>
    </row>
    <row r="487" customFormat="false" ht="15" hidden="false" customHeight="true" outlineLevel="0" collapsed="false">
      <c r="G487" s="1" t="str">
        <f aca="false" t="array" ref="G487:G487">IF(C487="","",INDEX(Akaun!$F$5:$F$150,MATCH(C487,Akaun!$A$5:$A$150,0)))</f>
        <v/>
      </c>
      <c r="H487" s="1" t="str">
        <f aca="false">IF(C487="","",INDEX(Akaun!$D$5:$D$150,MATCH(C487,Akaun!$A$5:$A$150,0)))</f>
        <v/>
      </c>
    </row>
    <row r="488" customFormat="false" ht="15" hidden="false" customHeight="true" outlineLevel="0" collapsed="false">
      <c r="G488" s="1" t="str">
        <f aca="false" t="array" ref="G488:G488">IF(C488="","",INDEX(Akaun!$F$5:$F$150,MATCH(C488,Akaun!$A$5:$A$150,0)))</f>
        <v/>
      </c>
      <c r="H488" s="1" t="str">
        <f aca="false">IF(C488="","",INDEX(Akaun!$D$5:$D$150,MATCH(C488,Akaun!$A$5:$A$150,0)))</f>
        <v/>
      </c>
    </row>
    <row r="489" customFormat="false" ht="15" hidden="false" customHeight="true" outlineLevel="0" collapsed="false">
      <c r="G489" s="1" t="str">
        <f aca="false" t="array" ref="G489:G489">IF(C489="","",INDEX(Akaun!$F$5:$F$150,MATCH(C489,Akaun!$A$5:$A$150,0)))</f>
        <v/>
      </c>
      <c r="H489" s="1" t="str">
        <f aca="false">IF(C489="","",INDEX(Akaun!$D$5:$D$150,MATCH(C489,Akaun!$A$5:$A$150,0)))</f>
        <v/>
      </c>
    </row>
    <row r="490" customFormat="false" ht="15" hidden="false" customHeight="true" outlineLevel="0" collapsed="false">
      <c r="G490" s="1" t="str">
        <f aca="false" t="array" ref="G490:G490">IF(C490="","",INDEX(Akaun!$F$5:$F$150,MATCH(C490,Akaun!$A$5:$A$150,0)))</f>
        <v/>
      </c>
      <c r="H490" s="1" t="str">
        <f aca="false">IF(C490="","",INDEX(Akaun!$D$5:$D$150,MATCH(C490,Akaun!$A$5:$A$150,0)))</f>
        <v/>
      </c>
    </row>
    <row r="491" customFormat="false" ht="15" hidden="false" customHeight="true" outlineLevel="0" collapsed="false">
      <c r="G491" s="1" t="str">
        <f aca="false" t="array" ref="G491:G491">IF(C491="","",INDEX(Akaun!$F$5:$F$150,MATCH(C491,Akaun!$A$5:$A$150,0)))</f>
        <v/>
      </c>
      <c r="H491" s="1" t="str">
        <f aca="false">IF(C491="","",INDEX(Akaun!$D$5:$D$150,MATCH(C491,Akaun!$A$5:$A$150,0)))</f>
        <v/>
      </c>
    </row>
    <row r="492" customFormat="false" ht="15" hidden="false" customHeight="true" outlineLevel="0" collapsed="false">
      <c r="G492" s="1" t="str">
        <f aca="false" t="array" ref="G492:G492">IF(C492="","",INDEX(Akaun!$F$5:$F$150,MATCH(C492,Akaun!$A$5:$A$150,0)))</f>
        <v/>
      </c>
      <c r="H492" s="1" t="str">
        <f aca="false">IF(C492="","",INDEX(Akaun!$D$5:$D$150,MATCH(C492,Akaun!$A$5:$A$150,0)))</f>
        <v/>
      </c>
    </row>
    <row r="493" customFormat="false" ht="15" hidden="false" customHeight="true" outlineLevel="0" collapsed="false">
      <c r="G493" s="1" t="str">
        <f aca="false" t="array" ref="G493:G493">IF(C493="","",INDEX(Akaun!$F$5:$F$150,MATCH(C493,Akaun!$A$5:$A$150,0)))</f>
        <v/>
      </c>
      <c r="H493" s="1" t="str">
        <f aca="false">IF(C493="","",INDEX(Akaun!$D$5:$D$150,MATCH(C493,Akaun!$A$5:$A$150,0)))</f>
        <v/>
      </c>
    </row>
    <row r="494" customFormat="false" ht="15" hidden="false" customHeight="true" outlineLevel="0" collapsed="false">
      <c r="G494" s="1" t="str">
        <f aca="false" t="array" ref="G494:G494">IF(C494="","",INDEX(Akaun!$F$5:$F$150,MATCH(C494,Akaun!$A$5:$A$150,0)))</f>
        <v/>
      </c>
      <c r="H494" s="1" t="str">
        <f aca="false">IF(C494="","",INDEX(Akaun!$D$5:$D$150,MATCH(C494,Akaun!$A$5:$A$150,0)))</f>
        <v/>
      </c>
    </row>
    <row r="495" customFormat="false" ht="15" hidden="false" customHeight="true" outlineLevel="0" collapsed="false">
      <c r="G495" s="1" t="str">
        <f aca="false" t="array" ref="G495:G495">IF(C495="","",INDEX(Akaun!$F$5:$F$150,MATCH(C495,Akaun!$A$5:$A$150,0)))</f>
        <v/>
      </c>
      <c r="H495" s="1" t="str">
        <f aca="false">IF(C495="","",INDEX(Akaun!$D$5:$D$150,MATCH(C495,Akaun!$A$5:$A$150,0)))</f>
        <v/>
      </c>
    </row>
    <row r="496" customFormat="false" ht="15" hidden="false" customHeight="true" outlineLevel="0" collapsed="false">
      <c r="G496" s="1" t="str">
        <f aca="false" t="array" ref="G496:G496">IF(C496="","",INDEX(Akaun!$F$5:$F$150,MATCH(C496,Akaun!$A$5:$A$150,0)))</f>
        <v/>
      </c>
      <c r="H496" s="1" t="str">
        <f aca="false">IF(C496="","",INDEX(Akaun!$D$5:$D$150,MATCH(C496,Akaun!$A$5:$A$150,0)))</f>
        <v/>
      </c>
    </row>
    <row r="497" customFormat="false" ht="15" hidden="false" customHeight="true" outlineLevel="0" collapsed="false">
      <c r="G497" s="1" t="str">
        <f aca="false" t="array" ref="G497:G497">IF(C497="","",INDEX(Akaun!$F$5:$F$150,MATCH(C497,Akaun!$A$5:$A$150,0)))</f>
        <v/>
      </c>
      <c r="H497" s="1" t="str">
        <f aca="false">IF(C497="","",INDEX(Akaun!$D$5:$D$150,MATCH(C497,Akaun!$A$5:$A$150,0)))</f>
        <v/>
      </c>
    </row>
    <row r="498" customFormat="false" ht="15" hidden="false" customHeight="true" outlineLevel="0" collapsed="false">
      <c r="G498" s="1" t="str">
        <f aca="false" t="array" ref="G498:G498">IF(C498="","",INDEX(Akaun!$F$5:$F$150,MATCH(C498,Akaun!$A$5:$A$150,0)))</f>
        <v/>
      </c>
      <c r="H498" s="1" t="str">
        <f aca="false">IF(C498="","",INDEX(Akaun!$D$5:$D$150,MATCH(C498,Akaun!$A$5:$A$150,0)))</f>
        <v/>
      </c>
    </row>
    <row r="499" customFormat="false" ht="15" hidden="false" customHeight="true" outlineLevel="0" collapsed="false">
      <c r="G499" s="1" t="str">
        <f aca="false" t="array" ref="G499:G499">IF(C499="","",INDEX(Akaun!$F$5:$F$150,MATCH(C499,Akaun!$A$5:$A$150,0)))</f>
        <v/>
      </c>
      <c r="H499" s="1" t="str">
        <f aca="false">IF(C499="","",INDEX(Akaun!$D$5:$D$150,MATCH(C499,Akaun!$A$5:$A$150,0)))</f>
        <v/>
      </c>
    </row>
    <row r="500" customFormat="false" ht="15" hidden="false" customHeight="true" outlineLevel="0" collapsed="false">
      <c r="G500" s="1" t="str">
        <f aca="false" t="array" ref="G500:G500">IF(C500="","",INDEX(Akaun!$F$5:$F$150,MATCH(C500,Akaun!$A$5:$A$150,0)))</f>
        <v/>
      </c>
      <c r="H500" s="1" t="str">
        <f aca="false">IF(C500="","",INDEX(Akaun!$D$5:$D$150,MATCH(C500,Akaun!$A$5:$A$150,0)))</f>
        <v/>
      </c>
    </row>
    <row r="501" customFormat="false" ht="15.75" hidden="false" customHeight="true" outlineLevel="0" collapsed="false">
      <c r="G501" s="1" t="str">
        <f aca="false">IF(C501="","",INDEX(Akaun!$F$5:$F$150,MATCH(C501,Akaun!$A$5:$A$150,0)))</f>
        <v/>
      </c>
      <c r="H501" s="1" t="str">
        <f aca="false">IF(C501="","",INDEX(Akaun!$D$5:$D$150,MATCH(C501,Akaun!$A$5:$A$150,0)))</f>
        <v/>
      </c>
    </row>
    <row r="502" customFormat="false" ht="15.75" hidden="false" customHeight="true" outlineLevel="0" collapsed="false">
      <c r="G502" s="1" t="str">
        <f aca="false">IF(C502="","",INDEX(Akaun!$F$5:$F$150,MATCH(C502,Akaun!$A$5:$A$150,0)))</f>
        <v/>
      </c>
      <c r="H502" s="1" t="str">
        <f aca="false">IF(C502="","",INDEX(Akaun!$D$5:$D$150,MATCH(C502,Akaun!$A$5:$A$150,0)))</f>
        <v/>
      </c>
    </row>
    <row r="503" customFormat="false" ht="15.75" hidden="false" customHeight="true" outlineLevel="0" collapsed="false">
      <c r="G503" s="1" t="str">
        <f aca="false">IF(C503="","",INDEX(Akaun!$F$5:$F$150,MATCH(C503,Akaun!$A$5:$A$150,0)))</f>
        <v/>
      </c>
      <c r="H503" s="1" t="str">
        <f aca="false">IF(C503="","",INDEX(Akaun!$D$5:$D$150,MATCH(C503,Akaun!$A$5:$A$150,0)))</f>
        <v/>
      </c>
    </row>
    <row r="504" customFormat="false" ht="15.75" hidden="false" customHeight="true" outlineLevel="0" collapsed="false">
      <c r="G504" s="1" t="str">
        <f aca="false">IF(C504="","",INDEX(Akaun!$F$5:$F$150,MATCH(C504,Akaun!$A$5:$A$150,0)))</f>
        <v/>
      </c>
      <c r="H504" s="1" t="str">
        <f aca="false">IF(C504="","",INDEX(Akaun!$D$5:$D$150,MATCH(C504,Akaun!$A$5:$A$150,0)))</f>
        <v/>
      </c>
    </row>
    <row r="505" customFormat="false" ht="15.75" hidden="false" customHeight="true" outlineLevel="0" collapsed="false">
      <c r="G505" s="1" t="str">
        <f aca="false">IF(C505="","",INDEX(Akaun!$F$5:$F$150,MATCH(C505,Akaun!$A$5:$A$150,0)))</f>
        <v/>
      </c>
      <c r="H505" s="1" t="str">
        <f aca="false">IF(C505="","",INDEX(Akaun!$D$5:$D$150,MATCH(C505,Akaun!$A$5:$A$150,0)))</f>
        <v/>
      </c>
    </row>
    <row r="506" customFormat="false" ht="15.75" hidden="false" customHeight="true" outlineLevel="0" collapsed="false">
      <c r="G506" s="1" t="str">
        <f aca="false">IF(C506="","",INDEX(Akaun!$F$5:$F$150,MATCH(C506,Akaun!$A$5:$A$150,0)))</f>
        <v/>
      </c>
      <c r="H506" s="1" t="str">
        <f aca="false">IF(C506="","",INDEX(Akaun!$D$5:$D$150,MATCH(C506,Akaun!$A$5:$A$150,0)))</f>
        <v/>
      </c>
    </row>
    <row r="507" customFormat="false" ht="15.75" hidden="false" customHeight="true" outlineLevel="0" collapsed="false">
      <c r="G507" s="1" t="str">
        <f aca="false">IF(C507="","",INDEX(Akaun!$F$5:$F$150,MATCH(C507,Akaun!$A$5:$A$150,0)))</f>
        <v/>
      </c>
      <c r="H507" s="1" t="str">
        <f aca="false">IF(C507="","",INDEX(Akaun!$D$5:$D$150,MATCH(C507,Akaun!$A$5:$A$150,0)))</f>
        <v/>
      </c>
    </row>
    <row r="508" customFormat="false" ht="15.75" hidden="false" customHeight="true" outlineLevel="0" collapsed="false">
      <c r="G508" s="1" t="str">
        <f aca="false">IF(C508="","",INDEX(Akaun!$F$5:$F$150,MATCH(C508,Akaun!$A$5:$A$150,0)))</f>
        <v/>
      </c>
      <c r="H508" s="1" t="str">
        <f aca="false">IF(C508="","",INDEX(Akaun!$D$5:$D$150,MATCH(C508,Akaun!$A$5:$A$150,0)))</f>
        <v/>
      </c>
    </row>
    <row r="509" customFormat="false" ht="15.75" hidden="false" customHeight="true" outlineLevel="0" collapsed="false">
      <c r="G509" s="1" t="str">
        <f aca="false">IF(C509="","",INDEX(Akaun!$F$5:$F$150,MATCH(C509,Akaun!$A$5:$A$150,0)))</f>
        <v/>
      </c>
      <c r="H509" s="1" t="str">
        <f aca="false">IF(C509="","",INDEX(Akaun!$D$5:$D$150,MATCH(C509,Akaun!$A$5:$A$150,0)))</f>
        <v/>
      </c>
    </row>
    <row r="510" customFormat="false" ht="15.75" hidden="false" customHeight="true" outlineLevel="0" collapsed="false">
      <c r="G510" s="1" t="str">
        <f aca="false">IF(C510="","",INDEX(Akaun!$F$5:$F$150,MATCH(C510,Akaun!$A$5:$A$150,0)))</f>
        <v/>
      </c>
      <c r="H510" s="1" t="str">
        <f aca="false">IF(C510="","",INDEX(Akaun!$D$5:$D$150,MATCH(C510,Akaun!$A$5:$A$150,0)))</f>
        <v/>
      </c>
    </row>
    <row r="511" customFormat="false" ht="15.75" hidden="false" customHeight="true" outlineLevel="0" collapsed="false">
      <c r="G511" s="1" t="str">
        <f aca="false">IF(C511="","",INDEX(Akaun!$F$5:$F$150,MATCH(C511,Akaun!$A$5:$A$150,0)))</f>
        <v/>
      </c>
      <c r="H511" s="1" t="str">
        <f aca="false">IF(C511="","",INDEX(Akaun!$D$5:$D$150,MATCH(C511,Akaun!$A$5:$A$150,0)))</f>
        <v/>
      </c>
    </row>
    <row r="512" customFormat="false" ht="15.75" hidden="false" customHeight="true" outlineLevel="0" collapsed="false">
      <c r="G512" s="1" t="str">
        <f aca="false">IF(C512="","",INDEX(Akaun!$F$5:$F$150,MATCH(C512,Akaun!$A$5:$A$150,0)))</f>
        <v/>
      </c>
      <c r="H512" s="1" t="str">
        <f aca="false">IF(C512="","",INDEX(Akaun!$D$5:$D$150,MATCH(C512,Akaun!$A$5:$A$150,0)))</f>
        <v/>
      </c>
    </row>
    <row r="513" customFormat="false" ht="15.75" hidden="false" customHeight="true" outlineLevel="0" collapsed="false">
      <c r="G513" s="1" t="str">
        <f aca="false">IF(C513="","",INDEX(Akaun!$F$5:$F$150,MATCH(C513,Akaun!$A$5:$A$150,0)))</f>
        <v/>
      </c>
      <c r="H513" s="1" t="str">
        <f aca="false">IF(C513="","",INDEX(Akaun!$D$5:$D$150,MATCH(C513,Akaun!$A$5:$A$150,0)))</f>
        <v/>
      </c>
    </row>
    <row r="514" customFormat="false" ht="15.75" hidden="false" customHeight="true" outlineLevel="0" collapsed="false">
      <c r="G514" s="1" t="str">
        <f aca="false">IF(C514="","",INDEX(Akaun!$F$5:$F$150,MATCH(C514,Akaun!$A$5:$A$150,0)))</f>
        <v/>
      </c>
      <c r="H514" s="1" t="str">
        <f aca="false">IF(C514="","",INDEX(Akaun!$D$5:$D$150,MATCH(C514,Akaun!$A$5:$A$150,0)))</f>
        <v/>
      </c>
    </row>
    <row r="515" customFormat="false" ht="15.75" hidden="false" customHeight="true" outlineLevel="0" collapsed="false">
      <c r="G515" s="1" t="str">
        <f aca="false">IF(C515="","",INDEX(Akaun!$F$5:$F$150,MATCH(C515,Akaun!$A$5:$A$150,0)))</f>
        <v/>
      </c>
      <c r="H515" s="1" t="str">
        <f aca="false">IF(C515="","",INDEX(Akaun!$D$5:$D$150,MATCH(C515,Akaun!$A$5:$A$150,0)))</f>
        <v/>
      </c>
    </row>
    <row r="516" customFormat="false" ht="15.75" hidden="false" customHeight="true" outlineLevel="0" collapsed="false">
      <c r="G516" s="1" t="str">
        <f aca="false">IF(C516="","",INDEX(Akaun!$F$5:$F$150,MATCH(C516,Akaun!$A$5:$A$150,0)))</f>
        <v/>
      </c>
      <c r="H516" s="1" t="str">
        <f aca="false">IF(C516="","",INDEX(Akaun!$D$5:$D$150,MATCH(C516,Akaun!$A$5:$A$150,0)))</f>
        <v/>
      </c>
    </row>
    <row r="517" customFormat="false" ht="15.75" hidden="false" customHeight="true" outlineLevel="0" collapsed="false">
      <c r="G517" s="1" t="str">
        <f aca="false">IF(C517="","",INDEX(Akaun!$F$5:$F$150,MATCH(C517,Akaun!$A$5:$A$150,0)))</f>
        <v/>
      </c>
      <c r="H517" s="1" t="str">
        <f aca="false">IF(C517="","",INDEX(Akaun!$D$5:$D$150,MATCH(C517,Akaun!$A$5:$A$150,0)))</f>
        <v/>
      </c>
    </row>
    <row r="518" customFormat="false" ht="15.75" hidden="false" customHeight="true" outlineLevel="0" collapsed="false">
      <c r="G518" s="1" t="str">
        <f aca="false">IF(C518="","",INDEX(Akaun!$F$5:$F$150,MATCH(C518,Akaun!$A$5:$A$150,0)))</f>
        <v/>
      </c>
      <c r="H518" s="1" t="str">
        <f aca="false">IF(C518="","",INDEX(Akaun!$D$5:$D$150,MATCH(C518,Akaun!$A$5:$A$150,0)))</f>
        <v/>
      </c>
    </row>
    <row r="519" customFormat="false" ht="15.75" hidden="false" customHeight="true" outlineLevel="0" collapsed="false">
      <c r="G519" s="1" t="str">
        <f aca="false">IF(C519="","",INDEX(Akaun!$F$5:$F$150,MATCH(C519,Akaun!$A$5:$A$150,0)))</f>
        <v/>
      </c>
      <c r="H519" s="1" t="str">
        <f aca="false">IF(C519="","",INDEX(Akaun!$D$5:$D$150,MATCH(C519,Akaun!$A$5:$A$150,0)))</f>
        <v/>
      </c>
    </row>
    <row r="520" customFormat="false" ht="15.75" hidden="false" customHeight="true" outlineLevel="0" collapsed="false">
      <c r="G520" s="1" t="str">
        <f aca="false">IF(C520="","",INDEX(Akaun!$F$5:$F$150,MATCH(C520,Akaun!$A$5:$A$150,0)))</f>
        <v/>
      </c>
      <c r="H520" s="1" t="str">
        <f aca="false">IF(C520="","",INDEX(Akaun!$D$5:$D$150,MATCH(C520,Akaun!$A$5:$A$150,0)))</f>
        <v/>
      </c>
    </row>
    <row r="521" customFormat="false" ht="15.75" hidden="false" customHeight="true" outlineLevel="0" collapsed="false">
      <c r="G521" s="1" t="str">
        <f aca="false">IF(C521="","",INDEX(Akaun!$F$5:$F$150,MATCH(C521,Akaun!$A$5:$A$150,0)))</f>
        <v/>
      </c>
      <c r="H521" s="1" t="str">
        <f aca="false">IF(C521="","",INDEX(Akaun!$D$5:$D$150,MATCH(C521,Akaun!$A$5:$A$150,0)))</f>
        <v/>
      </c>
    </row>
    <row r="522" customFormat="false" ht="15.75" hidden="false" customHeight="true" outlineLevel="0" collapsed="false">
      <c r="G522" s="1" t="str">
        <f aca="false">IF(C522="","",INDEX(Akaun!$F$5:$F$150,MATCH(C522,Akaun!$A$5:$A$150,0)))</f>
        <v/>
      </c>
      <c r="H522" s="1" t="str">
        <f aca="false">IF(C522="","",INDEX(Akaun!$D$5:$D$150,MATCH(C522,Akaun!$A$5:$A$150,0)))</f>
        <v/>
      </c>
    </row>
    <row r="523" customFormat="false" ht="15.75" hidden="false" customHeight="true" outlineLevel="0" collapsed="false">
      <c r="G523" s="1" t="str">
        <f aca="false">IF(C523="","",INDEX(Akaun!$F$5:$F$150,MATCH(C523,Akaun!$A$5:$A$150,0)))</f>
        <v/>
      </c>
      <c r="H523" s="1" t="str">
        <f aca="false">IF(C523="","",INDEX(Akaun!$D$5:$D$150,MATCH(C523,Akaun!$A$5:$A$150,0)))</f>
        <v/>
      </c>
    </row>
    <row r="524" customFormat="false" ht="15.75" hidden="false" customHeight="true" outlineLevel="0" collapsed="false">
      <c r="G524" s="1" t="str">
        <f aca="false">IF(C524="","",INDEX(Akaun!$F$5:$F$150,MATCH(C524,Akaun!$A$5:$A$150,0)))</f>
        <v/>
      </c>
      <c r="H524" s="1" t="str">
        <f aca="false">IF(C524="","",INDEX(Akaun!$D$5:$D$150,MATCH(C524,Akaun!$A$5:$A$150,0)))</f>
        <v/>
      </c>
    </row>
    <row r="525" customFormat="false" ht="15.75" hidden="false" customHeight="true" outlineLevel="0" collapsed="false">
      <c r="G525" s="1" t="str">
        <f aca="false">IF(C525="","",INDEX(Akaun!$F$5:$F$150,MATCH(C525,Akaun!$A$5:$A$150,0)))</f>
        <v/>
      </c>
      <c r="H525" s="1" t="str">
        <f aca="false">IF(C525="","",INDEX(Akaun!$D$5:$D$150,MATCH(C525,Akaun!$A$5:$A$150,0)))</f>
        <v/>
      </c>
    </row>
    <row r="526" customFormat="false" ht="15.75" hidden="false" customHeight="true" outlineLevel="0" collapsed="false">
      <c r="G526" s="1" t="str">
        <f aca="false">IF(C526="","",INDEX(Akaun!$F$5:$F$150,MATCH(C526,Akaun!$A$5:$A$150,0)))</f>
        <v/>
      </c>
      <c r="H526" s="1" t="str">
        <f aca="false">IF(C526="","",INDEX(Akaun!$D$5:$D$150,MATCH(C526,Akaun!$A$5:$A$150,0)))</f>
        <v/>
      </c>
    </row>
    <row r="527" customFormat="false" ht="15.75" hidden="false" customHeight="true" outlineLevel="0" collapsed="false">
      <c r="G527" s="1" t="str">
        <f aca="false">IF(C527="","",INDEX(Akaun!$F$5:$F$150,MATCH(C527,Akaun!$A$5:$A$150,0)))</f>
        <v/>
      </c>
      <c r="H527" s="1" t="str">
        <f aca="false">IF(C527="","",INDEX(Akaun!$D$5:$D$150,MATCH(C527,Akaun!$A$5:$A$150,0)))</f>
        <v/>
      </c>
    </row>
    <row r="528" customFormat="false" ht="15.75" hidden="false" customHeight="true" outlineLevel="0" collapsed="false">
      <c r="G528" s="1" t="str">
        <f aca="false">IF(C528="","",INDEX(Akaun!$F$5:$F$150,MATCH(C528,Akaun!$A$5:$A$150,0)))</f>
        <v/>
      </c>
      <c r="H528" s="1" t="str">
        <f aca="false">IF(C528="","",INDEX(Akaun!$D$5:$D$150,MATCH(C528,Akaun!$A$5:$A$150,0)))</f>
        <v/>
      </c>
    </row>
    <row r="529" customFormat="false" ht="15.75" hidden="false" customHeight="true" outlineLevel="0" collapsed="false">
      <c r="G529" s="1" t="str">
        <f aca="false">IF(C529="","",INDEX(Akaun!$F$5:$F$150,MATCH(C529,Akaun!$A$5:$A$150,0)))</f>
        <v/>
      </c>
      <c r="H529" s="1" t="str">
        <f aca="false">IF(C529="","",INDEX(Akaun!$D$5:$D$150,MATCH(C529,Akaun!$A$5:$A$150,0)))</f>
        <v/>
      </c>
    </row>
    <row r="530" customFormat="false" ht="15.75" hidden="false" customHeight="true" outlineLevel="0" collapsed="false">
      <c r="G530" s="1" t="str">
        <f aca="false">IF(C530="","",INDEX(Akaun!$F$5:$F$150,MATCH(C530,Akaun!$A$5:$A$150,0)))</f>
        <v/>
      </c>
      <c r="H530" s="1" t="str">
        <f aca="false">IF(C530="","",INDEX(Akaun!$D$5:$D$150,MATCH(C530,Akaun!$A$5:$A$150,0)))</f>
        <v/>
      </c>
    </row>
    <row r="531" customFormat="false" ht="15.75" hidden="false" customHeight="true" outlineLevel="0" collapsed="false">
      <c r="G531" s="1" t="str">
        <f aca="false">IF(C531="","",INDEX(Akaun!$F$5:$F$150,MATCH(C531,Akaun!$A$5:$A$150,0)))</f>
        <v/>
      </c>
      <c r="H531" s="1" t="str">
        <f aca="false">IF(C531="","",INDEX(Akaun!$D$5:$D$150,MATCH(C531,Akaun!$A$5:$A$150,0)))</f>
        <v/>
      </c>
    </row>
    <row r="532" customFormat="false" ht="15.75" hidden="false" customHeight="true" outlineLevel="0" collapsed="false">
      <c r="G532" s="1" t="str">
        <f aca="false">IF(C532="","",INDEX(Akaun!$F$5:$F$150,MATCH(C532,Akaun!$A$5:$A$150,0)))</f>
        <v/>
      </c>
      <c r="H532" s="1" t="str">
        <f aca="false">IF(C532="","",INDEX(Akaun!$D$5:$D$150,MATCH(C532,Akaun!$A$5:$A$150,0)))</f>
        <v/>
      </c>
    </row>
    <row r="533" customFormat="false" ht="15.75" hidden="false" customHeight="true" outlineLevel="0" collapsed="false">
      <c r="G533" s="1" t="str">
        <f aca="false">IF(C533="","",INDEX(Akaun!$F$5:$F$150,MATCH(C533,Akaun!$A$5:$A$150,0)))</f>
        <v/>
      </c>
      <c r="H533" s="1" t="str">
        <f aca="false">IF(C533="","",INDEX(Akaun!$D$5:$D$150,MATCH(C533,Akaun!$A$5:$A$150,0)))</f>
        <v/>
      </c>
    </row>
    <row r="534" customFormat="false" ht="15.75" hidden="false" customHeight="true" outlineLevel="0" collapsed="false">
      <c r="G534" s="1" t="str">
        <f aca="false">IF(C534="","",INDEX(Akaun!$F$5:$F$150,MATCH(C534,Akaun!$A$5:$A$150,0)))</f>
        <v/>
      </c>
      <c r="H534" s="1" t="str">
        <f aca="false">IF(C534="","",INDEX(Akaun!$D$5:$D$150,MATCH(C534,Akaun!$A$5:$A$150,0)))</f>
        <v/>
      </c>
    </row>
    <row r="535" customFormat="false" ht="15.75" hidden="false" customHeight="true" outlineLevel="0" collapsed="false">
      <c r="G535" s="1" t="str">
        <f aca="false">IF(C535="","",INDEX(Akaun!$F$5:$F$150,MATCH(C535,Akaun!$A$5:$A$150,0)))</f>
        <v/>
      </c>
      <c r="H535" s="1" t="str">
        <f aca="false">IF(C535="","",INDEX(Akaun!$D$5:$D$150,MATCH(C535,Akaun!$A$5:$A$150,0)))</f>
        <v/>
      </c>
    </row>
    <row r="536" customFormat="false" ht="15.75" hidden="false" customHeight="true" outlineLevel="0" collapsed="false">
      <c r="G536" s="1" t="str">
        <f aca="false">IF(C536="","",INDEX(Akaun!$F$5:$F$150,MATCH(C536,Akaun!$A$5:$A$150,0)))</f>
        <v/>
      </c>
      <c r="H536" s="1" t="str">
        <f aca="false">IF(C536="","",INDEX(Akaun!$D$5:$D$150,MATCH(C536,Akaun!$A$5:$A$150,0)))</f>
        <v/>
      </c>
    </row>
    <row r="537" customFormat="false" ht="15.75" hidden="false" customHeight="true" outlineLevel="0" collapsed="false">
      <c r="G537" s="1" t="str">
        <f aca="false">IF(C537="","",INDEX(Akaun!$F$5:$F$150,MATCH(C537,Akaun!$A$5:$A$150,0)))</f>
        <v/>
      </c>
      <c r="H537" s="1" t="str">
        <f aca="false">IF(C537="","",INDEX(Akaun!$D$5:$D$150,MATCH(C537,Akaun!$A$5:$A$150,0)))</f>
        <v/>
      </c>
    </row>
    <row r="538" customFormat="false" ht="15.75" hidden="false" customHeight="true" outlineLevel="0" collapsed="false">
      <c r="G538" s="1" t="str">
        <f aca="false">IF(C538="","",INDEX(Akaun!$F$5:$F$150,MATCH(C538,Akaun!$A$5:$A$150,0)))</f>
        <v/>
      </c>
      <c r="H538" s="1" t="str">
        <f aca="false">IF(C538="","",INDEX(Akaun!$D$5:$D$150,MATCH(C538,Akaun!$A$5:$A$150,0)))</f>
        <v/>
      </c>
    </row>
    <row r="539" customFormat="false" ht="15.75" hidden="false" customHeight="true" outlineLevel="0" collapsed="false">
      <c r="G539" s="1" t="str">
        <f aca="false">IF(C539="","",INDEX(Akaun!$F$5:$F$150,MATCH(C539,Akaun!$A$5:$A$150,0)))</f>
        <v/>
      </c>
      <c r="H539" s="1" t="str">
        <f aca="false">IF(C539="","",INDEX(Akaun!$D$5:$D$150,MATCH(C539,Akaun!$A$5:$A$150,0)))</f>
        <v/>
      </c>
    </row>
    <row r="540" customFormat="false" ht="15.75" hidden="false" customHeight="true" outlineLevel="0" collapsed="false">
      <c r="G540" s="1" t="str">
        <f aca="false">IF(C540="","",INDEX(Akaun!$F$5:$F$150,MATCH(C540,Akaun!$A$5:$A$150,0)))</f>
        <v/>
      </c>
      <c r="H540" s="1" t="str">
        <f aca="false">IF(C540="","",INDEX(Akaun!$D$5:$D$150,MATCH(C540,Akaun!$A$5:$A$150,0)))</f>
        <v/>
      </c>
    </row>
    <row r="541" customFormat="false" ht="15.75" hidden="false" customHeight="true" outlineLevel="0" collapsed="false">
      <c r="G541" s="1" t="str">
        <f aca="false">IF(C541="","",INDEX(Akaun!$F$5:$F$150,MATCH(C541,Akaun!$A$5:$A$150,0)))</f>
        <v/>
      </c>
      <c r="H541" s="1" t="str">
        <f aca="false">IF(C541="","",INDEX(Akaun!$D$5:$D$150,MATCH(C541,Akaun!$A$5:$A$150,0)))</f>
        <v/>
      </c>
    </row>
    <row r="542" customFormat="false" ht="15.75" hidden="false" customHeight="true" outlineLevel="0" collapsed="false">
      <c r="G542" s="1" t="str">
        <f aca="false">IF(C542="","",INDEX(Akaun!$F$5:$F$150,MATCH(C542,Akaun!$A$5:$A$150,0)))</f>
        <v/>
      </c>
      <c r="H542" s="1" t="str">
        <f aca="false">IF(C542="","",INDEX(Akaun!$D$5:$D$150,MATCH(C542,Akaun!$A$5:$A$150,0)))</f>
        <v/>
      </c>
    </row>
    <row r="543" customFormat="false" ht="15.75" hidden="false" customHeight="true" outlineLevel="0" collapsed="false">
      <c r="G543" s="1" t="str">
        <f aca="false">IF(C543="","",INDEX(Akaun!$F$5:$F$150,MATCH(C543,Akaun!$A$5:$A$150,0)))</f>
        <v/>
      </c>
      <c r="H543" s="1" t="str">
        <f aca="false">IF(C543="","",INDEX(Akaun!$D$5:$D$150,MATCH(C543,Akaun!$A$5:$A$150,0)))</f>
        <v/>
      </c>
    </row>
    <row r="544" customFormat="false" ht="15.75" hidden="false" customHeight="true" outlineLevel="0" collapsed="false">
      <c r="G544" s="1" t="str">
        <f aca="false">IF(C544="","",INDEX(Akaun!$F$5:$F$150,MATCH(C544,Akaun!$A$5:$A$150,0)))</f>
        <v/>
      </c>
      <c r="H544" s="1" t="str">
        <f aca="false">IF(C544="","",INDEX(Akaun!$D$5:$D$150,MATCH(C544,Akaun!$A$5:$A$150,0)))</f>
        <v/>
      </c>
    </row>
    <row r="545" customFormat="false" ht="15.75" hidden="false" customHeight="true" outlineLevel="0" collapsed="false">
      <c r="G545" s="1" t="str">
        <f aca="false">IF(C545="","",INDEX(Akaun!$F$5:$F$150,MATCH(C545,Akaun!$A$5:$A$150,0)))</f>
        <v/>
      </c>
      <c r="H545" s="1" t="str">
        <f aca="false">IF(C545="","",INDEX(Akaun!$D$5:$D$150,MATCH(C545,Akaun!$A$5:$A$150,0)))</f>
        <v/>
      </c>
    </row>
    <row r="546" customFormat="false" ht="15.75" hidden="false" customHeight="true" outlineLevel="0" collapsed="false">
      <c r="G546" s="1" t="str">
        <f aca="false">IF(C546="","",INDEX(Akaun!$F$5:$F$150,MATCH(C546,Akaun!$A$5:$A$150,0)))</f>
        <v/>
      </c>
      <c r="H546" s="1" t="str">
        <f aca="false">IF(C546="","",INDEX(Akaun!$D$5:$D$150,MATCH(C546,Akaun!$A$5:$A$150,0)))</f>
        <v/>
      </c>
    </row>
    <row r="547" customFormat="false" ht="15.75" hidden="false" customHeight="true" outlineLevel="0" collapsed="false">
      <c r="G547" s="1" t="str">
        <f aca="false">IF(C547="","",INDEX(Akaun!$F$5:$F$150,MATCH(C547,Akaun!$A$5:$A$150,0)))</f>
        <v/>
      </c>
      <c r="H547" s="1" t="str">
        <f aca="false">IF(C547="","",INDEX(Akaun!$D$5:$D$150,MATCH(C547,Akaun!$A$5:$A$150,0)))</f>
        <v/>
      </c>
    </row>
    <row r="548" customFormat="false" ht="15.75" hidden="false" customHeight="true" outlineLevel="0" collapsed="false">
      <c r="G548" s="1" t="str">
        <f aca="false">IF(C548="","",INDEX(Akaun!$F$5:$F$150,MATCH(C548,Akaun!$A$5:$A$150,0)))</f>
        <v/>
      </c>
      <c r="H548" s="1" t="str">
        <f aca="false">IF(C548="","",INDEX(Akaun!$D$5:$D$150,MATCH(C548,Akaun!$A$5:$A$150,0)))</f>
        <v/>
      </c>
    </row>
    <row r="549" customFormat="false" ht="15.75" hidden="false" customHeight="true" outlineLevel="0" collapsed="false">
      <c r="G549" s="1" t="str">
        <f aca="false">IF(C549="","",INDEX(Akaun!$F$5:$F$150,MATCH(C549,Akaun!$A$5:$A$150,0)))</f>
        <v/>
      </c>
      <c r="H549" s="1" t="str">
        <f aca="false">IF(C549="","",INDEX(Akaun!$D$5:$D$150,MATCH(C549,Akaun!$A$5:$A$150,0)))</f>
        <v/>
      </c>
    </row>
    <row r="550" customFormat="false" ht="15.75" hidden="false" customHeight="true" outlineLevel="0" collapsed="false">
      <c r="G550" s="1" t="str">
        <f aca="false">IF(C550="","",INDEX(Akaun!$F$5:$F$150,MATCH(C550,Akaun!$A$5:$A$150,0)))</f>
        <v/>
      </c>
      <c r="H550" s="1" t="str">
        <f aca="false">IF(C550="","",INDEX(Akaun!$D$5:$D$150,MATCH(C550,Akaun!$A$5:$A$150,0)))</f>
        <v/>
      </c>
    </row>
    <row r="551" customFormat="false" ht="15.75" hidden="false" customHeight="true" outlineLevel="0" collapsed="false">
      <c r="G551" s="1" t="str">
        <f aca="false">IF(C551="","",INDEX(Akaun!$F$5:$F$150,MATCH(C551,Akaun!$A$5:$A$150,0)))</f>
        <v/>
      </c>
      <c r="H551" s="1" t="str">
        <f aca="false">IF(C551="","",INDEX(Akaun!$D$5:$D$150,MATCH(C551,Akaun!$A$5:$A$150,0)))</f>
        <v/>
      </c>
    </row>
    <row r="552" customFormat="false" ht="15.75" hidden="false" customHeight="true" outlineLevel="0" collapsed="false">
      <c r="G552" s="1" t="str">
        <f aca="false">IF(C552="","",INDEX(Akaun!$F$5:$F$150,MATCH(C552,Akaun!$A$5:$A$150,0)))</f>
        <v/>
      </c>
      <c r="H552" s="1" t="str">
        <f aca="false">IF(C552="","",INDEX(Akaun!$D$5:$D$150,MATCH(C552,Akaun!$A$5:$A$150,0)))</f>
        <v/>
      </c>
    </row>
    <row r="553" customFormat="false" ht="15.75" hidden="false" customHeight="true" outlineLevel="0" collapsed="false">
      <c r="G553" s="1" t="str">
        <f aca="false">IF(C553="","",INDEX(Akaun!$F$5:$F$150,MATCH(C553,Akaun!$A$5:$A$150,0)))</f>
        <v/>
      </c>
      <c r="H553" s="1" t="str">
        <f aca="false">IF(C553="","",INDEX(Akaun!$D$5:$D$150,MATCH(C553,Akaun!$A$5:$A$150,0)))</f>
        <v/>
      </c>
    </row>
    <row r="554" customFormat="false" ht="15.75" hidden="false" customHeight="true" outlineLevel="0" collapsed="false">
      <c r="G554" s="1" t="str">
        <f aca="false">IF(C554="","",INDEX(Akaun!$F$5:$F$150,MATCH(C554,Akaun!$A$5:$A$150,0)))</f>
        <v/>
      </c>
      <c r="H554" s="1" t="str">
        <f aca="false">IF(C554="","",INDEX(Akaun!$D$5:$D$150,MATCH(C554,Akaun!$A$5:$A$150,0)))</f>
        <v/>
      </c>
    </row>
    <row r="555" customFormat="false" ht="15.75" hidden="false" customHeight="true" outlineLevel="0" collapsed="false">
      <c r="G555" s="1" t="str">
        <f aca="false">IF(C555="","",INDEX(Akaun!$F$5:$F$150,MATCH(C555,Akaun!$A$5:$A$150,0)))</f>
        <v/>
      </c>
      <c r="H555" s="1" t="str">
        <f aca="false">IF(C555="","",INDEX(Akaun!$D$5:$D$150,MATCH(C555,Akaun!$A$5:$A$150,0)))</f>
        <v/>
      </c>
    </row>
    <row r="556" customFormat="false" ht="15.75" hidden="false" customHeight="true" outlineLevel="0" collapsed="false">
      <c r="G556" s="1" t="str">
        <f aca="false">IF(C556="","",INDEX(Akaun!$F$5:$F$150,MATCH(C556,Akaun!$A$5:$A$150,0)))</f>
        <v/>
      </c>
      <c r="H556" s="1" t="str">
        <f aca="false">IF(C556="","",INDEX(Akaun!$D$5:$D$150,MATCH(C556,Akaun!$A$5:$A$150,0)))</f>
        <v/>
      </c>
    </row>
    <row r="557" customFormat="false" ht="15.75" hidden="false" customHeight="true" outlineLevel="0" collapsed="false">
      <c r="G557" s="1" t="str">
        <f aca="false">IF(C557="","",INDEX(Akaun!$F$5:$F$150,MATCH(C557,Akaun!$A$5:$A$150,0)))</f>
        <v/>
      </c>
      <c r="H557" s="1" t="str">
        <f aca="false">IF(C557="","",INDEX(Akaun!$D$5:$D$150,MATCH(C557,Akaun!$A$5:$A$150,0)))</f>
        <v/>
      </c>
    </row>
    <row r="558" customFormat="false" ht="15.75" hidden="false" customHeight="true" outlineLevel="0" collapsed="false">
      <c r="G558" s="1" t="str">
        <f aca="false">IF(C558="","",INDEX(Akaun!$F$5:$F$150,MATCH(C558,Akaun!$A$5:$A$150,0)))</f>
        <v/>
      </c>
      <c r="H558" s="1" t="str">
        <f aca="false">IF(C558="","",INDEX(Akaun!$D$5:$D$150,MATCH(C558,Akaun!$A$5:$A$150,0)))</f>
        <v/>
      </c>
    </row>
    <row r="559" customFormat="false" ht="15.75" hidden="false" customHeight="true" outlineLevel="0" collapsed="false">
      <c r="G559" s="1" t="str">
        <f aca="false">IF(C559="","",INDEX(Akaun!$F$5:$F$150,MATCH(C559,Akaun!$A$5:$A$150,0)))</f>
        <v/>
      </c>
      <c r="H559" s="1" t="str">
        <f aca="false">IF(C559="","",INDEX(Akaun!$D$5:$D$150,MATCH(C559,Akaun!$A$5:$A$150,0)))</f>
        <v/>
      </c>
    </row>
    <row r="560" customFormat="false" ht="15.75" hidden="false" customHeight="true" outlineLevel="0" collapsed="false">
      <c r="G560" s="1" t="str">
        <f aca="false">IF(C560="","",INDEX(Akaun!$F$5:$F$150,MATCH(C560,Akaun!$A$5:$A$150,0)))</f>
        <v/>
      </c>
      <c r="H560" s="1" t="str">
        <f aca="false">IF(C560="","",INDEX(Akaun!$D$5:$D$150,MATCH(C560,Akaun!$A$5:$A$150,0)))</f>
        <v/>
      </c>
    </row>
    <row r="561" customFormat="false" ht="15.75" hidden="false" customHeight="true" outlineLevel="0" collapsed="false">
      <c r="G561" s="1" t="str">
        <f aca="false">IF(C561="","",INDEX(Akaun!$F$5:$F$150,MATCH(C561,Akaun!$A$5:$A$150,0)))</f>
        <v/>
      </c>
      <c r="H561" s="1" t="str">
        <f aca="false">IF(C561="","",INDEX(Akaun!$D$5:$D$150,MATCH(C561,Akaun!$A$5:$A$150,0)))</f>
        <v/>
      </c>
    </row>
    <row r="562" customFormat="false" ht="15.75" hidden="false" customHeight="true" outlineLevel="0" collapsed="false">
      <c r="G562" s="1" t="str">
        <f aca="false">IF(C562="","",INDEX(Akaun!$F$5:$F$150,MATCH(C562,Akaun!$A$5:$A$150,0)))</f>
        <v/>
      </c>
      <c r="H562" s="1" t="str">
        <f aca="false">IF(C562="","",INDEX(Akaun!$D$5:$D$150,MATCH(C562,Akaun!$A$5:$A$150,0)))</f>
        <v/>
      </c>
    </row>
    <row r="563" customFormat="false" ht="15.75" hidden="false" customHeight="true" outlineLevel="0" collapsed="false">
      <c r="G563" s="1" t="str">
        <f aca="false">IF(C563="","",INDEX(Akaun!$F$5:$F$150,MATCH(C563,Akaun!$A$5:$A$150,0)))</f>
        <v/>
      </c>
      <c r="H563" s="1" t="str">
        <f aca="false">IF(C563="","",INDEX(Akaun!$D$5:$D$150,MATCH(C563,Akaun!$A$5:$A$150,0)))</f>
        <v/>
      </c>
    </row>
    <row r="564" customFormat="false" ht="15.75" hidden="false" customHeight="true" outlineLevel="0" collapsed="false">
      <c r="G564" s="1" t="str">
        <f aca="false">IF(C564="","",INDEX(Akaun!$F$5:$F$150,MATCH(C564,Akaun!$A$5:$A$150,0)))</f>
        <v/>
      </c>
      <c r="H564" s="1" t="str">
        <f aca="false">IF(C564="","",INDEX(Akaun!$D$5:$D$150,MATCH(C564,Akaun!$A$5:$A$150,0)))</f>
        <v/>
      </c>
    </row>
    <row r="565" customFormat="false" ht="15.75" hidden="false" customHeight="true" outlineLevel="0" collapsed="false">
      <c r="G565" s="1" t="str">
        <f aca="false">IF(C565="","",INDEX(Akaun!$F$5:$F$150,MATCH(C565,Akaun!$A$5:$A$150,0)))</f>
        <v/>
      </c>
      <c r="H565" s="1" t="str">
        <f aca="false">IF(C565="","",INDEX(Akaun!$D$5:$D$150,MATCH(C565,Akaun!$A$5:$A$150,0)))</f>
        <v/>
      </c>
    </row>
    <row r="566" customFormat="false" ht="15.75" hidden="false" customHeight="true" outlineLevel="0" collapsed="false">
      <c r="G566" s="1" t="str">
        <f aca="false">IF(C566="","",INDEX(Akaun!$F$5:$F$150,MATCH(C566,Akaun!$A$5:$A$150,0)))</f>
        <v/>
      </c>
      <c r="H566" s="1" t="str">
        <f aca="false">IF(C566="","",INDEX(Akaun!$D$5:$D$150,MATCH(C566,Akaun!$A$5:$A$150,0)))</f>
        <v/>
      </c>
    </row>
    <row r="567" customFormat="false" ht="15.75" hidden="false" customHeight="true" outlineLevel="0" collapsed="false">
      <c r="G567" s="1" t="str">
        <f aca="false">IF(C567="","",INDEX(Akaun!$F$5:$F$150,MATCH(C567,Akaun!$A$5:$A$150,0)))</f>
        <v/>
      </c>
      <c r="H567" s="1" t="str">
        <f aca="false">IF(C567="","",INDEX(Akaun!$D$5:$D$150,MATCH(C567,Akaun!$A$5:$A$150,0)))</f>
        <v/>
      </c>
    </row>
    <row r="568" customFormat="false" ht="15.75" hidden="false" customHeight="true" outlineLevel="0" collapsed="false">
      <c r="G568" s="1" t="str">
        <f aca="false">IF(C568="","",INDEX(Akaun!$F$5:$F$150,MATCH(C568,Akaun!$A$5:$A$150,0)))</f>
        <v/>
      </c>
      <c r="H568" s="1" t="str">
        <f aca="false">IF(C568="","",INDEX(Akaun!$D$5:$D$150,MATCH(C568,Akaun!$A$5:$A$150,0)))</f>
        <v/>
      </c>
    </row>
    <row r="569" customFormat="false" ht="15.75" hidden="false" customHeight="true" outlineLevel="0" collapsed="false">
      <c r="G569" s="1" t="str">
        <f aca="false">IF(C569="","",INDEX(Akaun!$F$5:$F$150,MATCH(C569,Akaun!$A$5:$A$150,0)))</f>
        <v/>
      </c>
      <c r="H569" s="1" t="str">
        <f aca="false">IF(C569="","",INDEX(Akaun!$D$5:$D$150,MATCH(C569,Akaun!$A$5:$A$150,0)))</f>
        <v/>
      </c>
    </row>
    <row r="570" customFormat="false" ht="15.75" hidden="false" customHeight="true" outlineLevel="0" collapsed="false">
      <c r="G570" s="1" t="str">
        <f aca="false">IF(C570="","",INDEX(Akaun!$F$5:$F$150,MATCH(C570,Akaun!$A$5:$A$150,0)))</f>
        <v/>
      </c>
      <c r="H570" s="1" t="str">
        <f aca="false">IF(C570="","",INDEX(Akaun!$D$5:$D$150,MATCH(C570,Akaun!$A$5:$A$150,0)))</f>
        <v/>
      </c>
    </row>
    <row r="571" customFormat="false" ht="15.75" hidden="false" customHeight="true" outlineLevel="0" collapsed="false">
      <c r="G571" s="1" t="str">
        <f aca="false">IF(C571="","",INDEX(Akaun!$F$5:$F$150,MATCH(C571,Akaun!$A$5:$A$150,0)))</f>
        <v/>
      </c>
      <c r="H571" s="1" t="str">
        <f aca="false">IF(C571="","",INDEX(Akaun!$D$5:$D$150,MATCH(C571,Akaun!$A$5:$A$150,0)))</f>
        <v/>
      </c>
    </row>
    <row r="572" customFormat="false" ht="15.75" hidden="false" customHeight="true" outlineLevel="0" collapsed="false">
      <c r="G572" s="1" t="str">
        <f aca="false">IF(C572="","",INDEX(Akaun!$F$5:$F$150,MATCH(C572,Akaun!$A$5:$A$150,0)))</f>
        <v/>
      </c>
      <c r="H572" s="1" t="str">
        <f aca="false">IF(C572="","",INDEX(Akaun!$D$5:$D$150,MATCH(C572,Akaun!$A$5:$A$150,0)))</f>
        <v/>
      </c>
    </row>
    <row r="573" customFormat="false" ht="15.75" hidden="false" customHeight="true" outlineLevel="0" collapsed="false">
      <c r="G573" s="1" t="str">
        <f aca="false">IF(C573="","",INDEX(Akaun!$F$5:$F$150,MATCH(C573,Akaun!$A$5:$A$150,0)))</f>
        <v/>
      </c>
      <c r="H573" s="1" t="str">
        <f aca="false">IF(C573="","",INDEX(Akaun!$D$5:$D$150,MATCH(C573,Akaun!$A$5:$A$150,0)))</f>
        <v/>
      </c>
    </row>
    <row r="574" customFormat="false" ht="15.75" hidden="false" customHeight="true" outlineLevel="0" collapsed="false">
      <c r="G574" s="1" t="str">
        <f aca="false">IF(C574="","",INDEX(Akaun!$F$5:$F$150,MATCH(C574,Akaun!$A$5:$A$150,0)))</f>
        <v/>
      </c>
      <c r="H574" s="1" t="str">
        <f aca="false">IF(C574="","",INDEX(Akaun!$D$5:$D$150,MATCH(C574,Akaun!$A$5:$A$150,0)))</f>
        <v/>
      </c>
    </row>
    <row r="575" customFormat="false" ht="15.75" hidden="false" customHeight="true" outlineLevel="0" collapsed="false">
      <c r="G575" s="1" t="str">
        <f aca="false">IF(C575="","",INDEX(Akaun!$F$5:$F$150,MATCH(C575,Akaun!$A$5:$A$150,0)))</f>
        <v/>
      </c>
      <c r="H575" s="1" t="str">
        <f aca="false">IF(C575="","",INDEX(Akaun!$D$5:$D$150,MATCH(C575,Akaun!$A$5:$A$150,0)))</f>
        <v/>
      </c>
    </row>
    <row r="576" customFormat="false" ht="15.75" hidden="false" customHeight="true" outlineLevel="0" collapsed="false">
      <c r="G576" s="1" t="str">
        <f aca="false">IF(C576="","",INDEX(Akaun!$F$5:$F$150,MATCH(C576,Akaun!$A$5:$A$150,0)))</f>
        <v/>
      </c>
      <c r="H576" s="1" t="str">
        <f aca="false">IF(C576="","",INDEX(Akaun!$D$5:$D$150,MATCH(C576,Akaun!$A$5:$A$150,0)))</f>
        <v/>
      </c>
    </row>
    <row r="577" customFormat="false" ht="15.75" hidden="false" customHeight="true" outlineLevel="0" collapsed="false">
      <c r="G577" s="1" t="str">
        <f aca="false">IF(C577="","",INDEX(Akaun!$F$5:$F$150,MATCH(C577,Akaun!$A$5:$A$150,0)))</f>
        <v/>
      </c>
      <c r="H577" s="1" t="str">
        <f aca="false">IF(C577="","",INDEX(Akaun!$D$5:$D$150,MATCH(C577,Akaun!$A$5:$A$150,0)))</f>
        <v/>
      </c>
    </row>
    <row r="578" customFormat="false" ht="15.75" hidden="false" customHeight="true" outlineLevel="0" collapsed="false">
      <c r="G578" s="1" t="str">
        <f aca="false">IF(C578="","",INDEX(Akaun!$F$5:$F$150,MATCH(C578,Akaun!$A$5:$A$150,0)))</f>
        <v/>
      </c>
      <c r="H578" s="1" t="str">
        <f aca="false">IF(C578="","",INDEX(Akaun!$D$5:$D$150,MATCH(C578,Akaun!$A$5:$A$150,0)))</f>
        <v/>
      </c>
    </row>
    <row r="579" customFormat="false" ht="15.75" hidden="false" customHeight="true" outlineLevel="0" collapsed="false">
      <c r="G579" s="1" t="str">
        <f aca="false">IF(C579="","",INDEX(Akaun!$F$5:$F$150,MATCH(C579,Akaun!$A$5:$A$150,0)))</f>
        <v/>
      </c>
      <c r="H579" s="1" t="str">
        <f aca="false">IF(C579="","",INDEX(Akaun!$D$5:$D$150,MATCH(C579,Akaun!$A$5:$A$150,0)))</f>
        <v/>
      </c>
    </row>
    <row r="580" customFormat="false" ht="15.75" hidden="false" customHeight="true" outlineLevel="0" collapsed="false">
      <c r="G580" s="1" t="str">
        <f aca="false">IF(C580="","",INDEX(Akaun!$F$5:$F$150,MATCH(C580,Akaun!$A$5:$A$150,0)))</f>
        <v/>
      </c>
      <c r="H580" s="1" t="str">
        <f aca="false">IF(C580="","",INDEX(Akaun!$D$5:$D$150,MATCH(C580,Akaun!$A$5:$A$150,0)))</f>
        <v/>
      </c>
    </row>
    <row r="581" customFormat="false" ht="15.75" hidden="false" customHeight="true" outlineLevel="0" collapsed="false">
      <c r="G581" s="1" t="str">
        <f aca="false">IF(C581="","",INDEX(Akaun!$F$5:$F$150,MATCH(C581,Akaun!$A$5:$A$150,0)))</f>
        <v/>
      </c>
      <c r="H581" s="1" t="str">
        <f aca="false">IF(C581="","",INDEX(Akaun!$D$5:$D$150,MATCH(C581,Akaun!$A$5:$A$150,0)))</f>
        <v/>
      </c>
    </row>
    <row r="582" customFormat="false" ht="15.75" hidden="false" customHeight="true" outlineLevel="0" collapsed="false">
      <c r="G582" s="1" t="str">
        <f aca="false">IF(C582="","",INDEX(Akaun!$F$5:$F$150,MATCH(C582,Akaun!$A$5:$A$150,0)))</f>
        <v/>
      </c>
      <c r="H582" s="1" t="str">
        <f aca="false">IF(C582="","",INDEX(Akaun!$D$5:$D$150,MATCH(C582,Akaun!$A$5:$A$150,0)))</f>
        <v/>
      </c>
    </row>
    <row r="583" customFormat="false" ht="15.75" hidden="false" customHeight="true" outlineLevel="0" collapsed="false">
      <c r="G583" s="1" t="str">
        <f aca="false">IF(C583="","",INDEX(Akaun!$F$5:$F$150,MATCH(C583,Akaun!$A$5:$A$150,0)))</f>
        <v/>
      </c>
      <c r="H583" s="1" t="str">
        <f aca="false">IF(C583="","",INDEX(Akaun!$D$5:$D$150,MATCH(C583,Akaun!$A$5:$A$150,0)))</f>
        <v/>
      </c>
    </row>
    <row r="584" customFormat="false" ht="15.75" hidden="false" customHeight="true" outlineLevel="0" collapsed="false">
      <c r="G584" s="1" t="str">
        <f aca="false">IF(C584="","",INDEX(Akaun!$F$5:$F$150,MATCH(C584,Akaun!$A$5:$A$150,0)))</f>
        <v/>
      </c>
      <c r="H584" s="1" t="str">
        <f aca="false">IF(C584="","",INDEX(Akaun!$D$5:$D$150,MATCH(C584,Akaun!$A$5:$A$150,0)))</f>
        <v/>
      </c>
    </row>
    <row r="585" customFormat="false" ht="15.75" hidden="false" customHeight="true" outlineLevel="0" collapsed="false">
      <c r="G585" s="1" t="str">
        <f aca="false">IF(C585="","",INDEX(Akaun!$F$5:$F$150,MATCH(C585,Akaun!$A$5:$A$150,0)))</f>
        <v/>
      </c>
      <c r="H585" s="1" t="str">
        <f aca="false">IF(C585="","",INDEX(Akaun!$D$5:$D$150,MATCH(C585,Akaun!$A$5:$A$150,0)))</f>
        <v/>
      </c>
    </row>
    <row r="586" customFormat="false" ht="15.75" hidden="false" customHeight="true" outlineLevel="0" collapsed="false">
      <c r="G586" s="1" t="str">
        <f aca="false">IF(C586="","",INDEX(Akaun!$F$5:$F$150,MATCH(C586,Akaun!$A$5:$A$150,0)))</f>
        <v/>
      </c>
      <c r="H586" s="1" t="str">
        <f aca="false">IF(C586="","",INDEX(Akaun!$D$5:$D$150,MATCH(C586,Akaun!$A$5:$A$150,0)))</f>
        <v/>
      </c>
    </row>
    <row r="587" customFormat="false" ht="15.75" hidden="false" customHeight="true" outlineLevel="0" collapsed="false">
      <c r="G587" s="1" t="str">
        <f aca="false">IF(C587="","",INDEX(Akaun!$F$5:$F$150,MATCH(C587,Akaun!$A$5:$A$150,0)))</f>
        <v/>
      </c>
      <c r="H587" s="1" t="str">
        <f aca="false">IF(C587="","",INDEX(Akaun!$D$5:$D$150,MATCH(C587,Akaun!$A$5:$A$150,0)))</f>
        <v/>
      </c>
    </row>
    <row r="588" customFormat="false" ht="15.75" hidden="false" customHeight="true" outlineLevel="0" collapsed="false">
      <c r="G588" s="1" t="str">
        <f aca="false">IF(C588="","",INDEX(Akaun!$F$5:$F$150,MATCH(C588,Akaun!$A$5:$A$150,0)))</f>
        <v/>
      </c>
      <c r="H588" s="1" t="str">
        <f aca="false">IF(C588="","",INDEX(Akaun!$D$5:$D$150,MATCH(C588,Akaun!$A$5:$A$150,0)))</f>
        <v/>
      </c>
    </row>
    <row r="589" customFormat="false" ht="15.75" hidden="false" customHeight="true" outlineLevel="0" collapsed="false">
      <c r="G589" s="1" t="str">
        <f aca="false">IF(C589="","",INDEX(Akaun!$F$5:$F$150,MATCH(C589,Akaun!$A$5:$A$150,0)))</f>
        <v/>
      </c>
      <c r="H589" s="1" t="str">
        <f aca="false">IF(C589="","",INDEX(Akaun!$D$5:$D$150,MATCH(C589,Akaun!$A$5:$A$150,0)))</f>
        <v/>
      </c>
    </row>
    <row r="590" customFormat="false" ht="15.75" hidden="false" customHeight="true" outlineLevel="0" collapsed="false">
      <c r="G590" s="1" t="str">
        <f aca="false">IF(C590="","",INDEX(Akaun!$F$5:$F$150,MATCH(C590,Akaun!$A$5:$A$150,0)))</f>
        <v/>
      </c>
      <c r="H590" s="1" t="str">
        <f aca="false">IF(C590="","",INDEX(Akaun!$D$5:$D$150,MATCH(C590,Akaun!$A$5:$A$150,0)))</f>
        <v/>
      </c>
    </row>
    <row r="591" customFormat="false" ht="15.75" hidden="false" customHeight="true" outlineLevel="0" collapsed="false">
      <c r="G591" s="1" t="str">
        <f aca="false">IF(C591="","",INDEX(Akaun!$F$5:$F$150,MATCH(C591,Akaun!$A$5:$A$150,0)))</f>
        <v/>
      </c>
      <c r="H591" s="1" t="str">
        <f aca="false">IF(C591="","",INDEX(Akaun!$D$5:$D$150,MATCH(C591,Akaun!$A$5:$A$150,0)))</f>
        <v/>
      </c>
    </row>
    <row r="592" customFormat="false" ht="15.75" hidden="false" customHeight="true" outlineLevel="0" collapsed="false">
      <c r="G592" s="1" t="str">
        <f aca="false">IF(C592="","",INDEX(Akaun!$F$5:$F$150,MATCH(C592,Akaun!$A$5:$A$150,0)))</f>
        <v/>
      </c>
      <c r="H592" s="1" t="str">
        <f aca="false">IF(C592="","",INDEX(Akaun!$D$5:$D$150,MATCH(C592,Akaun!$A$5:$A$150,0)))</f>
        <v/>
      </c>
    </row>
    <row r="593" customFormat="false" ht="15.75" hidden="false" customHeight="true" outlineLevel="0" collapsed="false">
      <c r="G593" s="1" t="str">
        <f aca="false">IF(C593="","",INDEX(Akaun!$F$5:$F$150,MATCH(C593,Akaun!$A$5:$A$150,0)))</f>
        <v/>
      </c>
      <c r="H593" s="1" t="str">
        <f aca="false">IF(C593="","",INDEX(Akaun!$D$5:$D$150,MATCH(C593,Akaun!$A$5:$A$150,0)))</f>
        <v/>
      </c>
    </row>
    <row r="594" customFormat="false" ht="15.75" hidden="false" customHeight="true" outlineLevel="0" collapsed="false">
      <c r="G594" s="1" t="str">
        <f aca="false">IF(C594="","",INDEX(Akaun!$F$5:$F$150,MATCH(C594,Akaun!$A$5:$A$150,0)))</f>
        <v/>
      </c>
      <c r="H594" s="1" t="str">
        <f aca="false">IF(C594="","",INDEX(Akaun!$D$5:$D$150,MATCH(C594,Akaun!$A$5:$A$150,0)))</f>
        <v/>
      </c>
    </row>
    <row r="595" customFormat="false" ht="15.75" hidden="false" customHeight="true" outlineLevel="0" collapsed="false">
      <c r="G595" s="1" t="str">
        <f aca="false">IF(C595="","",INDEX(Akaun!$F$5:$F$150,MATCH(C595,Akaun!$A$5:$A$150,0)))</f>
        <v/>
      </c>
      <c r="H595" s="1" t="str">
        <f aca="false">IF(C595="","",INDEX(Akaun!$D$5:$D$150,MATCH(C595,Akaun!$A$5:$A$150,0)))</f>
        <v/>
      </c>
    </row>
    <row r="596" customFormat="false" ht="15.75" hidden="false" customHeight="true" outlineLevel="0" collapsed="false">
      <c r="G596" s="1" t="str">
        <f aca="false">IF(C596="","",INDEX(Akaun!$F$5:$F$150,MATCH(C596,Akaun!$A$5:$A$150,0)))</f>
        <v/>
      </c>
      <c r="H596" s="1" t="str">
        <f aca="false">IF(C596="","",INDEX(Akaun!$D$5:$D$150,MATCH(C596,Akaun!$A$5:$A$150,0)))</f>
        <v/>
      </c>
    </row>
    <row r="597" customFormat="false" ht="15.75" hidden="false" customHeight="true" outlineLevel="0" collapsed="false">
      <c r="G597" s="1" t="str">
        <f aca="false">IF(C597="","",INDEX(Akaun!$F$5:$F$150,MATCH(C597,Akaun!$A$5:$A$150,0)))</f>
        <v/>
      </c>
      <c r="H597" s="1" t="str">
        <f aca="false">IF(C597="","",INDEX(Akaun!$D$5:$D$150,MATCH(C597,Akaun!$A$5:$A$150,0)))</f>
        <v/>
      </c>
    </row>
    <row r="598" customFormat="false" ht="15.75" hidden="false" customHeight="true" outlineLevel="0" collapsed="false">
      <c r="G598" s="1" t="str">
        <f aca="false">IF(C598="","",INDEX(Akaun!$F$5:$F$150,MATCH(C598,Akaun!$A$5:$A$150,0)))</f>
        <v/>
      </c>
      <c r="H598" s="1" t="str">
        <f aca="false">IF(C598="","",INDEX(Akaun!$D$5:$D$150,MATCH(C598,Akaun!$A$5:$A$150,0)))</f>
        <v/>
      </c>
    </row>
    <row r="599" customFormat="false" ht="15.75" hidden="false" customHeight="true" outlineLevel="0" collapsed="false">
      <c r="G599" s="1" t="str">
        <f aca="false">IF(C599="","",INDEX(Akaun!$F$5:$F$150,MATCH(C599,Akaun!$A$5:$A$150,0)))</f>
        <v/>
      </c>
      <c r="H599" s="1" t="str">
        <f aca="false">IF(C599="","",INDEX(Akaun!$D$5:$D$150,MATCH(C599,Akaun!$A$5:$A$150,0)))</f>
        <v/>
      </c>
    </row>
    <row r="600" customFormat="false" ht="15.75" hidden="false" customHeight="true" outlineLevel="0" collapsed="false">
      <c r="G600" s="1" t="str">
        <f aca="false">IF(C600="","",INDEX(Akaun!$F$5:$F$150,MATCH(C600,Akaun!$A$5:$A$150,0)))</f>
        <v/>
      </c>
      <c r="H600" s="1" t="str">
        <f aca="false">IF(C600="","",INDEX(Akaun!$D$5:$D$150,MATCH(C600,Akaun!$A$5:$A$150,0)))</f>
        <v/>
      </c>
    </row>
    <row r="601" customFormat="false" ht="15.75" hidden="false" customHeight="true" outlineLevel="0" collapsed="false">
      <c r="G601" s="1" t="str">
        <f aca="false">IF(C601="","",INDEX(Akaun!$F$5:$F$150,MATCH(C601,Akaun!$A$5:$A$150,0)))</f>
        <v/>
      </c>
      <c r="H601" s="1" t="str">
        <f aca="false">IF(C601="","",INDEX(Akaun!$D$5:$D$150,MATCH(C601,Akaun!$A$5:$A$150,0)))</f>
        <v/>
      </c>
    </row>
    <row r="602" customFormat="false" ht="15.75" hidden="false" customHeight="true" outlineLevel="0" collapsed="false">
      <c r="G602" s="1" t="str">
        <f aca="false">IF(C602="","",INDEX(Akaun!$F$5:$F$150,MATCH(C602,Akaun!$A$5:$A$150,0)))</f>
        <v/>
      </c>
      <c r="H602" s="1" t="str">
        <f aca="false">IF(C602="","",INDEX(Akaun!$D$5:$D$150,MATCH(C602,Akaun!$A$5:$A$150,0)))</f>
        <v/>
      </c>
    </row>
    <row r="603" customFormat="false" ht="15.75" hidden="false" customHeight="true" outlineLevel="0" collapsed="false">
      <c r="G603" s="1" t="str">
        <f aca="false">IF(C603="","",INDEX(Akaun!$F$5:$F$150,MATCH(C603,Akaun!$A$5:$A$150,0)))</f>
        <v/>
      </c>
      <c r="H603" s="1" t="str">
        <f aca="false">IF(C603="","",INDEX(Akaun!$D$5:$D$150,MATCH(C603,Akaun!$A$5:$A$150,0)))</f>
        <v/>
      </c>
    </row>
    <row r="604" customFormat="false" ht="15.75" hidden="false" customHeight="true" outlineLevel="0" collapsed="false">
      <c r="G604" s="1" t="str">
        <f aca="false">IF(C604="","",INDEX(Akaun!$F$5:$F$150,MATCH(C604,Akaun!$A$5:$A$150,0)))</f>
        <v/>
      </c>
      <c r="H604" s="1" t="str">
        <f aca="false">IF(C604="","",INDEX(Akaun!$D$5:$D$150,MATCH(C604,Akaun!$A$5:$A$150,0)))</f>
        <v/>
      </c>
    </row>
    <row r="605" customFormat="false" ht="15.75" hidden="false" customHeight="true" outlineLevel="0" collapsed="false">
      <c r="G605" s="1" t="str">
        <f aca="false">IF(C605="","",INDEX(Akaun!$F$5:$F$150,MATCH(C605,Akaun!$A$5:$A$150,0)))</f>
        <v/>
      </c>
      <c r="H605" s="1" t="str">
        <f aca="false">IF(C605="","",INDEX(Akaun!$D$5:$D$150,MATCH(C605,Akaun!$A$5:$A$150,0)))</f>
        <v/>
      </c>
    </row>
    <row r="606" customFormat="false" ht="15.75" hidden="false" customHeight="true" outlineLevel="0" collapsed="false">
      <c r="G606" s="1" t="str">
        <f aca="false">IF(C606="","",INDEX(Akaun!$F$5:$F$150,MATCH(C606,Akaun!$A$5:$A$150,0)))</f>
        <v/>
      </c>
      <c r="H606" s="1" t="str">
        <f aca="false">IF(C606="","",INDEX(Akaun!$D$5:$D$150,MATCH(C606,Akaun!$A$5:$A$150,0)))</f>
        <v/>
      </c>
    </row>
    <row r="607" customFormat="false" ht="15.75" hidden="false" customHeight="true" outlineLevel="0" collapsed="false">
      <c r="G607" s="1" t="str">
        <f aca="false">IF(C607="","",INDEX(Akaun!$F$5:$F$150,MATCH(C607,Akaun!$A$5:$A$150,0)))</f>
        <v/>
      </c>
      <c r="H607" s="1" t="str">
        <f aca="false">IF(C607="","",INDEX(Akaun!$D$5:$D$150,MATCH(C607,Akaun!$A$5:$A$150,0)))</f>
        <v/>
      </c>
    </row>
    <row r="608" customFormat="false" ht="15.75" hidden="false" customHeight="true" outlineLevel="0" collapsed="false">
      <c r="G608" s="1" t="str">
        <f aca="false">IF(C608="","",INDEX(Akaun!$F$5:$F$150,MATCH(C608,Akaun!$A$5:$A$150,0)))</f>
        <v/>
      </c>
      <c r="H608" s="1" t="str">
        <f aca="false">IF(C608="","",INDEX(Akaun!$D$5:$D$150,MATCH(C608,Akaun!$A$5:$A$150,0)))</f>
        <v/>
      </c>
    </row>
    <row r="609" customFormat="false" ht="15.75" hidden="false" customHeight="true" outlineLevel="0" collapsed="false">
      <c r="G609" s="1" t="str">
        <f aca="false">IF(C609="","",INDEX(Akaun!$F$5:$F$150,MATCH(C609,Akaun!$A$5:$A$150,0)))</f>
        <v/>
      </c>
      <c r="H609" s="1" t="str">
        <f aca="false">IF(C609="","",INDEX(Akaun!$D$5:$D$150,MATCH(C609,Akaun!$A$5:$A$150,0)))</f>
        <v/>
      </c>
    </row>
    <row r="610" customFormat="false" ht="15.75" hidden="false" customHeight="true" outlineLevel="0" collapsed="false">
      <c r="G610" s="1" t="str">
        <f aca="false">IF(C610="","",INDEX(Akaun!$F$5:$F$150,MATCH(C610,Akaun!$A$5:$A$150,0)))</f>
        <v/>
      </c>
      <c r="H610" s="1" t="str">
        <f aca="false">IF(C610="","",INDEX(Akaun!$D$5:$D$150,MATCH(C610,Akaun!$A$5:$A$150,0)))</f>
        <v/>
      </c>
    </row>
    <row r="611" customFormat="false" ht="15.75" hidden="false" customHeight="true" outlineLevel="0" collapsed="false">
      <c r="G611" s="1" t="str">
        <f aca="false">IF(C611="","",INDEX(Akaun!$F$5:$F$150,MATCH(C611,Akaun!$A$5:$A$150,0)))</f>
        <v/>
      </c>
      <c r="H611" s="1" t="str">
        <f aca="false">IF(C611="","",INDEX(Akaun!$D$5:$D$150,MATCH(C611,Akaun!$A$5:$A$150,0)))</f>
        <v/>
      </c>
    </row>
    <row r="612" customFormat="false" ht="15.75" hidden="false" customHeight="true" outlineLevel="0" collapsed="false">
      <c r="G612" s="1" t="str">
        <f aca="false">IF(C612="","",INDEX(Akaun!$F$5:$F$150,MATCH(C612,Akaun!$A$5:$A$150,0)))</f>
        <v/>
      </c>
      <c r="H612" s="1" t="str">
        <f aca="false">IF(C612="","",INDEX(Akaun!$D$5:$D$150,MATCH(C612,Akaun!$A$5:$A$150,0)))</f>
        <v/>
      </c>
    </row>
    <row r="613" customFormat="false" ht="15.75" hidden="false" customHeight="true" outlineLevel="0" collapsed="false">
      <c r="G613" s="1" t="str">
        <f aca="false">IF(C613="","",INDEX(Akaun!$F$5:$F$150,MATCH(C613,Akaun!$A$5:$A$150,0)))</f>
        <v/>
      </c>
      <c r="H613" s="1" t="str">
        <f aca="false">IF(C613="","",INDEX(Akaun!$D$5:$D$150,MATCH(C613,Akaun!$A$5:$A$150,0)))</f>
        <v/>
      </c>
    </row>
    <row r="614" customFormat="false" ht="15.75" hidden="false" customHeight="true" outlineLevel="0" collapsed="false">
      <c r="G614" s="1" t="str">
        <f aca="false">IF(C614="","",INDEX(Akaun!$F$5:$F$150,MATCH(C614,Akaun!$A$5:$A$150,0)))</f>
        <v/>
      </c>
      <c r="H614" s="1" t="str">
        <f aca="false">IF(C614="","",INDEX(Akaun!$D$5:$D$150,MATCH(C614,Akaun!$A$5:$A$150,0)))</f>
        <v/>
      </c>
    </row>
    <row r="615" customFormat="false" ht="15.75" hidden="false" customHeight="true" outlineLevel="0" collapsed="false">
      <c r="G615" s="1" t="str">
        <f aca="false">IF(C615="","",INDEX(Akaun!$F$5:$F$150,MATCH(C615,Akaun!$A$5:$A$150,0)))</f>
        <v/>
      </c>
      <c r="H615" s="1" t="str">
        <f aca="false">IF(C615="","",INDEX(Akaun!$D$5:$D$150,MATCH(C615,Akaun!$A$5:$A$150,0)))</f>
        <v/>
      </c>
    </row>
    <row r="616" customFormat="false" ht="15.75" hidden="false" customHeight="true" outlineLevel="0" collapsed="false">
      <c r="G616" s="1" t="str">
        <f aca="false">IF(C616="","",INDEX(Akaun!$F$5:$F$150,MATCH(C616,Akaun!$A$5:$A$150,0)))</f>
        <v/>
      </c>
      <c r="H616" s="1" t="str">
        <f aca="false">IF(C616="","",INDEX(Akaun!$D$5:$D$150,MATCH(C616,Akaun!$A$5:$A$150,0)))</f>
        <v/>
      </c>
    </row>
    <row r="617" customFormat="false" ht="15.75" hidden="false" customHeight="true" outlineLevel="0" collapsed="false">
      <c r="G617" s="1" t="str">
        <f aca="false">IF(C617="","",INDEX(Akaun!$F$5:$F$150,MATCH(C617,Akaun!$A$5:$A$150,0)))</f>
        <v/>
      </c>
      <c r="H617" s="1" t="str">
        <f aca="false">IF(C617="","",INDEX(Akaun!$D$5:$D$150,MATCH(C617,Akaun!$A$5:$A$150,0)))</f>
        <v/>
      </c>
    </row>
    <row r="618" customFormat="false" ht="15.75" hidden="false" customHeight="true" outlineLevel="0" collapsed="false">
      <c r="G618" s="1" t="str">
        <f aca="false">IF(C618="","",INDEX(Akaun!$F$5:$F$150,MATCH(C618,Akaun!$A$5:$A$150,0)))</f>
        <v/>
      </c>
      <c r="H618" s="1" t="str">
        <f aca="false">IF(C618="","",INDEX(Akaun!$D$5:$D$150,MATCH(C618,Akaun!$A$5:$A$150,0)))</f>
        <v/>
      </c>
    </row>
    <row r="619" customFormat="false" ht="15.75" hidden="false" customHeight="true" outlineLevel="0" collapsed="false">
      <c r="G619" s="1" t="str">
        <f aca="false">IF(C619="","",INDEX(Akaun!$F$5:$F$150,MATCH(C619,Akaun!$A$5:$A$150,0)))</f>
        <v/>
      </c>
      <c r="H619" s="1" t="str">
        <f aca="false">IF(C619="","",INDEX(Akaun!$D$5:$D$150,MATCH(C619,Akaun!$A$5:$A$150,0)))</f>
        <v/>
      </c>
    </row>
    <row r="620" customFormat="false" ht="15.75" hidden="false" customHeight="true" outlineLevel="0" collapsed="false">
      <c r="G620" s="1" t="str">
        <f aca="false">IF(C620="","",INDEX(Akaun!$F$5:$F$150,MATCH(C620,Akaun!$A$5:$A$150,0)))</f>
        <v/>
      </c>
      <c r="H620" s="1" t="str">
        <f aca="false">IF(C620="","",INDEX(Akaun!$D$5:$D$150,MATCH(C620,Akaun!$A$5:$A$150,0)))</f>
        <v/>
      </c>
    </row>
    <row r="621" customFormat="false" ht="15.75" hidden="false" customHeight="true" outlineLevel="0" collapsed="false">
      <c r="G621" s="1" t="str">
        <f aca="false">IF(C621="","",INDEX(Akaun!$F$5:$F$150,MATCH(C621,Akaun!$A$5:$A$150,0)))</f>
        <v/>
      </c>
      <c r="H621" s="1" t="str">
        <f aca="false">IF(C621="","",INDEX(Akaun!$D$5:$D$150,MATCH(C621,Akaun!$A$5:$A$150,0)))</f>
        <v/>
      </c>
    </row>
    <row r="622" customFormat="false" ht="15.75" hidden="false" customHeight="true" outlineLevel="0" collapsed="false">
      <c r="G622" s="1" t="str">
        <f aca="false">IF(C622="","",INDEX(Akaun!$F$5:$F$150,MATCH(C622,Akaun!$A$5:$A$150,0)))</f>
        <v/>
      </c>
      <c r="H622" s="1" t="str">
        <f aca="false">IF(C622="","",INDEX(Akaun!$D$5:$D$150,MATCH(C622,Akaun!$A$5:$A$150,0)))</f>
        <v/>
      </c>
    </row>
    <row r="623" customFormat="false" ht="15.75" hidden="false" customHeight="true" outlineLevel="0" collapsed="false">
      <c r="G623" s="1" t="str">
        <f aca="false">IF(C623="","",INDEX(Akaun!$F$5:$F$150,MATCH(C623,Akaun!$A$5:$A$150,0)))</f>
        <v/>
      </c>
      <c r="H623" s="1" t="str">
        <f aca="false">IF(C623="","",INDEX(Akaun!$D$5:$D$150,MATCH(C623,Akaun!$A$5:$A$150,0)))</f>
        <v/>
      </c>
    </row>
    <row r="624" customFormat="false" ht="15.75" hidden="false" customHeight="true" outlineLevel="0" collapsed="false">
      <c r="G624" s="1" t="str">
        <f aca="false">IF(C624="","",INDEX(Akaun!$F$5:$F$150,MATCH(C624,Akaun!$A$5:$A$150,0)))</f>
        <v/>
      </c>
      <c r="H624" s="1" t="str">
        <f aca="false">IF(C624="","",INDEX(Akaun!$D$5:$D$150,MATCH(C624,Akaun!$A$5:$A$150,0)))</f>
        <v/>
      </c>
    </row>
    <row r="625" customFormat="false" ht="15.75" hidden="false" customHeight="true" outlineLevel="0" collapsed="false">
      <c r="G625" s="1" t="str">
        <f aca="false">IF(C625="","",INDEX(Akaun!$F$5:$F$150,MATCH(C625,Akaun!$A$5:$A$150,0)))</f>
        <v/>
      </c>
      <c r="H625" s="1" t="str">
        <f aca="false">IF(C625="","",INDEX(Akaun!$D$5:$D$150,MATCH(C625,Akaun!$A$5:$A$150,0)))</f>
        <v/>
      </c>
    </row>
    <row r="626" customFormat="false" ht="15.75" hidden="false" customHeight="true" outlineLevel="0" collapsed="false">
      <c r="G626" s="1" t="str">
        <f aca="false">IF(C626="","",INDEX(Akaun!$F$5:$F$150,MATCH(C626,Akaun!$A$5:$A$150,0)))</f>
        <v/>
      </c>
      <c r="H626" s="1" t="str">
        <f aca="false">IF(C626="","",INDEX(Akaun!$D$5:$D$150,MATCH(C626,Akaun!$A$5:$A$150,0)))</f>
        <v/>
      </c>
    </row>
    <row r="627" customFormat="false" ht="15.75" hidden="false" customHeight="true" outlineLevel="0" collapsed="false">
      <c r="G627" s="1" t="str">
        <f aca="false">IF(C627="","",INDEX(Akaun!$F$5:$F$150,MATCH(C627,Akaun!$A$5:$A$150,0)))</f>
        <v/>
      </c>
      <c r="H627" s="1" t="str">
        <f aca="false">IF(C627="","",INDEX(Akaun!$D$5:$D$150,MATCH(C627,Akaun!$A$5:$A$150,0)))</f>
        <v/>
      </c>
    </row>
    <row r="628" customFormat="false" ht="15.75" hidden="false" customHeight="true" outlineLevel="0" collapsed="false">
      <c r="G628" s="1" t="str">
        <f aca="false">IF(C628="","",INDEX(Akaun!$F$5:$F$150,MATCH(C628,Akaun!$A$5:$A$150,0)))</f>
        <v/>
      </c>
      <c r="H628" s="1" t="str">
        <f aca="false">IF(C628="","",INDEX(Akaun!$D$5:$D$150,MATCH(C628,Akaun!$A$5:$A$150,0)))</f>
        <v/>
      </c>
    </row>
    <row r="629" customFormat="false" ht="15.75" hidden="false" customHeight="true" outlineLevel="0" collapsed="false">
      <c r="G629" s="1" t="str">
        <f aca="false">IF(C629="","",INDEX(Akaun!$F$5:$F$150,MATCH(C629,Akaun!$A$5:$A$150,0)))</f>
        <v/>
      </c>
      <c r="H629" s="1" t="str">
        <f aca="false">IF(C629="","",INDEX(Akaun!$D$5:$D$150,MATCH(C629,Akaun!$A$5:$A$150,0)))</f>
        <v/>
      </c>
    </row>
    <row r="630" customFormat="false" ht="15.75" hidden="false" customHeight="true" outlineLevel="0" collapsed="false">
      <c r="G630" s="1" t="str">
        <f aca="false">IF(C630="","",INDEX(Akaun!$F$5:$F$150,MATCH(C630,Akaun!$A$5:$A$150,0)))</f>
        <v/>
      </c>
      <c r="H630" s="1" t="str">
        <f aca="false">IF(C630="","",INDEX(Akaun!$D$5:$D$150,MATCH(C630,Akaun!$A$5:$A$150,0)))</f>
        <v/>
      </c>
    </row>
    <row r="631" customFormat="false" ht="15.75" hidden="false" customHeight="true" outlineLevel="0" collapsed="false">
      <c r="G631" s="1" t="str">
        <f aca="false">IF(C631="","",INDEX(Akaun!$F$5:$F$150,MATCH(C631,Akaun!$A$5:$A$150,0)))</f>
        <v/>
      </c>
      <c r="H631" s="1" t="str">
        <f aca="false">IF(C631="","",INDEX(Akaun!$D$5:$D$150,MATCH(C631,Akaun!$A$5:$A$150,0)))</f>
        <v/>
      </c>
    </row>
    <row r="632" customFormat="false" ht="15.75" hidden="false" customHeight="true" outlineLevel="0" collapsed="false">
      <c r="G632" s="1" t="str">
        <f aca="false">IF(C632="","",INDEX(Akaun!$F$5:$F$150,MATCH(C632,Akaun!$A$5:$A$150,0)))</f>
        <v/>
      </c>
      <c r="H632" s="1" t="str">
        <f aca="false">IF(C632="","",INDEX(Akaun!$D$5:$D$150,MATCH(C632,Akaun!$A$5:$A$150,0)))</f>
        <v/>
      </c>
    </row>
    <row r="633" customFormat="false" ht="15.75" hidden="false" customHeight="true" outlineLevel="0" collapsed="false">
      <c r="G633" s="1" t="str">
        <f aca="false">IF(C633="","",INDEX(Akaun!$F$5:$F$150,MATCH(C633,Akaun!$A$5:$A$150,0)))</f>
        <v/>
      </c>
      <c r="H633" s="1" t="str">
        <f aca="false">IF(C633="","",INDEX(Akaun!$D$5:$D$150,MATCH(C633,Akaun!$A$5:$A$150,0)))</f>
        <v/>
      </c>
    </row>
    <row r="634" customFormat="false" ht="15.75" hidden="false" customHeight="true" outlineLevel="0" collapsed="false">
      <c r="G634" s="1" t="str">
        <f aca="false">IF(C634="","",INDEX(Akaun!$F$5:$F$150,MATCH(C634,Akaun!$A$5:$A$150,0)))</f>
        <v/>
      </c>
      <c r="H634" s="1" t="str">
        <f aca="false">IF(C634="","",INDEX(Akaun!$D$5:$D$150,MATCH(C634,Akaun!$A$5:$A$150,0)))</f>
        <v/>
      </c>
    </row>
    <row r="635" customFormat="false" ht="15.75" hidden="false" customHeight="true" outlineLevel="0" collapsed="false">
      <c r="G635" s="1" t="str">
        <f aca="false">IF(C635="","",INDEX(Akaun!$F$5:$F$150,MATCH(C635,Akaun!$A$5:$A$150,0)))</f>
        <v/>
      </c>
      <c r="H635" s="1" t="str">
        <f aca="false">IF(C635="","",INDEX(Akaun!$D$5:$D$150,MATCH(C635,Akaun!$A$5:$A$150,0)))</f>
        <v/>
      </c>
    </row>
    <row r="636" customFormat="false" ht="15.75" hidden="false" customHeight="true" outlineLevel="0" collapsed="false">
      <c r="G636" s="1" t="str">
        <f aca="false">IF(C636="","",INDEX(Akaun!$F$5:$F$150,MATCH(C636,Akaun!$A$5:$A$150,0)))</f>
        <v/>
      </c>
      <c r="H636" s="1" t="str">
        <f aca="false">IF(C636="","",INDEX(Akaun!$D$5:$D$150,MATCH(C636,Akaun!$A$5:$A$150,0)))</f>
        <v/>
      </c>
    </row>
    <row r="637" customFormat="false" ht="15.75" hidden="false" customHeight="true" outlineLevel="0" collapsed="false">
      <c r="G637" s="1" t="str">
        <f aca="false">IF(C637="","",INDEX(Akaun!$F$5:$F$150,MATCH(C637,Akaun!$A$5:$A$150,0)))</f>
        <v/>
      </c>
      <c r="H637" s="1" t="str">
        <f aca="false">IF(C637="","",INDEX(Akaun!$D$5:$D$150,MATCH(C637,Akaun!$A$5:$A$150,0)))</f>
        <v/>
      </c>
    </row>
    <row r="638" customFormat="false" ht="15.75" hidden="false" customHeight="true" outlineLevel="0" collapsed="false">
      <c r="G638" s="1" t="str">
        <f aca="false">IF(C638="","",INDEX(Akaun!$F$5:$F$150,MATCH(C638,Akaun!$A$5:$A$150,0)))</f>
        <v/>
      </c>
      <c r="H638" s="1" t="str">
        <f aca="false">IF(C638="","",INDEX(Akaun!$D$5:$D$150,MATCH(C638,Akaun!$A$5:$A$150,0)))</f>
        <v/>
      </c>
    </row>
    <row r="639" customFormat="false" ht="15.75" hidden="false" customHeight="true" outlineLevel="0" collapsed="false">
      <c r="G639" s="1" t="str">
        <f aca="false">IF(C639="","",INDEX(Akaun!$F$5:$F$150,MATCH(C639,Akaun!$A$5:$A$150,0)))</f>
        <v/>
      </c>
      <c r="H639" s="1" t="str">
        <f aca="false">IF(C639="","",INDEX(Akaun!$D$5:$D$150,MATCH(C639,Akaun!$A$5:$A$150,0)))</f>
        <v/>
      </c>
    </row>
    <row r="640" customFormat="false" ht="15.75" hidden="false" customHeight="true" outlineLevel="0" collapsed="false">
      <c r="G640" s="1" t="str">
        <f aca="false">IF(C640="","",INDEX(Akaun!$F$5:$F$150,MATCH(C640,Akaun!$A$5:$A$150,0)))</f>
        <v/>
      </c>
      <c r="H640" s="1" t="str">
        <f aca="false">IF(C640="","",INDEX(Akaun!$D$5:$D$150,MATCH(C640,Akaun!$A$5:$A$150,0)))</f>
        <v/>
      </c>
    </row>
    <row r="641" customFormat="false" ht="15.75" hidden="false" customHeight="true" outlineLevel="0" collapsed="false">
      <c r="G641" s="1" t="str">
        <f aca="false">IF(C641="","",INDEX(Akaun!$F$5:$F$150,MATCH(C641,Akaun!$A$5:$A$150,0)))</f>
        <v/>
      </c>
      <c r="H641" s="1" t="str">
        <f aca="false">IF(C641="","",INDEX(Akaun!$D$5:$D$150,MATCH(C641,Akaun!$A$5:$A$150,0)))</f>
        <v/>
      </c>
    </row>
    <row r="642" customFormat="false" ht="15.75" hidden="false" customHeight="true" outlineLevel="0" collapsed="false">
      <c r="G642" s="1" t="str">
        <f aca="false">IF(C642="","",INDEX(Akaun!$F$5:$F$150,MATCH(C642,Akaun!$A$5:$A$150,0)))</f>
        <v/>
      </c>
      <c r="H642" s="1" t="str">
        <f aca="false">IF(C642="","",INDEX(Akaun!$D$5:$D$150,MATCH(C642,Akaun!$A$5:$A$150,0)))</f>
        <v/>
      </c>
    </row>
    <row r="643" customFormat="false" ht="15.75" hidden="false" customHeight="true" outlineLevel="0" collapsed="false">
      <c r="G643" s="1" t="str">
        <f aca="false">IF(C643="","",INDEX(Akaun!$F$5:$F$150,MATCH(C643,Akaun!$A$5:$A$150,0)))</f>
        <v/>
      </c>
      <c r="H643" s="1" t="str">
        <f aca="false">IF(C643="","",INDEX(Akaun!$D$5:$D$150,MATCH(C643,Akaun!$A$5:$A$150,0)))</f>
        <v/>
      </c>
    </row>
    <row r="644" customFormat="false" ht="15.75" hidden="false" customHeight="true" outlineLevel="0" collapsed="false">
      <c r="G644" s="1" t="str">
        <f aca="false">IF(C644="","",INDEX(Akaun!$F$5:$F$150,MATCH(C644,Akaun!$A$5:$A$150,0)))</f>
        <v/>
      </c>
      <c r="H644" s="1" t="str">
        <f aca="false">IF(C644="","",INDEX(Akaun!$D$5:$D$150,MATCH(C644,Akaun!$A$5:$A$150,0)))</f>
        <v/>
      </c>
    </row>
    <row r="645" customFormat="false" ht="15.75" hidden="false" customHeight="true" outlineLevel="0" collapsed="false">
      <c r="G645" s="1" t="str">
        <f aca="false">IF(C645="","",INDEX(Akaun!$F$5:$F$150,MATCH(C645,Akaun!$A$5:$A$150,0)))</f>
        <v/>
      </c>
      <c r="H645" s="1" t="str">
        <f aca="false">IF(C645="","",INDEX(Akaun!$D$5:$D$150,MATCH(C645,Akaun!$A$5:$A$150,0)))</f>
        <v/>
      </c>
    </row>
    <row r="646" customFormat="false" ht="15.75" hidden="false" customHeight="true" outlineLevel="0" collapsed="false">
      <c r="G646" s="1" t="str">
        <f aca="false">IF(C646="","",INDEX(Akaun!$F$5:$F$150,MATCH(C646,Akaun!$A$5:$A$150,0)))</f>
        <v/>
      </c>
      <c r="H646" s="1" t="str">
        <f aca="false">IF(C646="","",INDEX(Akaun!$D$5:$D$150,MATCH(C646,Akaun!$A$5:$A$150,0)))</f>
        <v/>
      </c>
    </row>
    <row r="647" customFormat="false" ht="15.75" hidden="false" customHeight="true" outlineLevel="0" collapsed="false">
      <c r="G647" s="1" t="str">
        <f aca="false">IF(C647="","",INDEX(Akaun!$F$5:$F$150,MATCH(C647,Akaun!$A$5:$A$150,0)))</f>
        <v/>
      </c>
      <c r="H647" s="1" t="str">
        <f aca="false">IF(C647="","",INDEX(Akaun!$D$5:$D$150,MATCH(C647,Akaun!$A$5:$A$150,0)))</f>
        <v/>
      </c>
    </row>
    <row r="648" customFormat="false" ht="15.75" hidden="false" customHeight="true" outlineLevel="0" collapsed="false">
      <c r="G648" s="1" t="str">
        <f aca="false">IF(C648="","",INDEX(Akaun!$F$5:$F$150,MATCH(C648,Akaun!$A$5:$A$150,0)))</f>
        <v/>
      </c>
      <c r="H648" s="1" t="str">
        <f aca="false">IF(C648="","",INDEX(Akaun!$D$5:$D$150,MATCH(C648,Akaun!$A$5:$A$150,0)))</f>
        <v/>
      </c>
    </row>
    <row r="649" customFormat="false" ht="15.75" hidden="false" customHeight="true" outlineLevel="0" collapsed="false">
      <c r="G649" s="1" t="str">
        <f aca="false">IF(C649="","",INDEX(Akaun!$F$5:$F$150,MATCH(C649,Akaun!$A$5:$A$150,0)))</f>
        <v/>
      </c>
      <c r="H649" s="1" t="str">
        <f aca="false">IF(C649="","",INDEX(Akaun!$D$5:$D$150,MATCH(C649,Akaun!$A$5:$A$150,0)))</f>
        <v/>
      </c>
    </row>
    <row r="650" customFormat="false" ht="15.75" hidden="false" customHeight="true" outlineLevel="0" collapsed="false">
      <c r="G650" s="1" t="str">
        <f aca="false">IF(C650="","",INDEX(Akaun!$F$5:$F$150,MATCH(C650,Akaun!$A$5:$A$150,0)))</f>
        <v/>
      </c>
      <c r="H650" s="1" t="str">
        <f aca="false">IF(C650="","",INDEX(Akaun!$D$5:$D$150,MATCH(C650,Akaun!$A$5:$A$150,0)))</f>
        <v/>
      </c>
    </row>
    <row r="651" customFormat="false" ht="15.75" hidden="false" customHeight="true" outlineLevel="0" collapsed="false">
      <c r="G651" s="1" t="str">
        <f aca="false">IF(C651="","",INDEX(Akaun!$F$5:$F$150,MATCH(C651,Akaun!$A$5:$A$150,0)))</f>
        <v/>
      </c>
      <c r="H651" s="1" t="str">
        <f aca="false">IF(C651="","",INDEX(Akaun!$D$5:$D$150,MATCH(C651,Akaun!$A$5:$A$150,0)))</f>
        <v/>
      </c>
    </row>
    <row r="652" customFormat="false" ht="15.75" hidden="false" customHeight="true" outlineLevel="0" collapsed="false">
      <c r="G652" s="1" t="str">
        <f aca="false">IF(C652="","",INDEX(Akaun!$F$5:$F$150,MATCH(C652,Akaun!$A$5:$A$150,0)))</f>
        <v/>
      </c>
      <c r="H652" s="1" t="str">
        <f aca="false">IF(C652="","",INDEX(Akaun!$D$5:$D$150,MATCH(C652,Akaun!$A$5:$A$150,0)))</f>
        <v/>
      </c>
    </row>
    <row r="653" customFormat="false" ht="15.75" hidden="false" customHeight="true" outlineLevel="0" collapsed="false">
      <c r="G653" s="1" t="str">
        <f aca="false">IF(C653="","",INDEX(Akaun!$F$5:$F$150,MATCH(C653,Akaun!$A$5:$A$150,0)))</f>
        <v/>
      </c>
      <c r="H653" s="1" t="str">
        <f aca="false">IF(C653="","",INDEX(Akaun!$D$5:$D$150,MATCH(C653,Akaun!$A$5:$A$150,0)))</f>
        <v/>
      </c>
    </row>
    <row r="654" customFormat="false" ht="15.75" hidden="false" customHeight="true" outlineLevel="0" collapsed="false">
      <c r="G654" s="1" t="str">
        <f aca="false">IF(C654="","",INDEX(Akaun!$F$5:$F$150,MATCH(C654,Akaun!$A$5:$A$150,0)))</f>
        <v/>
      </c>
      <c r="H654" s="1" t="str">
        <f aca="false">IF(C654="","",INDEX(Akaun!$D$5:$D$150,MATCH(C654,Akaun!$A$5:$A$150,0)))</f>
        <v/>
      </c>
    </row>
    <row r="655" customFormat="false" ht="15.75" hidden="false" customHeight="true" outlineLevel="0" collapsed="false">
      <c r="G655" s="1" t="str">
        <f aca="false">IF(C655="","",INDEX(Akaun!$F$5:$F$150,MATCH(C655,Akaun!$A$5:$A$150,0)))</f>
        <v/>
      </c>
      <c r="H655" s="1" t="str">
        <f aca="false">IF(C655="","",INDEX(Akaun!$D$5:$D$150,MATCH(C655,Akaun!$A$5:$A$150,0)))</f>
        <v/>
      </c>
    </row>
    <row r="656" customFormat="false" ht="15.75" hidden="false" customHeight="true" outlineLevel="0" collapsed="false">
      <c r="G656" s="1" t="str">
        <f aca="false">IF(C656="","",INDEX(Akaun!$F$5:$F$150,MATCH(C656,Akaun!$A$5:$A$150,0)))</f>
        <v/>
      </c>
      <c r="H656" s="1" t="str">
        <f aca="false">IF(C656="","",INDEX(Akaun!$D$5:$D$150,MATCH(C656,Akaun!$A$5:$A$150,0)))</f>
        <v/>
      </c>
    </row>
    <row r="657" customFormat="false" ht="15.75" hidden="false" customHeight="true" outlineLevel="0" collapsed="false">
      <c r="G657" s="1" t="str">
        <f aca="false">IF(C657="","",INDEX(Akaun!$F$5:$F$150,MATCH(C657,Akaun!$A$5:$A$150,0)))</f>
        <v/>
      </c>
      <c r="H657" s="1" t="str">
        <f aca="false">IF(C657="","",INDEX(Akaun!$D$5:$D$150,MATCH(C657,Akaun!$A$5:$A$150,0)))</f>
        <v/>
      </c>
    </row>
    <row r="658" customFormat="false" ht="15.75" hidden="false" customHeight="true" outlineLevel="0" collapsed="false">
      <c r="G658" s="1" t="str">
        <f aca="false">IF(C658="","",INDEX(Akaun!$F$5:$F$150,MATCH(C658,Akaun!$A$5:$A$150,0)))</f>
        <v/>
      </c>
      <c r="H658" s="1" t="str">
        <f aca="false">IF(C658="","",INDEX(Akaun!$D$5:$D$150,MATCH(C658,Akaun!$A$5:$A$150,0)))</f>
        <v/>
      </c>
    </row>
    <row r="659" customFormat="false" ht="15.75" hidden="false" customHeight="true" outlineLevel="0" collapsed="false">
      <c r="G659" s="1" t="str">
        <f aca="false">IF(C659="","",INDEX(Akaun!$F$5:$F$150,MATCH(C659,Akaun!$A$5:$A$150,0)))</f>
        <v/>
      </c>
      <c r="H659" s="1" t="str">
        <f aca="false">IF(C659="","",INDEX(Akaun!$D$5:$D$150,MATCH(C659,Akaun!$A$5:$A$150,0)))</f>
        <v/>
      </c>
    </row>
    <row r="660" customFormat="false" ht="15.75" hidden="false" customHeight="true" outlineLevel="0" collapsed="false">
      <c r="G660" s="1" t="str">
        <f aca="false">IF(C660="","",INDEX(Akaun!$F$5:$F$150,MATCH(C660,Akaun!$A$5:$A$150,0)))</f>
        <v/>
      </c>
      <c r="H660" s="1" t="str">
        <f aca="false">IF(C660="","",INDEX(Akaun!$D$5:$D$150,MATCH(C660,Akaun!$A$5:$A$150,0)))</f>
        <v/>
      </c>
    </row>
    <row r="661" customFormat="false" ht="15.75" hidden="false" customHeight="true" outlineLevel="0" collapsed="false">
      <c r="G661" s="1" t="str">
        <f aca="false">IF(C661="","",INDEX(Akaun!$F$5:$F$150,MATCH(C661,Akaun!$A$5:$A$150,0)))</f>
        <v/>
      </c>
      <c r="H661" s="1" t="str">
        <f aca="false">IF(C661="","",INDEX(Akaun!$D$5:$D$150,MATCH(C661,Akaun!$A$5:$A$150,0)))</f>
        <v/>
      </c>
    </row>
    <row r="662" customFormat="false" ht="15.75" hidden="false" customHeight="true" outlineLevel="0" collapsed="false">
      <c r="G662" s="1" t="str">
        <f aca="false">IF(C662="","",INDEX(Akaun!$F$5:$F$150,MATCH(C662,Akaun!$A$5:$A$150,0)))</f>
        <v/>
      </c>
      <c r="H662" s="1" t="str">
        <f aca="false">IF(C662="","",INDEX(Akaun!$D$5:$D$150,MATCH(C662,Akaun!$A$5:$A$150,0)))</f>
        <v/>
      </c>
    </row>
    <row r="663" customFormat="false" ht="15.75" hidden="false" customHeight="true" outlineLevel="0" collapsed="false">
      <c r="G663" s="1" t="str">
        <f aca="false">IF(C663="","",INDEX(Akaun!$F$5:$F$150,MATCH(C663,Akaun!$A$5:$A$150,0)))</f>
        <v/>
      </c>
      <c r="H663" s="1" t="str">
        <f aca="false">IF(C663="","",INDEX(Akaun!$D$5:$D$150,MATCH(C663,Akaun!$A$5:$A$150,0)))</f>
        <v/>
      </c>
    </row>
    <row r="664" customFormat="false" ht="15.75" hidden="false" customHeight="true" outlineLevel="0" collapsed="false">
      <c r="G664" s="1" t="str">
        <f aca="false">IF(C664="","",INDEX(Akaun!$F$5:$F$150,MATCH(C664,Akaun!$A$5:$A$150,0)))</f>
        <v/>
      </c>
      <c r="H664" s="1" t="str">
        <f aca="false">IF(C664="","",INDEX(Akaun!$D$5:$D$150,MATCH(C664,Akaun!$A$5:$A$150,0)))</f>
        <v/>
      </c>
    </row>
    <row r="665" customFormat="false" ht="15.75" hidden="false" customHeight="true" outlineLevel="0" collapsed="false">
      <c r="G665" s="1" t="str">
        <f aca="false">IF(C665="","",INDEX(Akaun!$F$5:$F$150,MATCH(C665,Akaun!$A$5:$A$150,0)))</f>
        <v/>
      </c>
      <c r="H665" s="1" t="str">
        <f aca="false">IF(C665="","",INDEX(Akaun!$D$5:$D$150,MATCH(C665,Akaun!$A$5:$A$150,0)))</f>
        <v/>
      </c>
    </row>
    <row r="666" customFormat="false" ht="15.75" hidden="false" customHeight="true" outlineLevel="0" collapsed="false">
      <c r="G666" s="1" t="str">
        <f aca="false">IF(C666="","",INDEX(Akaun!$F$5:$F$150,MATCH(C666,Akaun!$A$5:$A$150,0)))</f>
        <v/>
      </c>
      <c r="H666" s="1" t="str">
        <f aca="false">IF(C666="","",INDEX(Akaun!$D$5:$D$150,MATCH(C666,Akaun!$A$5:$A$150,0)))</f>
        <v/>
      </c>
    </row>
    <row r="667" customFormat="false" ht="15.75" hidden="false" customHeight="true" outlineLevel="0" collapsed="false">
      <c r="G667" s="1" t="str">
        <f aca="false">IF(C667="","",INDEX(Akaun!$F$5:$F$150,MATCH(C667,Akaun!$A$5:$A$150,0)))</f>
        <v/>
      </c>
      <c r="H667" s="1" t="str">
        <f aca="false">IF(C667="","",INDEX(Akaun!$D$5:$D$150,MATCH(C667,Akaun!$A$5:$A$150,0)))</f>
        <v/>
      </c>
    </row>
    <row r="668" customFormat="false" ht="15.75" hidden="false" customHeight="true" outlineLevel="0" collapsed="false">
      <c r="G668" s="1" t="str">
        <f aca="false">IF(C668="","",INDEX(Akaun!$F$5:$F$150,MATCH(C668,Akaun!$A$5:$A$150,0)))</f>
        <v/>
      </c>
      <c r="H668" s="1" t="str">
        <f aca="false">IF(C668="","",INDEX(Akaun!$D$5:$D$150,MATCH(C668,Akaun!$A$5:$A$150,0)))</f>
        <v/>
      </c>
    </row>
    <row r="669" customFormat="false" ht="15.75" hidden="false" customHeight="true" outlineLevel="0" collapsed="false">
      <c r="G669" s="1" t="str">
        <f aca="false">IF(C669="","",INDEX(Akaun!$F$5:$F$150,MATCH(C669,Akaun!$A$5:$A$150,0)))</f>
        <v/>
      </c>
      <c r="H669" s="1" t="str">
        <f aca="false">IF(C669="","",INDEX(Akaun!$D$5:$D$150,MATCH(C669,Akaun!$A$5:$A$150,0)))</f>
        <v/>
      </c>
    </row>
    <row r="670" customFormat="false" ht="15.75" hidden="false" customHeight="true" outlineLevel="0" collapsed="false">
      <c r="G670" s="1" t="str">
        <f aca="false">IF(C670="","",INDEX(Akaun!$F$5:$F$150,MATCH(C670,Akaun!$A$5:$A$150,0)))</f>
        <v/>
      </c>
      <c r="H670" s="1" t="str">
        <f aca="false">IF(C670="","",INDEX(Akaun!$D$5:$D$150,MATCH(C670,Akaun!$A$5:$A$150,0)))</f>
        <v/>
      </c>
    </row>
    <row r="671" customFormat="false" ht="15.75" hidden="false" customHeight="true" outlineLevel="0" collapsed="false">
      <c r="G671" s="1" t="str">
        <f aca="false">IF(C671="","",INDEX(Akaun!$F$5:$F$150,MATCH(C671,Akaun!$A$5:$A$150,0)))</f>
        <v/>
      </c>
      <c r="H671" s="1" t="str">
        <f aca="false">IF(C671="","",INDEX(Akaun!$D$5:$D$150,MATCH(C671,Akaun!$A$5:$A$150,0)))</f>
        <v/>
      </c>
    </row>
    <row r="672" customFormat="false" ht="15.75" hidden="false" customHeight="true" outlineLevel="0" collapsed="false">
      <c r="G672" s="1" t="str">
        <f aca="false">IF(C672="","",INDEX(Akaun!$F$5:$F$150,MATCH(C672,Akaun!$A$5:$A$150,0)))</f>
        <v/>
      </c>
      <c r="H672" s="1" t="str">
        <f aca="false">IF(C672="","",INDEX(Akaun!$D$5:$D$150,MATCH(C672,Akaun!$A$5:$A$150,0)))</f>
        <v/>
      </c>
    </row>
    <row r="673" customFormat="false" ht="15.75" hidden="false" customHeight="true" outlineLevel="0" collapsed="false">
      <c r="G673" s="1" t="str">
        <f aca="false">IF(C673="","",INDEX(Akaun!$F$5:$F$150,MATCH(C673,Akaun!$A$5:$A$150,0)))</f>
        <v/>
      </c>
      <c r="H673" s="1" t="str">
        <f aca="false">IF(C673="","",INDEX(Akaun!$D$5:$D$150,MATCH(C673,Akaun!$A$5:$A$150,0)))</f>
        <v/>
      </c>
    </row>
    <row r="674" customFormat="false" ht="15.75" hidden="false" customHeight="true" outlineLevel="0" collapsed="false">
      <c r="G674" s="1" t="str">
        <f aca="false">IF(C674="","",INDEX(Akaun!$F$5:$F$150,MATCH(C674,Akaun!$A$5:$A$150,0)))</f>
        <v/>
      </c>
      <c r="H674" s="1" t="str">
        <f aca="false">IF(C674="","",INDEX(Akaun!$D$5:$D$150,MATCH(C674,Akaun!$A$5:$A$150,0)))</f>
        <v/>
      </c>
    </row>
    <row r="675" customFormat="false" ht="15.75" hidden="false" customHeight="true" outlineLevel="0" collapsed="false">
      <c r="G675" s="1" t="str">
        <f aca="false">IF(C675="","",INDEX(Akaun!$F$5:$F$150,MATCH(C675,Akaun!$A$5:$A$150,0)))</f>
        <v/>
      </c>
      <c r="H675" s="1" t="str">
        <f aca="false">IF(C675="","",INDEX(Akaun!$D$5:$D$150,MATCH(C675,Akaun!$A$5:$A$150,0)))</f>
        <v/>
      </c>
    </row>
    <row r="676" customFormat="false" ht="15.75" hidden="false" customHeight="true" outlineLevel="0" collapsed="false">
      <c r="G676" s="1" t="str">
        <f aca="false">IF(C676="","",INDEX(Akaun!$F$5:$F$150,MATCH(C676,Akaun!$A$5:$A$150,0)))</f>
        <v/>
      </c>
      <c r="H676" s="1" t="str">
        <f aca="false">IF(C676="","",INDEX(Akaun!$D$5:$D$150,MATCH(C676,Akaun!$A$5:$A$150,0)))</f>
        <v/>
      </c>
    </row>
    <row r="677" customFormat="false" ht="15.75" hidden="false" customHeight="true" outlineLevel="0" collapsed="false">
      <c r="G677" s="1" t="str">
        <f aca="false">IF(C677="","",INDEX(Akaun!$F$5:$F$150,MATCH(C677,Akaun!$A$5:$A$150,0)))</f>
        <v/>
      </c>
      <c r="H677" s="1" t="str">
        <f aca="false">IF(C677="","",INDEX(Akaun!$D$5:$D$150,MATCH(C677,Akaun!$A$5:$A$150,0)))</f>
        <v/>
      </c>
    </row>
    <row r="678" customFormat="false" ht="15.75" hidden="false" customHeight="true" outlineLevel="0" collapsed="false">
      <c r="G678" s="1" t="str">
        <f aca="false">IF(C678="","",INDEX(Akaun!$F$5:$F$150,MATCH(C678,Akaun!$A$5:$A$150,0)))</f>
        <v/>
      </c>
      <c r="H678" s="1" t="str">
        <f aca="false">IF(C678="","",INDEX(Akaun!$D$5:$D$150,MATCH(C678,Akaun!$A$5:$A$150,0)))</f>
        <v/>
      </c>
    </row>
    <row r="679" customFormat="false" ht="15.75" hidden="false" customHeight="true" outlineLevel="0" collapsed="false">
      <c r="G679" s="1" t="str">
        <f aca="false">IF(C679="","",INDEX(Akaun!$F$5:$F$150,MATCH(C679,Akaun!$A$5:$A$150,0)))</f>
        <v/>
      </c>
      <c r="H679" s="1" t="str">
        <f aca="false">IF(C679="","",INDEX(Akaun!$D$5:$D$150,MATCH(C679,Akaun!$A$5:$A$150,0)))</f>
        <v/>
      </c>
    </row>
    <row r="680" customFormat="false" ht="15.75" hidden="false" customHeight="true" outlineLevel="0" collapsed="false">
      <c r="G680" s="1" t="str">
        <f aca="false">IF(C680="","",INDEX(Akaun!$F$5:$F$150,MATCH(C680,Akaun!$A$5:$A$150,0)))</f>
        <v/>
      </c>
      <c r="H680" s="1" t="str">
        <f aca="false">IF(C680="","",INDEX(Akaun!$D$5:$D$150,MATCH(C680,Akaun!$A$5:$A$150,0)))</f>
        <v/>
      </c>
    </row>
    <row r="681" customFormat="false" ht="15.75" hidden="false" customHeight="true" outlineLevel="0" collapsed="false">
      <c r="G681" s="1" t="str">
        <f aca="false">IF(C681="","",INDEX(Akaun!$F$5:$F$150,MATCH(C681,Akaun!$A$5:$A$150,0)))</f>
        <v/>
      </c>
      <c r="H681" s="1" t="str">
        <f aca="false">IF(C681="","",INDEX(Akaun!$D$5:$D$150,MATCH(C681,Akaun!$A$5:$A$150,0)))</f>
        <v/>
      </c>
    </row>
    <row r="682" customFormat="false" ht="15.75" hidden="false" customHeight="true" outlineLevel="0" collapsed="false">
      <c r="G682" s="1" t="str">
        <f aca="false">IF(C682="","",INDEX(Akaun!$F$5:$F$150,MATCH(C682,Akaun!$A$5:$A$150,0)))</f>
        <v/>
      </c>
      <c r="H682" s="1" t="str">
        <f aca="false">IF(C682="","",INDEX(Akaun!$D$5:$D$150,MATCH(C682,Akaun!$A$5:$A$150,0)))</f>
        <v/>
      </c>
    </row>
    <row r="683" customFormat="false" ht="15.75" hidden="false" customHeight="true" outlineLevel="0" collapsed="false">
      <c r="G683" s="1" t="str">
        <f aca="false">IF(C683="","",INDEX(Akaun!$F$5:$F$150,MATCH(C683,Akaun!$A$5:$A$150,0)))</f>
        <v/>
      </c>
      <c r="H683" s="1" t="str">
        <f aca="false">IF(C683="","",INDEX(Akaun!$D$5:$D$150,MATCH(C683,Akaun!$A$5:$A$150,0)))</f>
        <v/>
      </c>
    </row>
    <row r="684" customFormat="false" ht="15.75" hidden="false" customHeight="true" outlineLevel="0" collapsed="false">
      <c r="G684" s="1" t="str">
        <f aca="false">IF(C684="","",INDEX(Akaun!$F$5:$F$150,MATCH(C684,Akaun!$A$5:$A$150,0)))</f>
        <v/>
      </c>
      <c r="H684" s="1" t="str">
        <f aca="false">IF(C684="","",INDEX(Akaun!$D$5:$D$150,MATCH(C684,Akaun!$A$5:$A$150,0)))</f>
        <v/>
      </c>
    </row>
    <row r="685" customFormat="false" ht="15.75" hidden="false" customHeight="true" outlineLevel="0" collapsed="false">
      <c r="G685" s="1" t="str">
        <f aca="false">IF(C685="","",INDEX(Akaun!$F$5:$F$150,MATCH(C685,Akaun!$A$5:$A$150,0)))</f>
        <v/>
      </c>
      <c r="H685" s="1" t="str">
        <f aca="false">IF(C685="","",INDEX(Akaun!$D$5:$D$150,MATCH(C685,Akaun!$A$5:$A$150,0)))</f>
        <v/>
      </c>
    </row>
    <row r="686" customFormat="false" ht="15.75" hidden="false" customHeight="true" outlineLevel="0" collapsed="false">
      <c r="G686" s="1" t="str">
        <f aca="false">IF(C686="","",INDEX(Akaun!$F$5:$F$150,MATCH(C686,Akaun!$A$5:$A$150,0)))</f>
        <v/>
      </c>
      <c r="H686" s="1" t="str">
        <f aca="false">IF(C686="","",INDEX(Akaun!$D$5:$D$150,MATCH(C686,Akaun!$A$5:$A$150,0)))</f>
        <v/>
      </c>
    </row>
    <row r="687" customFormat="false" ht="15.75" hidden="false" customHeight="true" outlineLevel="0" collapsed="false">
      <c r="G687" s="1" t="str">
        <f aca="false">IF(C687="","",INDEX(Akaun!$F$5:$F$150,MATCH(C687,Akaun!$A$5:$A$150,0)))</f>
        <v/>
      </c>
      <c r="H687" s="1" t="str">
        <f aca="false">IF(C687="","",INDEX(Akaun!$D$5:$D$150,MATCH(C687,Akaun!$A$5:$A$150,0)))</f>
        <v/>
      </c>
    </row>
    <row r="688" customFormat="false" ht="15.75" hidden="false" customHeight="true" outlineLevel="0" collapsed="false">
      <c r="G688" s="1" t="str">
        <f aca="false">IF(C688="","",INDEX(Akaun!$F$5:$F$150,MATCH(C688,Akaun!$A$5:$A$150,0)))</f>
        <v/>
      </c>
      <c r="H688" s="1" t="str">
        <f aca="false">IF(C688="","",INDEX(Akaun!$D$5:$D$150,MATCH(C688,Akaun!$A$5:$A$150,0)))</f>
        <v/>
      </c>
    </row>
    <row r="689" customFormat="false" ht="15.75" hidden="false" customHeight="true" outlineLevel="0" collapsed="false">
      <c r="G689" s="1" t="str">
        <f aca="false">IF(C689="","",INDEX(Akaun!$F$5:$F$150,MATCH(C689,Akaun!$A$5:$A$150,0)))</f>
        <v/>
      </c>
      <c r="H689" s="1" t="str">
        <f aca="false">IF(C689="","",INDEX(Akaun!$D$5:$D$150,MATCH(C689,Akaun!$A$5:$A$150,0)))</f>
        <v/>
      </c>
    </row>
    <row r="690" customFormat="false" ht="15.75" hidden="false" customHeight="true" outlineLevel="0" collapsed="false">
      <c r="G690" s="1" t="str">
        <f aca="false">IF(C690="","",INDEX(Akaun!$F$5:$F$150,MATCH(C690,Akaun!$A$5:$A$150,0)))</f>
        <v/>
      </c>
      <c r="H690" s="1" t="str">
        <f aca="false">IF(C690="","",INDEX(Akaun!$D$5:$D$150,MATCH(C690,Akaun!$A$5:$A$150,0)))</f>
        <v/>
      </c>
    </row>
    <row r="691" customFormat="false" ht="15.75" hidden="false" customHeight="true" outlineLevel="0" collapsed="false">
      <c r="G691" s="1" t="str">
        <f aca="false">IF(C691="","",INDEX(Akaun!$F$5:$F$150,MATCH(C691,Akaun!$A$5:$A$150,0)))</f>
        <v/>
      </c>
      <c r="H691" s="1" t="str">
        <f aca="false">IF(C691="","",INDEX(Akaun!$D$5:$D$150,MATCH(C691,Akaun!$A$5:$A$150,0)))</f>
        <v/>
      </c>
    </row>
    <row r="692" customFormat="false" ht="15.75" hidden="false" customHeight="true" outlineLevel="0" collapsed="false">
      <c r="G692" s="1" t="str">
        <f aca="false">IF(C692="","",INDEX(Akaun!$F$5:$F$150,MATCH(C692,Akaun!$A$5:$A$150,0)))</f>
        <v/>
      </c>
      <c r="H692" s="1" t="str">
        <f aca="false">IF(C692="","",INDEX(Akaun!$D$5:$D$150,MATCH(C692,Akaun!$A$5:$A$150,0)))</f>
        <v/>
      </c>
    </row>
    <row r="693" customFormat="false" ht="15.75" hidden="false" customHeight="true" outlineLevel="0" collapsed="false">
      <c r="G693" s="1" t="str">
        <f aca="false">IF(C693="","",INDEX(Akaun!$F$5:$F$150,MATCH(C693,Akaun!$A$5:$A$150,0)))</f>
        <v/>
      </c>
      <c r="H693" s="1" t="str">
        <f aca="false">IF(C693="","",INDEX(Akaun!$D$5:$D$150,MATCH(C693,Akaun!$A$5:$A$150,0)))</f>
        <v/>
      </c>
    </row>
    <row r="694" customFormat="false" ht="15.75" hidden="false" customHeight="true" outlineLevel="0" collapsed="false">
      <c r="G694" s="1" t="str">
        <f aca="false">IF(C694="","",INDEX(Akaun!$F$5:$F$150,MATCH(C694,Akaun!$A$5:$A$150,0)))</f>
        <v/>
      </c>
      <c r="H694" s="1" t="str">
        <f aca="false">IF(C694="","",INDEX(Akaun!$D$5:$D$150,MATCH(C694,Akaun!$A$5:$A$150,0)))</f>
        <v/>
      </c>
    </row>
    <row r="695" customFormat="false" ht="15.75" hidden="false" customHeight="true" outlineLevel="0" collapsed="false">
      <c r="G695" s="1" t="str">
        <f aca="false">IF(C695="","",INDEX(Akaun!$F$5:$F$150,MATCH(C695,Akaun!$A$5:$A$150,0)))</f>
        <v/>
      </c>
      <c r="H695" s="1" t="str">
        <f aca="false">IF(C695="","",INDEX(Akaun!$D$5:$D$150,MATCH(C695,Akaun!$A$5:$A$150,0)))</f>
        <v/>
      </c>
    </row>
    <row r="696" customFormat="false" ht="15.75" hidden="false" customHeight="true" outlineLevel="0" collapsed="false">
      <c r="G696" s="1" t="str">
        <f aca="false">IF(C696="","",INDEX(Akaun!$F$5:$F$150,MATCH(C696,Akaun!$A$5:$A$150,0)))</f>
        <v/>
      </c>
      <c r="H696" s="1" t="str">
        <f aca="false">IF(C696="","",INDEX(Akaun!$D$5:$D$150,MATCH(C696,Akaun!$A$5:$A$150,0)))</f>
        <v/>
      </c>
    </row>
    <row r="697" customFormat="false" ht="15.75" hidden="false" customHeight="true" outlineLevel="0" collapsed="false">
      <c r="G697" s="1" t="str">
        <f aca="false">IF(C697="","",INDEX(Akaun!$F$5:$F$150,MATCH(C697,Akaun!$A$5:$A$150,0)))</f>
        <v/>
      </c>
      <c r="H697" s="1" t="str">
        <f aca="false">IF(C697="","",INDEX(Akaun!$D$5:$D$150,MATCH(C697,Akaun!$A$5:$A$150,0)))</f>
        <v/>
      </c>
    </row>
    <row r="698" customFormat="false" ht="15.75" hidden="false" customHeight="true" outlineLevel="0" collapsed="false">
      <c r="G698" s="1" t="str">
        <f aca="false">IF(C698="","",INDEX(Akaun!$F$5:$F$150,MATCH(C698,Akaun!$A$5:$A$150,0)))</f>
        <v/>
      </c>
      <c r="H698" s="1" t="str">
        <f aca="false">IF(C698="","",INDEX(Akaun!$D$5:$D$150,MATCH(C698,Akaun!$A$5:$A$150,0)))</f>
        <v/>
      </c>
    </row>
    <row r="699" customFormat="false" ht="15.75" hidden="false" customHeight="true" outlineLevel="0" collapsed="false">
      <c r="G699" s="1" t="str">
        <f aca="false">IF(C699="","",INDEX(Akaun!$F$5:$F$150,MATCH(C699,Akaun!$A$5:$A$150,0)))</f>
        <v/>
      </c>
      <c r="H699" s="1" t="str">
        <f aca="false">IF(C699="","",INDEX(Akaun!$D$5:$D$150,MATCH(C699,Akaun!$A$5:$A$150,0)))</f>
        <v/>
      </c>
    </row>
    <row r="700" customFormat="false" ht="15.75" hidden="false" customHeight="true" outlineLevel="0" collapsed="false">
      <c r="G700" s="1" t="str">
        <f aca="false">IF(C700="","",INDEX(Akaun!$F$5:$F$150,MATCH(C700,Akaun!$A$5:$A$150,0)))</f>
        <v/>
      </c>
      <c r="H700" s="1" t="str">
        <f aca="false">IF(C700="","",INDEX(Akaun!$D$5:$D$150,MATCH(C700,Akaun!$A$5:$A$150,0)))</f>
        <v/>
      </c>
    </row>
    <row r="701" customFormat="false" ht="15.75" hidden="false" customHeight="true" outlineLevel="0" collapsed="false">
      <c r="G701" s="1" t="str">
        <f aca="false">IF(C701="","",INDEX(Akaun!$F$5:$F$150,MATCH(C701,Akaun!$A$5:$A$150,0)))</f>
        <v/>
      </c>
      <c r="H701" s="1" t="str">
        <f aca="false">IF(C701="","",INDEX(Akaun!$D$5:$D$150,MATCH(C701,Akaun!$A$5:$A$150,0)))</f>
        <v/>
      </c>
    </row>
    <row r="702" customFormat="false" ht="15.75" hidden="false" customHeight="true" outlineLevel="0" collapsed="false">
      <c r="G702" s="1" t="str">
        <f aca="false">IF(C702="","",INDEX(Akaun!$F$5:$F$150,MATCH(C702,Akaun!$A$5:$A$150,0)))</f>
        <v/>
      </c>
      <c r="H702" s="1" t="str">
        <f aca="false">IF(C702="","",INDEX(Akaun!$D$5:$D$150,MATCH(C702,Akaun!$A$5:$A$150,0)))</f>
        <v/>
      </c>
    </row>
    <row r="703" customFormat="false" ht="15.75" hidden="false" customHeight="true" outlineLevel="0" collapsed="false">
      <c r="G703" s="1" t="str">
        <f aca="false">IF(C703="","",INDEX(Akaun!$F$5:$F$150,MATCH(C703,Akaun!$A$5:$A$150,0)))</f>
        <v/>
      </c>
      <c r="H703" s="1" t="str">
        <f aca="false">IF(C703="","",INDEX(Akaun!$D$5:$D$150,MATCH(C703,Akaun!$A$5:$A$150,0)))</f>
        <v/>
      </c>
    </row>
    <row r="704" customFormat="false" ht="15.75" hidden="false" customHeight="true" outlineLevel="0" collapsed="false">
      <c r="G704" s="1" t="str">
        <f aca="false">IF(C704="","",INDEX(Akaun!$F$5:$F$150,MATCH(C704,Akaun!$A$5:$A$150,0)))</f>
        <v/>
      </c>
      <c r="H704" s="1" t="str">
        <f aca="false">IF(C704="","",INDEX(Akaun!$D$5:$D$150,MATCH(C704,Akaun!$A$5:$A$150,0)))</f>
        <v/>
      </c>
    </row>
    <row r="705" customFormat="false" ht="15.75" hidden="false" customHeight="true" outlineLevel="0" collapsed="false">
      <c r="G705" s="1" t="str">
        <f aca="false">IF(C705="","",INDEX(Akaun!$F$5:$F$150,MATCH(C705,Akaun!$A$5:$A$150,0)))</f>
        <v/>
      </c>
      <c r="H705" s="1" t="str">
        <f aca="false">IF(C705="","",INDEX(Akaun!$D$5:$D$150,MATCH(C705,Akaun!$A$5:$A$150,0)))</f>
        <v/>
      </c>
    </row>
    <row r="706" customFormat="false" ht="15.75" hidden="false" customHeight="true" outlineLevel="0" collapsed="false">
      <c r="G706" s="1" t="str">
        <f aca="false">IF(C706="","",INDEX(Akaun!$F$5:$F$150,MATCH(C706,Akaun!$A$5:$A$150,0)))</f>
        <v/>
      </c>
      <c r="H706" s="1" t="str">
        <f aca="false">IF(C706="","",INDEX(Akaun!$D$5:$D$150,MATCH(C706,Akaun!$A$5:$A$150,0)))</f>
        <v/>
      </c>
    </row>
    <row r="707" customFormat="false" ht="15.75" hidden="false" customHeight="true" outlineLevel="0" collapsed="false">
      <c r="G707" s="1" t="str">
        <f aca="false">IF(C707="","",INDEX(Akaun!$F$5:$F$150,MATCH(C707,Akaun!$A$5:$A$150,0)))</f>
        <v/>
      </c>
      <c r="H707" s="1" t="str">
        <f aca="false">IF(C707="","",INDEX(Akaun!$D$5:$D$150,MATCH(C707,Akaun!$A$5:$A$150,0)))</f>
        <v/>
      </c>
    </row>
    <row r="708" customFormat="false" ht="15.75" hidden="false" customHeight="true" outlineLevel="0" collapsed="false">
      <c r="G708" s="1" t="str">
        <f aca="false">IF(C708="","",INDEX(Akaun!$F$5:$F$150,MATCH(C708,Akaun!$A$5:$A$150,0)))</f>
        <v/>
      </c>
      <c r="H708" s="1" t="str">
        <f aca="false">IF(C708="","",INDEX(Akaun!$D$5:$D$150,MATCH(C708,Akaun!$A$5:$A$150,0)))</f>
        <v/>
      </c>
    </row>
    <row r="709" customFormat="false" ht="15.75" hidden="false" customHeight="true" outlineLevel="0" collapsed="false">
      <c r="G709" s="1" t="str">
        <f aca="false">IF(C709="","",INDEX(Akaun!$F$5:$F$150,MATCH(C709,Akaun!$A$5:$A$150,0)))</f>
        <v/>
      </c>
      <c r="H709" s="1" t="str">
        <f aca="false">IF(C709="","",INDEX(Akaun!$D$5:$D$150,MATCH(C709,Akaun!$A$5:$A$150,0)))</f>
        <v/>
      </c>
    </row>
    <row r="710" customFormat="false" ht="15.75" hidden="false" customHeight="true" outlineLevel="0" collapsed="false">
      <c r="G710" s="1" t="str">
        <f aca="false">IF(C710="","",INDEX(Akaun!$F$5:$F$150,MATCH(C710,Akaun!$A$5:$A$150,0)))</f>
        <v/>
      </c>
      <c r="H710" s="1" t="str">
        <f aca="false">IF(C710="","",INDEX(Akaun!$D$5:$D$150,MATCH(C710,Akaun!$A$5:$A$150,0)))</f>
        <v/>
      </c>
    </row>
    <row r="711" customFormat="false" ht="15.75" hidden="false" customHeight="true" outlineLevel="0" collapsed="false">
      <c r="G711" s="1" t="str">
        <f aca="false">IF(C711="","",INDEX(Akaun!$F$5:$F$150,MATCH(C711,Akaun!$A$5:$A$150,0)))</f>
        <v/>
      </c>
      <c r="H711" s="1" t="str">
        <f aca="false">IF(C711="","",INDEX(Akaun!$D$5:$D$150,MATCH(C711,Akaun!$A$5:$A$150,0)))</f>
        <v/>
      </c>
    </row>
    <row r="712" customFormat="false" ht="15.75" hidden="false" customHeight="true" outlineLevel="0" collapsed="false">
      <c r="G712" s="1" t="str">
        <f aca="false">IF(C712="","",INDEX(Akaun!$F$5:$F$150,MATCH(C712,Akaun!$A$5:$A$150,0)))</f>
        <v/>
      </c>
      <c r="H712" s="1" t="str">
        <f aca="false">IF(C712="","",INDEX(Akaun!$D$5:$D$150,MATCH(C712,Akaun!$A$5:$A$150,0)))</f>
        <v/>
      </c>
    </row>
    <row r="713" customFormat="false" ht="15.75" hidden="false" customHeight="true" outlineLevel="0" collapsed="false">
      <c r="G713" s="1" t="str">
        <f aca="false">IF(C713="","",INDEX(Akaun!$F$5:$F$150,MATCH(C713,Akaun!$A$5:$A$150,0)))</f>
        <v/>
      </c>
      <c r="H713" s="1" t="str">
        <f aca="false">IF(C713="","",INDEX(Akaun!$D$5:$D$150,MATCH(C713,Akaun!$A$5:$A$150,0)))</f>
        <v/>
      </c>
    </row>
    <row r="714" customFormat="false" ht="15.75" hidden="false" customHeight="true" outlineLevel="0" collapsed="false">
      <c r="G714" s="1" t="str">
        <f aca="false">IF(C714="","",INDEX(Akaun!$F$5:$F$150,MATCH(C714,Akaun!$A$5:$A$150,0)))</f>
        <v/>
      </c>
      <c r="H714" s="1" t="str">
        <f aca="false">IF(C714="","",INDEX(Akaun!$D$5:$D$150,MATCH(C714,Akaun!$A$5:$A$150,0)))</f>
        <v/>
      </c>
    </row>
    <row r="715" customFormat="false" ht="15.75" hidden="false" customHeight="true" outlineLevel="0" collapsed="false">
      <c r="G715" s="1" t="str">
        <f aca="false">IF(C715="","",INDEX(Akaun!$F$5:$F$150,MATCH(C715,Akaun!$A$5:$A$150,0)))</f>
        <v/>
      </c>
      <c r="H715" s="1" t="str">
        <f aca="false">IF(C715="","",INDEX(Akaun!$D$5:$D$150,MATCH(C715,Akaun!$A$5:$A$150,0)))</f>
        <v/>
      </c>
    </row>
    <row r="716" customFormat="false" ht="15.75" hidden="false" customHeight="true" outlineLevel="0" collapsed="false">
      <c r="G716" s="1" t="str">
        <f aca="false">IF(C716="","",INDEX(Akaun!$F$5:$F$150,MATCH(C716,Akaun!$A$5:$A$150,0)))</f>
        <v/>
      </c>
      <c r="H716" s="1" t="str">
        <f aca="false">IF(C716="","",INDEX(Akaun!$D$5:$D$150,MATCH(C716,Akaun!$A$5:$A$150,0)))</f>
        <v/>
      </c>
    </row>
    <row r="717" customFormat="false" ht="15.75" hidden="false" customHeight="true" outlineLevel="0" collapsed="false">
      <c r="G717" s="1" t="str">
        <f aca="false">IF(C717="","",INDEX(Akaun!$F$5:$F$150,MATCH(C717,Akaun!$A$5:$A$150,0)))</f>
        <v/>
      </c>
      <c r="H717" s="1" t="str">
        <f aca="false">IF(C717="","",INDEX(Akaun!$D$5:$D$150,MATCH(C717,Akaun!$A$5:$A$150,0)))</f>
        <v/>
      </c>
    </row>
    <row r="718" customFormat="false" ht="15.75" hidden="false" customHeight="true" outlineLevel="0" collapsed="false">
      <c r="G718" s="1" t="str">
        <f aca="false">IF(C718="","",INDEX(Akaun!$F$5:$F$150,MATCH(C718,Akaun!$A$5:$A$150,0)))</f>
        <v/>
      </c>
      <c r="H718" s="1" t="str">
        <f aca="false">IF(C718="","",INDEX(Akaun!$D$5:$D$150,MATCH(C718,Akaun!$A$5:$A$150,0)))</f>
        <v/>
      </c>
    </row>
    <row r="719" customFormat="false" ht="15.75" hidden="false" customHeight="true" outlineLevel="0" collapsed="false">
      <c r="G719" s="1" t="str">
        <f aca="false">IF(C719="","",INDEX(Akaun!$F$5:$F$150,MATCH(C719,Akaun!$A$5:$A$150,0)))</f>
        <v/>
      </c>
      <c r="H719" s="1" t="str">
        <f aca="false">IF(C719="","",INDEX(Akaun!$D$5:$D$150,MATCH(C719,Akaun!$A$5:$A$150,0)))</f>
        <v/>
      </c>
    </row>
    <row r="720" customFormat="false" ht="15.75" hidden="false" customHeight="true" outlineLevel="0" collapsed="false">
      <c r="G720" s="1" t="str">
        <f aca="false">IF(C720="","",INDEX(Akaun!$F$5:$F$150,MATCH(C720,Akaun!$A$5:$A$150,0)))</f>
        <v/>
      </c>
      <c r="H720" s="1" t="str">
        <f aca="false">IF(C720="","",INDEX(Akaun!$D$5:$D$150,MATCH(C720,Akaun!$A$5:$A$150,0)))</f>
        <v/>
      </c>
    </row>
    <row r="721" customFormat="false" ht="15.75" hidden="false" customHeight="true" outlineLevel="0" collapsed="false">
      <c r="G721" s="1" t="str">
        <f aca="false">IF(C721="","",INDEX(Akaun!$F$5:$F$150,MATCH(C721,Akaun!$A$5:$A$150,0)))</f>
        <v/>
      </c>
      <c r="H721" s="1" t="str">
        <f aca="false">IF(C721="","",INDEX(Akaun!$D$5:$D$150,MATCH(C721,Akaun!$A$5:$A$150,0)))</f>
        <v/>
      </c>
    </row>
    <row r="722" customFormat="false" ht="15.75" hidden="false" customHeight="true" outlineLevel="0" collapsed="false">
      <c r="G722" s="1" t="str">
        <f aca="false">IF(C722="","",INDEX(Akaun!$F$5:$F$150,MATCH(C722,Akaun!$A$5:$A$150,0)))</f>
        <v/>
      </c>
      <c r="H722" s="1" t="str">
        <f aca="false">IF(C722="","",INDEX(Akaun!$D$5:$D$150,MATCH(C722,Akaun!$A$5:$A$150,0)))</f>
        <v/>
      </c>
    </row>
    <row r="723" customFormat="false" ht="15.75" hidden="false" customHeight="true" outlineLevel="0" collapsed="false">
      <c r="G723" s="1" t="str">
        <f aca="false">IF(C723="","",INDEX(Akaun!$F$5:$F$150,MATCH(C723,Akaun!$A$5:$A$150,0)))</f>
        <v/>
      </c>
      <c r="H723" s="1" t="str">
        <f aca="false">IF(C723="","",INDEX(Akaun!$D$5:$D$150,MATCH(C723,Akaun!$A$5:$A$150,0)))</f>
        <v/>
      </c>
    </row>
    <row r="724" customFormat="false" ht="15.75" hidden="false" customHeight="true" outlineLevel="0" collapsed="false">
      <c r="G724" s="1" t="str">
        <f aca="false">IF(C724="","",INDEX(Akaun!$F$5:$F$150,MATCH(C724,Akaun!$A$5:$A$150,0)))</f>
        <v/>
      </c>
      <c r="H724" s="1" t="str">
        <f aca="false">IF(C724="","",INDEX(Akaun!$D$5:$D$150,MATCH(C724,Akaun!$A$5:$A$150,0)))</f>
        <v/>
      </c>
    </row>
    <row r="725" customFormat="false" ht="15.75" hidden="false" customHeight="true" outlineLevel="0" collapsed="false">
      <c r="G725" s="1" t="str">
        <f aca="false">IF(C725="","",INDEX(Akaun!$F$5:$F$150,MATCH(C725,Akaun!$A$5:$A$150,0)))</f>
        <v/>
      </c>
      <c r="H725" s="1" t="str">
        <f aca="false">IF(C725="","",INDEX(Akaun!$D$5:$D$150,MATCH(C725,Akaun!$A$5:$A$150,0)))</f>
        <v/>
      </c>
    </row>
    <row r="726" customFormat="false" ht="15.75" hidden="false" customHeight="true" outlineLevel="0" collapsed="false">
      <c r="G726" s="1" t="str">
        <f aca="false">IF(C726="","",INDEX(Akaun!$F$5:$F$150,MATCH(C726,Akaun!$A$5:$A$150,0)))</f>
        <v/>
      </c>
      <c r="H726" s="1" t="str">
        <f aca="false">IF(C726="","",INDEX(Akaun!$D$5:$D$150,MATCH(C726,Akaun!$A$5:$A$150,0)))</f>
        <v/>
      </c>
    </row>
    <row r="727" customFormat="false" ht="15.75" hidden="false" customHeight="true" outlineLevel="0" collapsed="false">
      <c r="G727" s="1" t="str">
        <f aca="false">IF(C727="","",INDEX(Akaun!$F$5:$F$150,MATCH(C727,Akaun!$A$5:$A$150,0)))</f>
        <v/>
      </c>
      <c r="H727" s="1" t="str">
        <f aca="false">IF(C727="","",INDEX(Akaun!$D$5:$D$150,MATCH(C727,Akaun!$A$5:$A$150,0)))</f>
        <v/>
      </c>
    </row>
    <row r="728" customFormat="false" ht="15.75" hidden="false" customHeight="true" outlineLevel="0" collapsed="false">
      <c r="G728" s="1" t="str">
        <f aca="false">IF(C728="","",INDEX(Akaun!$F$5:$F$150,MATCH(C728,Akaun!$A$5:$A$150,0)))</f>
        <v/>
      </c>
      <c r="H728" s="1" t="str">
        <f aca="false">IF(C728="","",INDEX(Akaun!$D$5:$D$150,MATCH(C728,Akaun!$A$5:$A$150,0)))</f>
        <v/>
      </c>
    </row>
    <row r="729" customFormat="false" ht="15.75" hidden="false" customHeight="true" outlineLevel="0" collapsed="false">
      <c r="G729" s="1" t="str">
        <f aca="false">IF(C729="","",INDEX(Akaun!$F$5:$F$150,MATCH(C729,Akaun!$A$5:$A$150,0)))</f>
        <v/>
      </c>
      <c r="H729" s="1" t="str">
        <f aca="false">IF(C729="","",INDEX(Akaun!$D$5:$D$150,MATCH(C729,Akaun!$A$5:$A$150,0)))</f>
        <v/>
      </c>
    </row>
    <row r="730" customFormat="false" ht="15.75" hidden="false" customHeight="true" outlineLevel="0" collapsed="false">
      <c r="G730" s="1" t="str">
        <f aca="false">IF(C730="","",INDEX(Akaun!$F$5:$F$150,MATCH(C730,Akaun!$A$5:$A$150,0)))</f>
        <v/>
      </c>
      <c r="H730" s="1" t="str">
        <f aca="false">IF(C730="","",INDEX(Akaun!$D$5:$D$150,MATCH(C730,Akaun!$A$5:$A$150,0)))</f>
        <v/>
      </c>
    </row>
    <row r="731" customFormat="false" ht="15.75" hidden="false" customHeight="true" outlineLevel="0" collapsed="false">
      <c r="G731" s="1" t="str">
        <f aca="false">IF(C731="","",INDEX(Akaun!$F$5:$F$150,MATCH(C731,Akaun!$A$5:$A$150,0)))</f>
        <v/>
      </c>
      <c r="H731" s="1" t="str">
        <f aca="false">IF(C731="","",INDEX(Akaun!$D$5:$D$150,MATCH(C731,Akaun!$A$5:$A$150,0)))</f>
        <v/>
      </c>
    </row>
    <row r="732" customFormat="false" ht="15.75" hidden="false" customHeight="true" outlineLevel="0" collapsed="false">
      <c r="G732" s="1" t="str">
        <f aca="false">IF(C732="","",INDEX(Akaun!$F$5:$F$150,MATCH(C732,Akaun!$A$5:$A$150,0)))</f>
        <v/>
      </c>
      <c r="H732" s="1" t="str">
        <f aca="false">IF(C732="","",INDEX(Akaun!$D$5:$D$150,MATCH(C732,Akaun!$A$5:$A$150,0)))</f>
        <v/>
      </c>
    </row>
    <row r="733" customFormat="false" ht="15.75" hidden="false" customHeight="true" outlineLevel="0" collapsed="false">
      <c r="G733" s="1" t="str">
        <f aca="false">IF(C733="","",INDEX(Akaun!$F$5:$F$150,MATCH(C733,Akaun!$A$5:$A$150,0)))</f>
        <v/>
      </c>
      <c r="H733" s="1" t="str">
        <f aca="false">IF(C733="","",INDEX(Akaun!$D$5:$D$150,MATCH(C733,Akaun!$A$5:$A$150,0)))</f>
        <v/>
      </c>
    </row>
    <row r="734" customFormat="false" ht="15.75" hidden="false" customHeight="true" outlineLevel="0" collapsed="false">
      <c r="G734" s="1" t="str">
        <f aca="false">IF(C734="","",INDEX(Akaun!$F$5:$F$150,MATCH(C734,Akaun!$A$5:$A$150,0)))</f>
        <v/>
      </c>
      <c r="H734" s="1" t="str">
        <f aca="false">IF(C734="","",INDEX(Akaun!$D$5:$D$150,MATCH(C734,Akaun!$A$5:$A$150,0)))</f>
        <v/>
      </c>
    </row>
    <row r="735" customFormat="false" ht="15.75" hidden="false" customHeight="true" outlineLevel="0" collapsed="false">
      <c r="G735" s="1" t="str">
        <f aca="false">IF(C735="","",INDEX(Akaun!$F$5:$F$150,MATCH(C735,Akaun!$A$5:$A$150,0)))</f>
        <v/>
      </c>
      <c r="H735" s="1" t="str">
        <f aca="false">IF(C735="","",INDEX(Akaun!$D$5:$D$150,MATCH(C735,Akaun!$A$5:$A$150,0)))</f>
        <v/>
      </c>
    </row>
    <row r="736" customFormat="false" ht="15.75" hidden="false" customHeight="true" outlineLevel="0" collapsed="false">
      <c r="G736" s="1" t="str">
        <f aca="false">IF(C736="","",INDEX(Akaun!$F$5:$F$150,MATCH(C736,Akaun!$A$5:$A$150,0)))</f>
        <v/>
      </c>
      <c r="H736" s="1" t="str">
        <f aca="false">IF(C736="","",INDEX(Akaun!$D$5:$D$150,MATCH(C736,Akaun!$A$5:$A$150,0)))</f>
        <v/>
      </c>
    </row>
    <row r="737" customFormat="false" ht="15.75" hidden="false" customHeight="true" outlineLevel="0" collapsed="false">
      <c r="G737" s="1" t="str">
        <f aca="false">IF(C737="","",INDEX(Akaun!$F$5:$F$150,MATCH(C737,Akaun!$A$5:$A$150,0)))</f>
        <v/>
      </c>
      <c r="H737" s="1" t="str">
        <f aca="false">IF(C737="","",INDEX(Akaun!$D$5:$D$150,MATCH(C737,Akaun!$A$5:$A$150,0)))</f>
        <v/>
      </c>
    </row>
    <row r="738" customFormat="false" ht="15.75" hidden="false" customHeight="true" outlineLevel="0" collapsed="false">
      <c r="G738" s="1" t="str">
        <f aca="false">IF(C738="","",INDEX(Akaun!$F$5:$F$150,MATCH(C738,Akaun!$A$5:$A$150,0)))</f>
        <v/>
      </c>
      <c r="H738" s="1" t="str">
        <f aca="false">IF(C738="","",INDEX(Akaun!$D$5:$D$150,MATCH(C738,Akaun!$A$5:$A$150,0)))</f>
        <v/>
      </c>
    </row>
    <row r="739" customFormat="false" ht="15.75" hidden="false" customHeight="true" outlineLevel="0" collapsed="false">
      <c r="G739" s="1" t="str">
        <f aca="false">IF(C739="","",INDEX(Akaun!$F$5:$F$150,MATCH(C739,Akaun!$A$5:$A$150,0)))</f>
        <v/>
      </c>
      <c r="H739" s="1" t="str">
        <f aca="false">IF(C739="","",INDEX(Akaun!$D$5:$D$150,MATCH(C739,Akaun!$A$5:$A$150,0)))</f>
        <v/>
      </c>
    </row>
    <row r="740" customFormat="false" ht="15.75" hidden="false" customHeight="true" outlineLevel="0" collapsed="false">
      <c r="G740" s="1" t="str">
        <f aca="false">IF(C740="","",INDEX(Akaun!$F$5:$F$150,MATCH(C740,Akaun!$A$5:$A$150,0)))</f>
        <v/>
      </c>
      <c r="H740" s="1" t="str">
        <f aca="false">IF(C740="","",INDEX(Akaun!$D$5:$D$150,MATCH(C740,Akaun!$A$5:$A$150,0)))</f>
        <v/>
      </c>
    </row>
    <row r="741" customFormat="false" ht="15.75" hidden="false" customHeight="true" outlineLevel="0" collapsed="false">
      <c r="G741" s="1" t="str">
        <f aca="false">IF(C741="","",INDEX(Akaun!$F$5:$F$150,MATCH(C741,Akaun!$A$5:$A$150,0)))</f>
        <v/>
      </c>
      <c r="H741" s="1" t="str">
        <f aca="false">IF(C741="","",INDEX(Akaun!$D$5:$D$150,MATCH(C741,Akaun!$A$5:$A$150,0)))</f>
        <v/>
      </c>
    </row>
    <row r="742" customFormat="false" ht="15.75" hidden="false" customHeight="true" outlineLevel="0" collapsed="false">
      <c r="G742" s="1" t="str">
        <f aca="false">IF(C742="","",INDEX(Akaun!$F$5:$F$150,MATCH(C742,Akaun!$A$5:$A$150,0)))</f>
        <v/>
      </c>
      <c r="H742" s="1" t="str">
        <f aca="false">IF(C742="","",INDEX(Akaun!$D$5:$D$150,MATCH(C742,Akaun!$A$5:$A$150,0)))</f>
        <v/>
      </c>
    </row>
    <row r="743" customFormat="false" ht="15.75" hidden="false" customHeight="true" outlineLevel="0" collapsed="false">
      <c r="G743" s="1" t="str">
        <f aca="false">IF(C743="","",INDEX(Akaun!$F$5:$F$150,MATCH(C743,Akaun!$A$5:$A$150,0)))</f>
        <v/>
      </c>
      <c r="H743" s="1" t="str">
        <f aca="false">IF(C743="","",INDEX(Akaun!$D$5:$D$150,MATCH(C743,Akaun!$A$5:$A$150,0)))</f>
        <v/>
      </c>
    </row>
    <row r="744" customFormat="false" ht="15.75" hidden="false" customHeight="true" outlineLevel="0" collapsed="false">
      <c r="G744" s="1" t="str">
        <f aca="false">IF(C744="","",INDEX(Akaun!$F$5:$F$150,MATCH(C744,Akaun!$A$5:$A$150,0)))</f>
        <v/>
      </c>
      <c r="H744" s="1" t="str">
        <f aca="false">IF(C744="","",INDEX(Akaun!$D$5:$D$150,MATCH(C744,Akaun!$A$5:$A$150,0)))</f>
        <v/>
      </c>
    </row>
    <row r="745" customFormat="false" ht="15.75" hidden="false" customHeight="true" outlineLevel="0" collapsed="false">
      <c r="G745" s="1" t="str">
        <f aca="false">IF(C745="","",INDEX(Akaun!$F$5:$F$150,MATCH(C745,Akaun!$A$5:$A$150,0)))</f>
        <v/>
      </c>
      <c r="H745" s="1" t="str">
        <f aca="false">IF(C745="","",INDEX(Akaun!$D$5:$D$150,MATCH(C745,Akaun!$A$5:$A$150,0)))</f>
        <v/>
      </c>
    </row>
    <row r="746" customFormat="false" ht="15.75" hidden="false" customHeight="true" outlineLevel="0" collapsed="false">
      <c r="G746" s="1" t="str">
        <f aca="false">IF(C746="","",INDEX(Akaun!$F$5:$F$150,MATCH(C746,Akaun!$A$5:$A$150,0)))</f>
        <v/>
      </c>
      <c r="H746" s="1" t="str">
        <f aca="false">IF(C746="","",INDEX(Akaun!$D$5:$D$150,MATCH(C746,Akaun!$A$5:$A$150,0)))</f>
        <v/>
      </c>
    </row>
    <row r="747" customFormat="false" ht="15.75" hidden="false" customHeight="true" outlineLevel="0" collapsed="false">
      <c r="G747" s="1" t="str">
        <f aca="false">IF(C747="","",INDEX(Akaun!$F$5:$F$150,MATCH(C747,Akaun!$A$5:$A$150,0)))</f>
        <v/>
      </c>
      <c r="H747" s="1" t="str">
        <f aca="false">IF(C747="","",INDEX(Akaun!$D$5:$D$150,MATCH(C747,Akaun!$A$5:$A$150,0)))</f>
        <v/>
      </c>
    </row>
    <row r="748" customFormat="false" ht="15.75" hidden="false" customHeight="true" outlineLevel="0" collapsed="false">
      <c r="G748" s="1" t="str">
        <f aca="false">IF(C748="","",INDEX(Akaun!$F$5:$F$150,MATCH(C748,Akaun!$A$5:$A$150,0)))</f>
        <v/>
      </c>
      <c r="H748" s="1" t="str">
        <f aca="false">IF(C748="","",INDEX(Akaun!$D$5:$D$150,MATCH(C748,Akaun!$A$5:$A$150,0)))</f>
        <v/>
      </c>
    </row>
    <row r="749" customFormat="false" ht="15.75" hidden="false" customHeight="true" outlineLevel="0" collapsed="false">
      <c r="G749" s="1" t="str">
        <f aca="false">IF(C749="","",INDEX(Akaun!$F$5:$F$150,MATCH(C749,Akaun!$A$5:$A$150,0)))</f>
        <v/>
      </c>
      <c r="H749" s="1" t="str">
        <f aca="false">IF(C749="","",INDEX(Akaun!$D$5:$D$150,MATCH(C749,Akaun!$A$5:$A$150,0)))</f>
        <v/>
      </c>
    </row>
    <row r="750" customFormat="false" ht="15.75" hidden="false" customHeight="true" outlineLevel="0" collapsed="false">
      <c r="G750" s="1" t="str">
        <f aca="false">IF(C750="","",INDEX(Akaun!$F$5:$F$150,MATCH(C750,Akaun!$A$5:$A$150,0)))</f>
        <v/>
      </c>
      <c r="H750" s="1" t="str">
        <f aca="false">IF(C750="","",INDEX(Akaun!$D$5:$D$150,MATCH(C750,Akaun!$A$5:$A$150,0)))</f>
        <v/>
      </c>
    </row>
    <row r="751" customFormat="false" ht="15.75" hidden="false" customHeight="true" outlineLevel="0" collapsed="false">
      <c r="G751" s="1" t="str">
        <f aca="false">IF(C751="","",INDEX(Akaun!$F$5:$F$150,MATCH(C751,Akaun!$A$5:$A$150,0)))</f>
        <v/>
      </c>
      <c r="H751" s="1" t="str">
        <f aca="false">IF(C751="","",INDEX(Akaun!$D$5:$D$150,MATCH(C751,Akaun!$A$5:$A$150,0)))</f>
        <v/>
      </c>
    </row>
    <row r="752" customFormat="false" ht="15.75" hidden="false" customHeight="true" outlineLevel="0" collapsed="false">
      <c r="G752" s="1" t="str">
        <f aca="false">IF(C752="","",INDEX(Akaun!$F$5:$F$150,MATCH(C752,Akaun!$A$5:$A$150,0)))</f>
        <v/>
      </c>
      <c r="H752" s="1" t="str">
        <f aca="false">IF(C752="","",INDEX(Akaun!$D$5:$D$150,MATCH(C752,Akaun!$A$5:$A$150,0)))</f>
        <v/>
      </c>
    </row>
    <row r="753" customFormat="false" ht="15.75" hidden="false" customHeight="true" outlineLevel="0" collapsed="false">
      <c r="G753" s="1" t="str">
        <f aca="false">IF(C753="","",INDEX(Akaun!$F$5:$F$150,MATCH(C753,Akaun!$A$5:$A$150,0)))</f>
        <v/>
      </c>
      <c r="H753" s="1" t="str">
        <f aca="false">IF(C753="","",INDEX(Akaun!$D$5:$D$150,MATCH(C753,Akaun!$A$5:$A$150,0)))</f>
        <v/>
      </c>
    </row>
    <row r="754" customFormat="false" ht="15.75" hidden="false" customHeight="true" outlineLevel="0" collapsed="false">
      <c r="G754" s="1" t="str">
        <f aca="false">IF(C754="","",INDEX(Akaun!$F$5:$F$150,MATCH(C754,Akaun!$A$5:$A$150,0)))</f>
        <v/>
      </c>
      <c r="H754" s="1" t="str">
        <f aca="false">IF(C754="","",INDEX(Akaun!$D$5:$D$150,MATCH(C754,Akaun!$A$5:$A$150,0)))</f>
        <v/>
      </c>
    </row>
    <row r="755" customFormat="false" ht="15.75" hidden="false" customHeight="true" outlineLevel="0" collapsed="false">
      <c r="G755" s="1" t="str">
        <f aca="false">IF(C755="","",INDEX(Akaun!$F$5:$F$150,MATCH(C755,Akaun!$A$5:$A$150,0)))</f>
        <v/>
      </c>
      <c r="H755" s="1" t="str">
        <f aca="false">IF(C755="","",INDEX(Akaun!$D$5:$D$150,MATCH(C755,Akaun!$A$5:$A$150,0)))</f>
        <v/>
      </c>
    </row>
    <row r="756" customFormat="false" ht="15.75" hidden="false" customHeight="true" outlineLevel="0" collapsed="false">
      <c r="G756" s="1" t="str">
        <f aca="false">IF(C756="","",INDEX(Akaun!$F$5:$F$150,MATCH(C756,Akaun!$A$5:$A$150,0)))</f>
        <v/>
      </c>
      <c r="H756" s="1" t="str">
        <f aca="false">IF(C756="","",INDEX(Akaun!$D$5:$D$150,MATCH(C756,Akaun!$A$5:$A$150,0)))</f>
        <v/>
      </c>
    </row>
    <row r="757" customFormat="false" ht="15.75" hidden="false" customHeight="true" outlineLevel="0" collapsed="false">
      <c r="G757" s="1" t="str">
        <f aca="false">IF(C757="","",INDEX(Akaun!$F$5:$F$150,MATCH(C757,Akaun!$A$5:$A$150,0)))</f>
        <v/>
      </c>
      <c r="H757" s="1" t="str">
        <f aca="false">IF(C757="","",INDEX(Akaun!$D$5:$D$150,MATCH(C757,Akaun!$A$5:$A$150,0)))</f>
        <v/>
      </c>
    </row>
    <row r="758" customFormat="false" ht="15.75" hidden="false" customHeight="true" outlineLevel="0" collapsed="false">
      <c r="G758" s="1" t="str">
        <f aca="false">IF(C758="","",INDEX(Akaun!$F$5:$F$150,MATCH(C758,Akaun!$A$5:$A$150,0)))</f>
        <v/>
      </c>
      <c r="H758" s="1" t="str">
        <f aca="false">IF(C758="","",INDEX(Akaun!$D$5:$D$150,MATCH(C758,Akaun!$A$5:$A$150,0)))</f>
        <v/>
      </c>
    </row>
    <row r="759" customFormat="false" ht="15.75" hidden="false" customHeight="true" outlineLevel="0" collapsed="false">
      <c r="G759" s="1" t="str">
        <f aca="false">IF(C759="","",INDEX(Akaun!$F$5:$F$150,MATCH(C759,Akaun!$A$5:$A$150,0)))</f>
        <v/>
      </c>
      <c r="H759" s="1" t="str">
        <f aca="false">IF(C759="","",INDEX(Akaun!$D$5:$D$150,MATCH(C759,Akaun!$A$5:$A$150,0)))</f>
        <v/>
      </c>
    </row>
    <row r="760" customFormat="false" ht="15.75" hidden="false" customHeight="true" outlineLevel="0" collapsed="false">
      <c r="G760" s="1" t="str">
        <f aca="false">IF(C760="","",INDEX(Akaun!$F$5:$F$150,MATCH(C760,Akaun!$A$5:$A$150,0)))</f>
        <v/>
      </c>
      <c r="H760" s="1" t="str">
        <f aca="false">IF(C760="","",INDEX(Akaun!$D$5:$D$150,MATCH(C760,Akaun!$A$5:$A$150,0)))</f>
        <v/>
      </c>
    </row>
    <row r="761" customFormat="false" ht="15.75" hidden="false" customHeight="true" outlineLevel="0" collapsed="false">
      <c r="G761" s="1" t="str">
        <f aca="false">IF(C761="","",INDEX(Akaun!$F$5:$F$150,MATCH(C761,Akaun!$A$5:$A$150,0)))</f>
        <v/>
      </c>
      <c r="H761" s="1" t="str">
        <f aca="false">IF(C761="","",INDEX(Akaun!$D$5:$D$150,MATCH(C761,Akaun!$A$5:$A$150,0)))</f>
        <v/>
      </c>
    </row>
    <row r="762" customFormat="false" ht="15.75" hidden="false" customHeight="true" outlineLevel="0" collapsed="false">
      <c r="G762" s="1" t="str">
        <f aca="false">IF(C762="","",INDEX(Akaun!$F$5:$F$150,MATCH(C762,Akaun!$A$5:$A$150,0)))</f>
        <v/>
      </c>
      <c r="H762" s="1" t="str">
        <f aca="false">IF(C762="","",INDEX(Akaun!$D$5:$D$150,MATCH(C762,Akaun!$A$5:$A$150,0)))</f>
        <v/>
      </c>
    </row>
    <row r="763" customFormat="false" ht="15.75" hidden="false" customHeight="true" outlineLevel="0" collapsed="false">
      <c r="G763" s="1" t="str">
        <f aca="false">IF(C763="","",INDEX(Akaun!$F$5:$F$150,MATCH(C763,Akaun!$A$5:$A$150,0)))</f>
        <v/>
      </c>
      <c r="H763" s="1" t="str">
        <f aca="false">IF(C763="","",INDEX(Akaun!$D$5:$D$150,MATCH(C763,Akaun!$A$5:$A$150,0)))</f>
        <v/>
      </c>
    </row>
    <row r="764" customFormat="false" ht="15.75" hidden="false" customHeight="true" outlineLevel="0" collapsed="false">
      <c r="G764" s="1" t="str">
        <f aca="false">IF(C764="","",INDEX(Akaun!$F$5:$F$150,MATCH(C764,Akaun!$A$5:$A$150,0)))</f>
        <v/>
      </c>
      <c r="H764" s="1" t="str">
        <f aca="false">IF(C764="","",INDEX(Akaun!$D$5:$D$150,MATCH(C764,Akaun!$A$5:$A$150,0)))</f>
        <v/>
      </c>
    </row>
    <row r="765" customFormat="false" ht="15.75" hidden="false" customHeight="true" outlineLevel="0" collapsed="false">
      <c r="G765" s="1" t="str">
        <f aca="false">IF(C765="","",INDEX(Akaun!$F$5:$F$150,MATCH(C765,Akaun!$A$5:$A$150,0)))</f>
        <v/>
      </c>
      <c r="H765" s="1" t="str">
        <f aca="false">IF(C765="","",INDEX(Akaun!$D$5:$D$150,MATCH(C765,Akaun!$A$5:$A$150,0)))</f>
        <v/>
      </c>
    </row>
    <row r="766" customFormat="false" ht="15.75" hidden="false" customHeight="true" outlineLevel="0" collapsed="false">
      <c r="G766" s="1" t="str">
        <f aca="false">IF(C766="","",INDEX(Akaun!$F$5:$F$150,MATCH(C766,Akaun!$A$5:$A$150,0)))</f>
        <v/>
      </c>
      <c r="H766" s="1" t="str">
        <f aca="false">IF(C766="","",INDEX(Akaun!$D$5:$D$150,MATCH(C766,Akaun!$A$5:$A$150,0)))</f>
        <v/>
      </c>
    </row>
    <row r="767" customFormat="false" ht="15.75" hidden="false" customHeight="true" outlineLevel="0" collapsed="false">
      <c r="G767" s="1" t="str">
        <f aca="false">IF(C767="","",INDEX(Akaun!$F$5:$F$150,MATCH(C767,Akaun!$A$5:$A$150,0)))</f>
        <v/>
      </c>
      <c r="H767" s="1" t="str">
        <f aca="false">IF(C767="","",INDEX(Akaun!$D$5:$D$150,MATCH(C767,Akaun!$A$5:$A$150,0)))</f>
        <v/>
      </c>
    </row>
    <row r="768" customFormat="false" ht="15.75" hidden="false" customHeight="true" outlineLevel="0" collapsed="false">
      <c r="G768" s="1" t="str">
        <f aca="false">IF(C768="","",INDEX(Akaun!$F$5:$F$150,MATCH(C768,Akaun!$A$5:$A$150,0)))</f>
        <v/>
      </c>
      <c r="H768" s="1" t="str">
        <f aca="false">IF(C768="","",INDEX(Akaun!$D$5:$D$150,MATCH(C768,Akaun!$A$5:$A$150,0)))</f>
        <v/>
      </c>
    </row>
    <row r="769" customFormat="false" ht="15.75" hidden="false" customHeight="true" outlineLevel="0" collapsed="false">
      <c r="G769" s="1" t="str">
        <f aca="false">IF(C769="","",INDEX(Akaun!$F$5:$F$150,MATCH(C769,Akaun!$A$5:$A$150,0)))</f>
        <v/>
      </c>
      <c r="H769" s="1" t="str">
        <f aca="false">IF(C769="","",INDEX(Akaun!$D$5:$D$150,MATCH(C769,Akaun!$A$5:$A$150,0)))</f>
        <v/>
      </c>
    </row>
    <row r="770" customFormat="false" ht="15.75" hidden="false" customHeight="true" outlineLevel="0" collapsed="false">
      <c r="G770" s="1" t="str">
        <f aca="false">IF(C770="","",INDEX(Akaun!$F$5:$F$150,MATCH(C770,Akaun!$A$5:$A$150,0)))</f>
        <v/>
      </c>
      <c r="H770" s="1" t="str">
        <f aca="false">IF(C770="","",INDEX(Akaun!$D$5:$D$150,MATCH(C770,Akaun!$A$5:$A$150,0)))</f>
        <v/>
      </c>
    </row>
    <row r="771" customFormat="false" ht="15.75" hidden="false" customHeight="true" outlineLevel="0" collapsed="false">
      <c r="G771" s="1" t="str">
        <f aca="false">IF(C771="","",INDEX(Akaun!$F$5:$F$150,MATCH(C771,Akaun!$A$5:$A$150,0)))</f>
        <v/>
      </c>
      <c r="H771" s="1" t="str">
        <f aca="false">IF(C771="","",INDEX(Akaun!$D$5:$D$150,MATCH(C771,Akaun!$A$5:$A$150,0)))</f>
        <v/>
      </c>
    </row>
    <row r="772" customFormat="false" ht="15.75" hidden="false" customHeight="true" outlineLevel="0" collapsed="false">
      <c r="G772" s="1" t="str">
        <f aca="false">IF(C772="","",INDEX(Akaun!$F$5:$F$150,MATCH(C772,Akaun!$A$5:$A$150,0)))</f>
        <v/>
      </c>
      <c r="H772" s="1" t="str">
        <f aca="false">IF(C772="","",INDEX(Akaun!$D$5:$D$150,MATCH(C772,Akaun!$A$5:$A$150,0)))</f>
        <v/>
      </c>
    </row>
    <row r="773" customFormat="false" ht="15.75" hidden="false" customHeight="true" outlineLevel="0" collapsed="false">
      <c r="G773" s="1" t="str">
        <f aca="false">IF(C773="","",INDEX(Akaun!$F$5:$F$150,MATCH(C773,Akaun!$A$5:$A$150,0)))</f>
        <v/>
      </c>
      <c r="H773" s="1" t="str">
        <f aca="false">IF(C773="","",INDEX(Akaun!$D$5:$D$150,MATCH(C773,Akaun!$A$5:$A$150,0)))</f>
        <v/>
      </c>
    </row>
    <row r="774" customFormat="false" ht="15.75" hidden="false" customHeight="true" outlineLevel="0" collapsed="false">
      <c r="G774" s="1" t="str">
        <f aca="false">IF(C774="","",INDEX(Akaun!$F$5:$F$150,MATCH(C774,Akaun!$A$5:$A$150,0)))</f>
        <v/>
      </c>
      <c r="H774" s="1" t="str">
        <f aca="false">IF(C774="","",INDEX(Akaun!$D$5:$D$150,MATCH(C774,Akaun!$A$5:$A$150,0)))</f>
        <v/>
      </c>
    </row>
    <row r="775" customFormat="false" ht="15.75" hidden="false" customHeight="true" outlineLevel="0" collapsed="false">
      <c r="G775" s="1" t="str">
        <f aca="false">IF(C775="","",INDEX(Akaun!$F$5:$F$150,MATCH(C775,Akaun!$A$5:$A$150,0)))</f>
        <v/>
      </c>
      <c r="H775" s="1" t="str">
        <f aca="false">IF(C775="","",INDEX(Akaun!$D$5:$D$150,MATCH(C775,Akaun!$A$5:$A$150,0)))</f>
        <v/>
      </c>
    </row>
    <row r="776" customFormat="false" ht="15.75" hidden="false" customHeight="true" outlineLevel="0" collapsed="false">
      <c r="G776" s="1" t="str">
        <f aca="false">IF(C776="","",INDEX(Akaun!$F$5:$F$150,MATCH(C776,Akaun!$A$5:$A$150,0)))</f>
        <v/>
      </c>
      <c r="H776" s="1" t="str">
        <f aca="false">IF(C776="","",INDEX(Akaun!$D$5:$D$150,MATCH(C776,Akaun!$A$5:$A$150,0)))</f>
        <v/>
      </c>
    </row>
    <row r="777" customFormat="false" ht="15.75" hidden="false" customHeight="true" outlineLevel="0" collapsed="false">
      <c r="G777" s="1" t="str">
        <f aca="false">IF(C777="","",INDEX(Akaun!$F$5:$F$150,MATCH(C777,Akaun!$A$5:$A$150,0)))</f>
        <v/>
      </c>
      <c r="H777" s="1" t="str">
        <f aca="false">IF(C777="","",INDEX(Akaun!$D$5:$D$150,MATCH(C777,Akaun!$A$5:$A$150,0)))</f>
        <v/>
      </c>
    </row>
    <row r="778" customFormat="false" ht="15.75" hidden="false" customHeight="true" outlineLevel="0" collapsed="false">
      <c r="G778" s="1" t="str">
        <f aca="false">IF(C778="","",INDEX(Akaun!$F$5:$F$150,MATCH(C778,Akaun!$A$5:$A$150,0)))</f>
        <v/>
      </c>
      <c r="H778" s="1" t="str">
        <f aca="false">IF(C778="","",INDEX(Akaun!$D$5:$D$150,MATCH(C778,Akaun!$A$5:$A$150,0)))</f>
        <v/>
      </c>
    </row>
    <row r="779" customFormat="false" ht="15.75" hidden="false" customHeight="true" outlineLevel="0" collapsed="false">
      <c r="G779" s="1" t="str">
        <f aca="false">IF(C779="","",INDEX(Akaun!$F$5:$F$150,MATCH(C779,Akaun!$A$5:$A$150,0)))</f>
        <v/>
      </c>
      <c r="H779" s="1" t="str">
        <f aca="false">IF(C779="","",INDEX(Akaun!$D$5:$D$150,MATCH(C779,Akaun!$A$5:$A$150,0)))</f>
        <v/>
      </c>
    </row>
    <row r="780" customFormat="false" ht="15.75" hidden="false" customHeight="true" outlineLevel="0" collapsed="false">
      <c r="G780" s="1" t="str">
        <f aca="false">IF(C780="","",INDEX(Akaun!$F$5:$F$150,MATCH(C780,Akaun!$A$5:$A$150,0)))</f>
        <v/>
      </c>
      <c r="H780" s="1" t="str">
        <f aca="false">IF(C780="","",INDEX(Akaun!$D$5:$D$150,MATCH(C780,Akaun!$A$5:$A$150,0)))</f>
        <v/>
      </c>
    </row>
    <row r="781" customFormat="false" ht="15.75" hidden="false" customHeight="true" outlineLevel="0" collapsed="false">
      <c r="G781" s="1" t="str">
        <f aca="false">IF(C781="","",INDEX(Akaun!$F$5:$F$150,MATCH(C781,Akaun!$A$5:$A$150,0)))</f>
        <v/>
      </c>
      <c r="H781" s="1" t="str">
        <f aca="false">IF(C781="","",INDEX(Akaun!$D$5:$D$150,MATCH(C781,Akaun!$A$5:$A$150,0)))</f>
        <v/>
      </c>
    </row>
    <row r="782" customFormat="false" ht="15.75" hidden="false" customHeight="true" outlineLevel="0" collapsed="false">
      <c r="G782" s="1" t="str">
        <f aca="false">IF(C782="","",INDEX(Akaun!$F$5:$F$150,MATCH(C782,Akaun!$A$5:$A$150,0)))</f>
        <v/>
      </c>
      <c r="H782" s="1" t="str">
        <f aca="false">IF(C782="","",INDEX(Akaun!$D$5:$D$150,MATCH(C782,Akaun!$A$5:$A$150,0)))</f>
        <v/>
      </c>
    </row>
    <row r="783" customFormat="false" ht="15.75" hidden="false" customHeight="true" outlineLevel="0" collapsed="false">
      <c r="G783" s="1" t="str">
        <f aca="false">IF(C783="","",INDEX(Akaun!$F$5:$F$150,MATCH(C783,Akaun!$A$5:$A$150,0)))</f>
        <v/>
      </c>
      <c r="H783" s="1" t="str">
        <f aca="false">IF(C783="","",INDEX(Akaun!$D$5:$D$150,MATCH(C783,Akaun!$A$5:$A$150,0)))</f>
        <v/>
      </c>
    </row>
    <row r="784" customFormat="false" ht="15.75" hidden="false" customHeight="true" outlineLevel="0" collapsed="false">
      <c r="G784" s="1" t="str">
        <f aca="false">IF(C784="","",INDEX(Akaun!$F$5:$F$150,MATCH(C784,Akaun!$A$5:$A$150,0)))</f>
        <v/>
      </c>
      <c r="H784" s="1" t="str">
        <f aca="false">IF(C784="","",INDEX(Akaun!$D$5:$D$150,MATCH(C784,Akaun!$A$5:$A$150,0)))</f>
        <v/>
      </c>
    </row>
    <row r="785" customFormat="false" ht="15.75" hidden="false" customHeight="true" outlineLevel="0" collapsed="false">
      <c r="G785" s="1" t="str">
        <f aca="false">IF(C785="","",INDEX(Akaun!$F$5:$F$150,MATCH(C785,Akaun!$A$5:$A$150,0)))</f>
        <v/>
      </c>
      <c r="H785" s="1" t="str">
        <f aca="false">IF(C785="","",INDEX(Akaun!$D$5:$D$150,MATCH(C785,Akaun!$A$5:$A$150,0)))</f>
        <v/>
      </c>
    </row>
    <row r="786" customFormat="false" ht="15.75" hidden="false" customHeight="true" outlineLevel="0" collapsed="false">
      <c r="G786" s="1" t="str">
        <f aca="false">IF(C786="","",INDEX(Akaun!$F$5:$F$150,MATCH(C786,Akaun!$A$5:$A$150,0)))</f>
        <v/>
      </c>
      <c r="H786" s="1" t="str">
        <f aca="false">IF(C786="","",INDEX(Akaun!$D$5:$D$150,MATCH(C786,Akaun!$A$5:$A$150,0)))</f>
        <v/>
      </c>
    </row>
    <row r="787" customFormat="false" ht="15.75" hidden="false" customHeight="true" outlineLevel="0" collapsed="false">
      <c r="G787" s="1" t="str">
        <f aca="false">IF(C787="","",INDEX(Akaun!$F$5:$F$150,MATCH(C787,Akaun!$A$5:$A$150,0)))</f>
        <v/>
      </c>
      <c r="H787" s="1" t="str">
        <f aca="false">IF(C787="","",INDEX(Akaun!$D$5:$D$150,MATCH(C787,Akaun!$A$5:$A$150,0)))</f>
        <v/>
      </c>
    </row>
    <row r="788" customFormat="false" ht="15.75" hidden="false" customHeight="true" outlineLevel="0" collapsed="false">
      <c r="G788" s="1" t="str">
        <f aca="false">IF(C788="","",INDEX(Akaun!$F$5:$F$150,MATCH(C788,Akaun!$A$5:$A$150,0)))</f>
        <v/>
      </c>
      <c r="H788" s="1" t="str">
        <f aca="false">IF(C788="","",INDEX(Akaun!$D$5:$D$150,MATCH(C788,Akaun!$A$5:$A$150,0)))</f>
        <v/>
      </c>
    </row>
    <row r="789" customFormat="false" ht="15.75" hidden="false" customHeight="true" outlineLevel="0" collapsed="false">
      <c r="G789" s="1" t="str">
        <f aca="false">IF(C789="","",INDEX(Akaun!$F$5:$F$150,MATCH(C789,Akaun!$A$5:$A$150,0)))</f>
        <v/>
      </c>
      <c r="H789" s="1" t="str">
        <f aca="false">IF(C789="","",INDEX(Akaun!$D$5:$D$150,MATCH(C789,Akaun!$A$5:$A$150,0)))</f>
        <v/>
      </c>
    </row>
    <row r="790" customFormat="false" ht="15.75" hidden="false" customHeight="true" outlineLevel="0" collapsed="false">
      <c r="G790" s="1" t="str">
        <f aca="false">IF(C790="","",INDEX(Akaun!$F$5:$F$150,MATCH(C790,Akaun!$A$5:$A$150,0)))</f>
        <v/>
      </c>
      <c r="H790" s="1" t="str">
        <f aca="false">IF(C790="","",INDEX(Akaun!$D$5:$D$150,MATCH(C790,Akaun!$A$5:$A$150,0)))</f>
        <v/>
      </c>
    </row>
    <row r="791" customFormat="false" ht="15.75" hidden="false" customHeight="true" outlineLevel="0" collapsed="false">
      <c r="G791" s="1" t="str">
        <f aca="false">IF(C791="","",INDEX(Akaun!$F$5:$F$150,MATCH(C791,Akaun!$A$5:$A$150,0)))</f>
        <v/>
      </c>
      <c r="H791" s="1" t="str">
        <f aca="false">IF(C791="","",INDEX(Akaun!$D$5:$D$150,MATCH(C791,Akaun!$A$5:$A$150,0)))</f>
        <v/>
      </c>
    </row>
    <row r="792" customFormat="false" ht="15.75" hidden="false" customHeight="true" outlineLevel="0" collapsed="false">
      <c r="G792" s="1" t="str">
        <f aca="false">IF(C792="","",INDEX(Akaun!$F$5:$F$150,MATCH(C792,Akaun!$A$5:$A$150,0)))</f>
        <v/>
      </c>
      <c r="H792" s="1" t="str">
        <f aca="false">IF(C792="","",INDEX(Akaun!$D$5:$D$150,MATCH(C792,Akaun!$A$5:$A$150,0)))</f>
        <v/>
      </c>
    </row>
    <row r="793" customFormat="false" ht="15.75" hidden="false" customHeight="true" outlineLevel="0" collapsed="false">
      <c r="G793" s="1" t="str">
        <f aca="false">IF(C793="","",INDEX(Akaun!$F$5:$F$150,MATCH(C793,Akaun!$A$5:$A$150,0)))</f>
        <v/>
      </c>
      <c r="H793" s="1" t="str">
        <f aca="false">IF(C793="","",INDEX(Akaun!$D$5:$D$150,MATCH(C793,Akaun!$A$5:$A$150,0)))</f>
        <v/>
      </c>
    </row>
    <row r="794" customFormat="false" ht="15.75" hidden="false" customHeight="true" outlineLevel="0" collapsed="false">
      <c r="G794" s="1" t="str">
        <f aca="false">IF(C794="","",INDEX(Akaun!$F$5:$F$150,MATCH(C794,Akaun!$A$5:$A$150,0)))</f>
        <v/>
      </c>
      <c r="H794" s="1" t="str">
        <f aca="false">IF(C794="","",INDEX(Akaun!$D$5:$D$150,MATCH(C794,Akaun!$A$5:$A$150,0)))</f>
        <v/>
      </c>
    </row>
    <row r="795" customFormat="false" ht="15.75" hidden="false" customHeight="true" outlineLevel="0" collapsed="false">
      <c r="G795" s="1" t="str">
        <f aca="false">IF(C795="","",INDEX(Akaun!$F$5:$F$150,MATCH(C795,Akaun!$A$5:$A$150,0)))</f>
        <v/>
      </c>
      <c r="H795" s="1" t="str">
        <f aca="false">IF(C795="","",INDEX(Akaun!$D$5:$D$150,MATCH(C795,Akaun!$A$5:$A$150,0)))</f>
        <v/>
      </c>
    </row>
    <row r="796" customFormat="false" ht="15.75" hidden="false" customHeight="true" outlineLevel="0" collapsed="false">
      <c r="G796" s="1" t="str">
        <f aca="false">IF(C796="","",INDEX(Akaun!$F$5:$F$150,MATCH(C796,Akaun!$A$5:$A$150,0)))</f>
        <v/>
      </c>
      <c r="H796" s="1" t="str">
        <f aca="false">IF(C796="","",INDEX(Akaun!$D$5:$D$150,MATCH(C796,Akaun!$A$5:$A$150,0)))</f>
        <v/>
      </c>
    </row>
    <row r="797" customFormat="false" ht="15.75" hidden="false" customHeight="true" outlineLevel="0" collapsed="false">
      <c r="G797" s="1" t="str">
        <f aca="false">IF(C797="","",INDEX(Akaun!$F$5:$F$150,MATCH(C797,Akaun!$A$5:$A$150,0)))</f>
        <v/>
      </c>
      <c r="H797" s="1" t="str">
        <f aca="false">IF(C797="","",INDEX(Akaun!$D$5:$D$150,MATCH(C797,Akaun!$A$5:$A$150,0)))</f>
        <v/>
      </c>
    </row>
    <row r="798" customFormat="false" ht="15.75" hidden="false" customHeight="true" outlineLevel="0" collapsed="false">
      <c r="G798" s="1" t="str">
        <f aca="false">IF(C798="","",INDEX(Akaun!$F$5:$F$150,MATCH(C798,Akaun!$A$5:$A$150,0)))</f>
        <v/>
      </c>
      <c r="H798" s="1" t="str">
        <f aca="false">IF(C798="","",INDEX(Akaun!$D$5:$D$150,MATCH(C798,Akaun!$A$5:$A$150,0)))</f>
        <v/>
      </c>
    </row>
    <row r="799" customFormat="false" ht="15.75" hidden="false" customHeight="true" outlineLevel="0" collapsed="false">
      <c r="G799" s="1" t="str">
        <f aca="false">IF(C799="","",INDEX(Akaun!$F$5:$F$150,MATCH(C799,Akaun!$A$5:$A$150,0)))</f>
        <v/>
      </c>
      <c r="H799" s="1" t="str">
        <f aca="false">IF(C799="","",INDEX(Akaun!$D$5:$D$150,MATCH(C799,Akaun!$A$5:$A$150,0)))</f>
        <v/>
      </c>
    </row>
    <row r="800" customFormat="false" ht="15.75" hidden="false" customHeight="true" outlineLevel="0" collapsed="false">
      <c r="G800" s="1" t="str">
        <f aca="false">IF(C800="","",INDEX(Akaun!$F$5:$F$150,MATCH(C800,Akaun!$A$5:$A$150,0)))</f>
        <v/>
      </c>
      <c r="H800" s="1" t="str">
        <f aca="false">IF(C800="","",INDEX(Akaun!$D$5:$D$150,MATCH(C800,Akaun!$A$5:$A$150,0)))</f>
        <v/>
      </c>
    </row>
    <row r="801" customFormat="false" ht="15.75" hidden="false" customHeight="true" outlineLevel="0" collapsed="false">
      <c r="G801" s="1" t="str">
        <f aca="false">IF(C801="","",INDEX(Akaun!$F$5:$F$150,MATCH(C801,Akaun!$A$5:$A$150,0)))</f>
        <v/>
      </c>
      <c r="H801" s="1" t="str">
        <f aca="false">IF(C801="","",INDEX(Akaun!$D$5:$D$150,MATCH(C801,Akaun!$A$5:$A$150,0)))</f>
        <v/>
      </c>
    </row>
    <row r="802" customFormat="false" ht="15.75" hidden="false" customHeight="true" outlineLevel="0" collapsed="false">
      <c r="G802" s="1" t="str">
        <f aca="false">IF(C802="","",INDEX(Akaun!$F$5:$F$150,MATCH(C802,Akaun!$A$5:$A$150,0)))</f>
        <v/>
      </c>
      <c r="H802" s="1" t="str">
        <f aca="false">IF(C802="","",INDEX(Akaun!$D$5:$D$150,MATCH(C802,Akaun!$A$5:$A$150,0)))</f>
        <v/>
      </c>
    </row>
    <row r="803" customFormat="false" ht="15.75" hidden="false" customHeight="true" outlineLevel="0" collapsed="false">
      <c r="G803" s="1" t="str">
        <f aca="false">IF(C803="","",INDEX(Akaun!$F$5:$F$150,MATCH(C803,Akaun!$A$5:$A$150,0)))</f>
        <v/>
      </c>
      <c r="H803" s="1" t="str">
        <f aca="false">IF(C803="","",INDEX(Akaun!$D$5:$D$150,MATCH(C803,Akaun!$A$5:$A$150,0)))</f>
        <v/>
      </c>
    </row>
    <row r="804" customFormat="false" ht="15.75" hidden="false" customHeight="true" outlineLevel="0" collapsed="false">
      <c r="G804" s="1" t="str">
        <f aca="false">IF(C804="","",INDEX(Akaun!$F$5:$F$150,MATCH(C804,Akaun!$A$5:$A$150,0)))</f>
        <v/>
      </c>
      <c r="H804" s="1" t="str">
        <f aca="false">IF(C804="","",INDEX(Akaun!$D$5:$D$150,MATCH(C804,Akaun!$A$5:$A$150,0)))</f>
        <v/>
      </c>
    </row>
    <row r="805" customFormat="false" ht="15.75" hidden="false" customHeight="true" outlineLevel="0" collapsed="false">
      <c r="G805" s="1" t="str">
        <f aca="false">IF(C805="","",INDEX(Akaun!$F$5:$F$150,MATCH(C805,Akaun!$A$5:$A$150,0)))</f>
        <v/>
      </c>
      <c r="H805" s="1" t="str">
        <f aca="false">IF(C805="","",INDEX(Akaun!$D$5:$D$150,MATCH(C805,Akaun!$A$5:$A$150,0)))</f>
        <v/>
      </c>
    </row>
    <row r="806" customFormat="false" ht="15.75" hidden="false" customHeight="true" outlineLevel="0" collapsed="false">
      <c r="G806" s="1" t="str">
        <f aca="false">IF(C806="","",INDEX(Akaun!$F$5:$F$150,MATCH(C806,Akaun!$A$5:$A$150,0)))</f>
        <v/>
      </c>
      <c r="H806" s="1" t="str">
        <f aca="false">IF(C806="","",INDEX(Akaun!$D$5:$D$150,MATCH(C806,Akaun!$A$5:$A$150,0)))</f>
        <v/>
      </c>
    </row>
    <row r="807" customFormat="false" ht="15.75" hidden="false" customHeight="true" outlineLevel="0" collapsed="false">
      <c r="G807" s="1" t="str">
        <f aca="false">IF(C807="","",INDEX(Akaun!$F$5:$F$150,MATCH(C807,Akaun!$A$5:$A$150,0)))</f>
        <v/>
      </c>
      <c r="H807" s="1" t="str">
        <f aca="false">IF(C807="","",INDEX(Akaun!$D$5:$D$150,MATCH(C807,Akaun!$A$5:$A$150,0)))</f>
        <v/>
      </c>
    </row>
    <row r="808" customFormat="false" ht="15.75" hidden="false" customHeight="true" outlineLevel="0" collapsed="false">
      <c r="G808" s="1" t="str">
        <f aca="false">IF(C808="","",INDEX(Akaun!$F$5:$F$150,MATCH(C808,Akaun!$A$5:$A$150,0)))</f>
        <v/>
      </c>
      <c r="H808" s="1" t="str">
        <f aca="false">IF(C808="","",INDEX(Akaun!$D$5:$D$150,MATCH(C808,Akaun!$A$5:$A$150,0)))</f>
        <v/>
      </c>
    </row>
    <row r="809" customFormat="false" ht="15.75" hidden="false" customHeight="true" outlineLevel="0" collapsed="false">
      <c r="G809" s="1" t="str">
        <f aca="false">IF(C809="","",INDEX(Akaun!$F$5:$F$150,MATCH(C809,Akaun!$A$5:$A$150,0)))</f>
        <v/>
      </c>
      <c r="H809" s="1" t="str">
        <f aca="false">IF(C809="","",INDEX(Akaun!$D$5:$D$150,MATCH(C809,Akaun!$A$5:$A$150,0)))</f>
        <v/>
      </c>
    </row>
    <row r="810" customFormat="false" ht="15.75" hidden="false" customHeight="true" outlineLevel="0" collapsed="false">
      <c r="G810" s="1" t="str">
        <f aca="false">IF(C810="","",INDEX(Akaun!$F$5:$F$150,MATCH(C810,Akaun!$A$5:$A$150,0)))</f>
        <v/>
      </c>
      <c r="H810" s="1" t="str">
        <f aca="false">IF(C810="","",INDEX(Akaun!$D$5:$D$150,MATCH(C810,Akaun!$A$5:$A$150,0)))</f>
        <v/>
      </c>
    </row>
    <row r="811" customFormat="false" ht="15.75" hidden="false" customHeight="true" outlineLevel="0" collapsed="false">
      <c r="G811" s="1" t="str">
        <f aca="false">IF(C811="","",INDEX(Akaun!$F$5:$F$150,MATCH(C811,Akaun!$A$5:$A$150,0)))</f>
        <v/>
      </c>
      <c r="H811" s="1" t="str">
        <f aca="false">IF(C811="","",INDEX(Akaun!$D$5:$D$150,MATCH(C811,Akaun!$A$5:$A$150,0)))</f>
        <v/>
      </c>
    </row>
    <row r="812" customFormat="false" ht="15.75" hidden="false" customHeight="true" outlineLevel="0" collapsed="false">
      <c r="G812" s="1" t="str">
        <f aca="false">IF(C812="","",INDEX(Akaun!$F$5:$F$150,MATCH(C812,Akaun!$A$5:$A$150,0)))</f>
        <v/>
      </c>
      <c r="H812" s="1" t="str">
        <f aca="false">IF(C812="","",INDEX(Akaun!$D$5:$D$150,MATCH(C812,Akaun!$A$5:$A$150,0)))</f>
        <v/>
      </c>
    </row>
    <row r="813" customFormat="false" ht="15.75" hidden="false" customHeight="true" outlineLevel="0" collapsed="false">
      <c r="G813" s="1" t="str">
        <f aca="false">IF(C813="","",INDEX(Akaun!$F$5:$F$150,MATCH(C813,Akaun!$A$5:$A$150,0)))</f>
        <v/>
      </c>
      <c r="H813" s="1" t="str">
        <f aca="false">IF(C813="","",INDEX(Akaun!$D$5:$D$150,MATCH(C813,Akaun!$A$5:$A$150,0)))</f>
        <v/>
      </c>
    </row>
    <row r="814" customFormat="false" ht="15.75" hidden="false" customHeight="true" outlineLevel="0" collapsed="false">
      <c r="G814" s="1" t="str">
        <f aca="false">IF(C814="","",INDEX(Akaun!$F$5:$F$150,MATCH(C814,Akaun!$A$5:$A$150,0)))</f>
        <v/>
      </c>
      <c r="H814" s="1" t="str">
        <f aca="false">IF(C814="","",INDEX(Akaun!$D$5:$D$150,MATCH(C814,Akaun!$A$5:$A$150,0)))</f>
        <v/>
      </c>
    </row>
    <row r="815" customFormat="false" ht="15.75" hidden="false" customHeight="true" outlineLevel="0" collapsed="false">
      <c r="G815" s="1" t="str">
        <f aca="false">IF(C815="","",INDEX(Akaun!$F$5:$F$150,MATCH(C815,Akaun!$A$5:$A$150,0)))</f>
        <v/>
      </c>
      <c r="H815" s="1" t="str">
        <f aca="false">IF(C815="","",INDEX(Akaun!$D$5:$D$150,MATCH(C815,Akaun!$A$5:$A$150,0)))</f>
        <v/>
      </c>
    </row>
    <row r="816" customFormat="false" ht="15.75" hidden="false" customHeight="true" outlineLevel="0" collapsed="false">
      <c r="G816" s="1" t="str">
        <f aca="false">IF(C816="","",INDEX(Akaun!$F$5:$F$150,MATCH(C816,Akaun!$A$5:$A$150,0)))</f>
        <v/>
      </c>
      <c r="H816" s="1" t="str">
        <f aca="false">IF(C816="","",INDEX(Akaun!$D$5:$D$150,MATCH(C816,Akaun!$A$5:$A$150,0)))</f>
        <v/>
      </c>
    </row>
    <row r="817" customFormat="false" ht="15.75" hidden="false" customHeight="true" outlineLevel="0" collapsed="false">
      <c r="G817" s="1" t="str">
        <f aca="false">IF(C817="","",INDEX(Akaun!$F$5:$F$150,MATCH(C817,Akaun!$A$5:$A$150,0)))</f>
        <v/>
      </c>
      <c r="H817" s="1" t="str">
        <f aca="false">IF(C817="","",INDEX(Akaun!$D$5:$D$150,MATCH(C817,Akaun!$A$5:$A$150,0)))</f>
        <v/>
      </c>
    </row>
    <row r="818" customFormat="false" ht="15.75" hidden="false" customHeight="true" outlineLevel="0" collapsed="false">
      <c r="G818" s="1" t="str">
        <f aca="false">IF(C818="","",INDEX(Akaun!$F$5:$F$150,MATCH(C818,Akaun!$A$5:$A$150,0)))</f>
        <v/>
      </c>
      <c r="H818" s="1" t="str">
        <f aca="false">IF(C818="","",INDEX(Akaun!$D$5:$D$150,MATCH(C818,Akaun!$A$5:$A$150,0)))</f>
        <v/>
      </c>
    </row>
    <row r="819" customFormat="false" ht="15.75" hidden="false" customHeight="true" outlineLevel="0" collapsed="false">
      <c r="G819" s="1" t="str">
        <f aca="false">IF(C819="","",INDEX(Akaun!$F$5:$F$150,MATCH(C819,Akaun!$A$5:$A$150,0)))</f>
        <v/>
      </c>
      <c r="H819" s="1" t="str">
        <f aca="false">IF(C819="","",INDEX(Akaun!$D$5:$D$150,MATCH(C819,Akaun!$A$5:$A$150,0)))</f>
        <v/>
      </c>
    </row>
    <row r="820" customFormat="false" ht="15.75" hidden="false" customHeight="true" outlineLevel="0" collapsed="false">
      <c r="G820" s="1" t="str">
        <f aca="false">IF(C820="","",INDEX(Akaun!$F$5:$F$150,MATCH(C820,Akaun!$A$5:$A$150,0)))</f>
        <v/>
      </c>
      <c r="H820" s="1" t="str">
        <f aca="false">IF(C820="","",INDEX(Akaun!$D$5:$D$150,MATCH(C820,Akaun!$A$5:$A$150,0)))</f>
        <v/>
      </c>
    </row>
    <row r="821" customFormat="false" ht="15.75" hidden="false" customHeight="true" outlineLevel="0" collapsed="false">
      <c r="G821" s="1" t="str">
        <f aca="false">IF(C821="","",INDEX(Akaun!$F$5:$F$150,MATCH(C821,Akaun!$A$5:$A$150,0)))</f>
        <v/>
      </c>
      <c r="H821" s="1" t="str">
        <f aca="false">IF(C821="","",INDEX(Akaun!$D$5:$D$150,MATCH(C821,Akaun!$A$5:$A$150,0)))</f>
        <v/>
      </c>
    </row>
    <row r="822" customFormat="false" ht="15.75" hidden="false" customHeight="true" outlineLevel="0" collapsed="false">
      <c r="G822" s="1" t="str">
        <f aca="false">IF(C822="","",INDEX(Akaun!$F$5:$F$150,MATCH(C822,Akaun!$A$5:$A$150,0)))</f>
        <v/>
      </c>
      <c r="H822" s="1" t="str">
        <f aca="false">IF(C822="","",INDEX(Akaun!$D$5:$D$150,MATCH(C822,Akaun!$A$5:$A$150,0)))</f>
        <v/>
      </c>
    </row>
    <row r="823" customFormat="false" ht="15.75" hidden="false" customHeight="true" outlineLevel="0" collapsed="false">
      <c r="G823" s="1" t="str">
        <f aca="false">IF(C823="","",INDEX(Akaun!$F$5:$F$150,MATCH(C823,Akaun!$A$5:$A$150,0)))</f>
        <v/>
      </c>
      <c r="H823" s="1" t="str">
        <f aca="false">IF(C823="","",INDEX(Akaun!$D$5:$D$150,MATCH(C823,Akaun!$A$5:$A$150,0)))</f>
        <v/>
      </c>
    </row>
    <row r="824" customFormat="false" ht="15.75" hidden="false" customHeight="true" outlineLevel="0" collapsed="false">
      <c r="G824" s="1" t="str">
        <f aca="false">IF(C824="","",INDEX(Akaun!$F$5:$F$150,MATCH(C824,Akaun!$A$5:$A$150,0)))</f>
        <v/>
      </c>
      <c r="H824" s="1" t="str">
        <f aca="false">IF(C824="","",INDEX(Akaun!$D$5:$D$150,MATCH(C824,Akaun!$A$5:$A$150,0)))</f>
        <v/>
      </c>
    </row>
    <row r="825" customFormat="false" ht="15.75" hidden="false" customHeight="true" outlineLevel="0" collapsed="false">
      <c r="G825" s="1" t="str">
        <f aca="false">IF(C825="","",INDEX(Akaun!$F$5:$F$150,MATCH(C825,Akaun!$A$5:$A$150,0)))</f>
        <v/>
      </c>
      <c r="H825" s="1" t="str">
        <f aca="false">IF(C825="","",INDEX(Akaun!$D$5:$D$150,MATCH(C825,Akaun!$A$5:$A$150,0)))</f>
        <v/>
      </c>
    </row>
    <row r="826" customFormat="false" ht="15.75" hidden="false" customHeight="true" outlineLevel="0" collapsed="false">
      <c r="G826" s="1" t="str">
        <f aca="false">IF(C826="","",INDEX(Akaun!$F$5:$F$150,MATCH(C826,Akaun!$A$5:$A$150,0)))</f>
        <v/>
      </c>
      <c r="H826" s="1" t="str">
        <f aca="false">IF(C826="","",INDEX(Akaun!$D$5:$D$150,MATCH(C826,Akaun!$A$5:$A$150,0)))</f>
        <v/>
      </c>
    </row>
    <row r="827" customFormat="false" ht="15.75" hidden="false" customHeight="true" outlineLevel="0" collapsed="false">
      <c r="G827" s="1" t="str">
        <f aca="false">IF(C827="","",INDEX(Akaun!$F$5:$F$150,MATCH(C827,Akaun!$A$5:$A$150,0)))</f>
        <v/>
      </c>
      <c r="H827" s="1" t="str">
        <f aca="false">IF(C827="","",INDEX(Akaun!$D$5:$D$150,MATCH(C827,Akaun!$A$5:$A$150,0)))</f>
        <v/>
      </c>
    </row>
    <row r="828" customFormat="false" ht="15.75" hidden="false" customHeight="true" outlineLevel="0" collapsed="false">
      <c r="G828" s="1" t="str">
        <f aca="false">IF(C828="","",INDEX(Akaun!$F$5:$F$150,MATCH(C828,Akaun!$A$5:$A$150,0)))</f>
        <v/>
      </c>
      <c r="H828" s="1" t="str">
        <f aca="false">IF(C828="","",INDEX(Akaun!$D$5:$D$150,MATCH(C828,Akaun!$A$5:$A$150,0)))</f>
        <v/>
      </c>
    </row>
    <row r="829" customFormat="false" ht="15.75" hidden="false" customHeight="true" outlineLevel="0" collapsed="false">
      <c r="G829" s="1" t="str">
        <f aca="false">IF(C829="","",INDEX(Akaun!$F$5:$F$150,MATCH(C829,Akaun!$A$5:$A$150,0)))</f>
        <v/>
      </c>
      <c r="H829" s="1" t="str">
        <f aca="false">IF(C829="","",INDEX(Akaun!$D$5:$D$150,MATCH(C829,Akaun!$A$5:$A$150,0)))</f>
        <v/>
      </c>
    </row>
    <row r="830" customFormat="false" ht="15.75" hidden="false" customHeight="true" outlineLevel="0" collapsed="false">
      <c r="G830" s="1" t="str">
        <f aca="false">IF(C830="","",INDEX(Akaun!$F$5:$F$150,MATCH(C830,Akaun!$A$5:$A$150,0)))</f>
        <v/>
      </c>
      <c r="H830" s="1" t="str">
        <f aca="false">IF(C830="","",INDEX(Akaun!$D$5:$D$150,MATCH(C830,Akaun!$A$5:$A$150,0)))</f>
        <v/>
      </c>
    </row>
    <row r="831" customFormat="false" ht="15.75" hidden="false" customHeight="true" outlineLevel="0" collapsed="false">
      <c r="G831" s="1" t="str">
        <f aca="false">IF(C831="","",INDEX(Akaun!$F$5:$F$150,MATCH(C831,Akaun!$A$5:$A$150,0)))</f>
        <v/>
      </c>
      <c r="H831" s="1" t="str">
        <f aca="false">IF(C831="","",INDEX(Akaun!$D$5:$D$150,MATCH(C831,Akaun!$A$5:$A$150,0)))</f>
        <v/>
      </c>
    </row>
    <row r="832" customFormat="false" ht="15.75" hidden="false" customHeight="true" outlineLevel="0" collapsed="false">
      <c r="G832" s="1" t="str">
        <f aca="false">IF(C832="","",INDEX(Akaun!$F$5:$F$150,MATCH(C832,Akaun!$A$5:$A$150,0)))</f>
        <v/>
      </c>
      <c r="H832" s="1" t="str">
        <f aca="false">IF(C832="","",INDEX(Akaun!$D$5:$D$150,MATCH(C832,Akaun!$A$5:$A$150,0)))</f>
        <v/>
      </c>
    </row>
    <row r="833" customFormat="false" ht="15.75" hidden="false" customHeight="true" outlineLevel="0" collapsed="false">
      <c r="G833" s="1" t="str">
        <f aca="false">IF(C833="","",INDEX(Akaun!$F$5:$F$150,MATCH(C833,Akaun!$A$5:$A$150,0)))</f>
        <v/>
      </c>
      <c r="H833" s="1" t="str">
        <f aca="false">IF(C833="","",INDEX(Akaun!$D$5:$D$150,MATCH(C833,Akaun!$A$5:$A$150,0)))</f>
        <v/>
      </c>
    </row>
    <row r="834" customFormat="false" ht="15.75" hidden="false" customHeight="true" outlineLevel="0" collapsed="false">
      <c r="G834" s="1" t="str">
        <f aca="false">IF(C834="","",INDEX(Akaun!$F$5:$F$150,MATCH(C834,Akaun!$A$5:$A$150,0)))</f>
        <v/>
      </c>
      <c r="H834" s="1" t="str">
        <f aca="false">IF(C834="","",INDEX(Akaun!$D$5:$D$150,MATCH(C834,Akaun!$A$5:$A$150,0)))</f>
        <v/>
      </c>
    </row>
    <row r="835" customFormat="false" ht="15.75" hidden="false" customHeight="true" outlineLevel="0" collapsed="false">
      <c r="G835" s="1" t="str">
        <f aca="false">IF(C835="","",INDEX(Akaun!$F$5:$F$150,MATCH(C835,Akaun!$A$5:$A$150,0)))</f>
        <v/>
      </c>
      <c r="H835" s="1" t="str">
        <f aca="false">IF(C835="","",INDEX(Akaun!$D$5:$D$150,MATCH(C835,Akaun!$A$5:$A$150,0)))</f>
        <v/>
      </c>
    </row>
    <row r="836" customFormat="false" ht="15.75" hidden="false" customHeight="true" outlineLevel="0" collapsed="false">
      <c r="G836" s="1" t="str">
        <f aca="false">IF(C836="","",INDEX(Akaun!$F$5:$F$150,MATCH(C836,Akaun!$A$5:$A$150,0)))</f>
        <v/>
      </c>
      <c r="H836" s="1" t="str">
        <f aca="false">IF(C836="","",INDEX(Akaun!$D$5:$D$150,MATCH(C836,Akaun!$A$5:$A$150,0)))</f>
        <v/>
      </c>
    </row>
    <row r="837" customFormat="false" ht="15.75" hidden="false" customHeight="true" outlineLevel="0" collapsed="false">
      <c r="G837" s="1" t="str">
        <f aca="false">IF(C837="","",INDEX(Akaun!$F$5:$F$150,MATCH(C837,Akaun!$A$5:$A$150,0)))</f>
        <v/>
      </c>
      <c r="H837" s="1" t="str">
        <f aca="false">IF(C837="","",INDEX(Akaun!$D$5:$D$150,MATCH(C837,Akaun!$A$5:$A$150,0)))</f>
        <v/>
      </c>
    </row>
    <row r="838" customFormat="false" ht="15.75" hidden="false" customHeight="true" outlineLevel="0" collapsed="false">
      <c r="G838" s="1" t="str">
        <f aca="false">IF(C838="","",INDEX(Akaun!$F$5:$F$150,MATCH(C838,Akaun!$A$5:$A$150,0)))</f>
        <v/>
      </c>
      <c r="H838" s="1" t="str">
        <f aca="false">IF(C838="","",INDEX(Akaun!$D$5:$D$150,MATCH(C838,Akaun!$A$5:$A$150,0)))</f>
        <v/>
      </c>
    </row>
    <row r="839" customFormat="false" ht="15.75" hidden="false" customHeight="true" outlineLevel="0" collapsed="false">
      <c r="G839" s="1" t="str">
        <f aca="false">IF(C839="","",INDEX(Akaun!$F$5:$F$150,MATCH(C839,Akaun!$A$5:$A$150,0)))</f>
        <v/>
      </c>
      <c r="H839" s="1" t="str">
        <f aca="false">IF(C839="","",INDEX(Akaun!$D$5:$D$150,MATCH(C839,Akaun!$A$5:$A$150,0)))</f>
        <v/>
      </c>
    </row>
    <row r="840" customFormat="false" ht="15.75" hidden="false" customHeight="true" outlineLevel="0" collapsed="false">
      <c r="G840" s="1" t="str">
        <f aca="false">IF(C840="","",INDEX(Akaun!$F$5:$F$150,MATCH(C840,Akaun!$A$5:$A$150,0)))</f>
        <v/>
      </c>
      <c r="H840" s="1" t="str">
        <f aca="false">IF(C840="","",INDEX(Akaun!$D$5:$D$150,MATCH(C840,Akaun!$A$5:$A$150,0)))</f>
        <v/>
      </c>
    </row>
    <row r="841" customFormat="false" ht="15.75" hidden="false" customHeight="true" outlineLevel="0" collapsed="false">
      <c r="G841" s="1" t="str">
        <f aca="false">IF(C841="","",INDEX(Akaun!$F$5:$F$150,MATCH(C841,Akaun!$A$5:$A$150,0)))</f>
        <v/>
      </c>
      <c r="H841" s="1" t="str">
        <f aca="false">IF(C841="","",INDEX(Akaun!$D$5:$D$150,MATCH(C841,Akaun!$A$5:$A$150,0)))</f>
        <v/>
      </c>
    </row>
    <row r="842" customFormat="false" ht="15.75" hidden="false" customHeight="true" outlineLevel="0" collapsed="false">
      <c r="G842" s="1" t="str">
        <f aca="false">IF(C842="","",INDEX(Akaun!$F$5:$F$150,MATCH(C842,Akaun!$A$5:$A$150,0)))</f>
        <v/>
      </c>
      <c r="H842" s="1" t="str">
        <f aca="false">IF(C842="","",INDEX(Akaun!$D$5:$D$150,MATCH(C842,Akaun!$A$5:$A$150,0)))</f>
        <v/>
      </c>
    </row>
    <row r="843" customFormat="false" ht="15.75" hidden="false" customHeight="true" outlineLevel="0" collapsed="false">
      <c r="G843" s="1" t="str">
        <f aca="false">IF(C843="","",INDEX(Akaun!$F$5:$F$150,MATCH(C843,Akaun!$A$5:$A$150,0)))</f>
        <v/>
      </c>
      <c r="H843" s="1" t="str">
        <f aca="false">IF(C843="","",INDEX(Akaun!$D$5:$D$150,MATCH(C843,Akaun!$A$5:$A$150,0)))</f>
        <v/>
      </c>
    </row>
    <row r="844" customFormat="false" ht="15.75" hidden="false" customHeight="true" outlineLevel="0" collapsed="false">
      <c r="G844" s="1" t="str">
        <f aca="false">IF(C844="","",INDEX(Akaun!$F$5:$F$150,MATCH(C844,Akaun!$A$5:$A$150,0)))</f>
        <v/>
      </c>
      <c r="H844" s="1" t="str">
        <f aca="false">IF(C844="","",INDEX(Akaun!$D$5:$D$150,MATCH(C844,Akaun!$A$5:$A$150,0)))</f>
        <v/>
      </c>
    </row>
    <row r="845" customFormat="false" ht="15.75" hidden="false" customHeight="true" outlineLevel="0" collapsed="false">
      <c r="G845" s="1" t="str">
        <f aca="false">IF(C845="","",INDEX(Akaun!$F$5:$F$150,MATCH(C845,Akaun!$A$5:$A$150,0)))</f>
        <v/>
      </c>
      <c r="H845" s="1" t="str">
        <f aca="false">IF(C845="","",INDEX(Akaun!$D$5:$D$150,MATCH(C845,Akaun!$A$5:$A$150,0)))</f>
        <v/>
      </c>
    </row>
    <row r="846" customFormat="false" ht="15.75" hidden="false" customHeight="true" outlineLevel="0" collapsed="false">
      <c r="G846" s="1" t="str">
        <f aca="false">IF(C846="","",INDEX(Akaun!$F$5:$F$150,MATCH(C846,Akaun!$A$5:$A$150,0)))</f>
        <v/>
      </c>
      <c r="H846" s="1" t="str">
        <f aca="false">IF(C846="","",INDEX(Akaun!$D$5:$D$150,MATCH(C846,Akaun!$A$5:$A$150,0)))</f>
        <v/>
      </c>
    </row>
    <row r="847" customFormat="false" ht="15.75" hidden="false" customHeight="true" outlineLevel="0" collapsed="false">
      <c r="G847" s="1" t="str">
        <f aca="false">IF(C847="","",INDEX(Akaun!$F$5:$F$150,MATCH(C847,Akaun!$A$5:$A$150,0)))</f>
        <v/>
      </c>
      <c r="H847" s="1" t="str">
        <f aca="false">IF(C847="","",INDEX(Akaun!$D$5:$D$150,MATCH(C847,Akaun!$A$5:$A$150,0)))</f>
        <v/>
      </c>
    </row>
    <row r="848" customFormat="false" ht="15.75" hidden="false" customHeight="true" outlineLevel="0" collapsed="false">
      <c r="G848" s="1" t="str">
        <f aca="false">IF(C848="","",INDEX(Akaun!$F$5:$F$150,MATCH(C848,Akaun!$A$5:$A$150,0)))</f>
        <v/>
      </c>
      <c r="H848" s="1" t="str">
        <f aca="false">IF(C848="","",INDEX(Akaun!$D$5:$D$150,MATCH(C848,Akaun!$A$5:$A$150,0)))</f>
        <v/>
      </c>
    </row>
    <row r="849" customFormat="false" ht="15.75" hidden="false" customHeight="true" outlineLevel="0" collapsed="false">
      <c r="G849" s="1" t="str">
        <f aca="false">IF(C849="","",INDEX(Akaun!$F$5:$F$150,MATCH(C849,Akaun!$A$5:$A$150,0)))</f>
        <v/>
      </c>
      <c r="H849" s="1" t="str">
        <f aca="false">IF(C849="","",INDEX(Akaun!$D$5:$D$150,MATCH(C849,Akaun!$A$5:$A$150,0)))</f>
        <v/>
      </c>
    </row>
    <row r="850" customFormat="false" ht="15.75" hidden="false" customHeight="true" outlineLevel="0" collapsed="false">
      <c r="G850" s="1" t="str">
        <f aca="false">IF(C850="","",INDEX(Akaun!$F$5:$F$150,MATCH(C850,Akaun!$A$5:$A$150,0)))</f>
        <v/>
      </c>
      <c r="H850" s="1" t="str">
        <f aca="false">IF(C850="","",INDEX(Akaun!$D$5:$D$150,MATCH(C850,Akaun!$A$5:$A$150,0)))</f>
        <v/>
      </c>
    </row>
    <row r="851" customFormat="false" ht="15.75" hidden="false" customHeight="true" outlineLevel="0" collapsed="false">
      <c r="G851" s="1" t="str">
        <f aca="false">IF(C851="","",INDEX(Akaun!$F$5:$F$150,MATCH(C851,Akaun!$A$5:$A$150,0)))</f>
        <v/>
      </c>
      <c r="H851" s="1" t="str">
        <f aca="false">IF(C851="","",INDEX(Akaun!$D$5:$D$150,MATCH(C851,Akaun!$A$5:$A$150,0)))</f>
        <v/>
      </c>
    </row>
    <row r="852" customFormat="false" ht="15.75" hidden="false" customHeight="true" outlineLevel="0" collapsed="false">
      <c r="G852" s="1" t="str">
        <f aca="false">IF(C852="","",INDEX(Akaun!$F$5:$F$150,MATCH(C852,Akaun!$A$5:$A$150,0)))</f>
        <v/>
      </c>
      <c r="H852" s="1" t="str">
        <f aca="false">IF(C852="","",INDEX(Akaun!$D$5:$D$150,MATCH(C852,Akaun!$A$5:$A$150,0)))</f>
        <v/>
      </c>
    </row>
    <row r="853" customFormat="false" ht="15.75" hidden="false" customHeight="true" outlineLevel="0" collapsed="false">
      <c r="G853" s="1" t="str">
        <f aca="false">IF(C853="","",INDEX(Akaun!$F$5:$F$150,MATCH(C853,Akaun!$A$5:$A$150,0)))</f>
        <v/>
      </c>
      <c r="H853" s="1" t="str">
        <f aca="false">IF(C853="","",INDEX(Akaun!$D$5:$D$150,MATCH(C853,Akaun!$A$5:$A$150,0)))</f>
        <v/>
      </c>
    </row>
    <row r="854" customFormat="false" ht="15.75" hidden="false" customHeight="true" outlineLevel="0" collapsed="false">
      <c r="G854" s="1" t="str">
        <f aca="false">IF(C854="","",INDEX(Akaun!$F$5:$F$150,MATCH(C854,Akaun!$A$5:$A$150,0)))</f>
        <v/>
      </c>
      <c r="H854" s="1" t="str">
        <f aca="false">IF(C854="","",INDEX(Akaun!$D$5:$D$150,MATCH(C854,Akaun!$A$5:$A$150,0)))</f>
        <v/>
      </c>
    </row>
    <row r="855" customFormat="false" ht="15.75" hidden="false" customHeight="true" outlineLevel="0" collapsed="false">
      <c r="G855" s="1" t="str">
        <f aca="false">IF(C855="","",INDEX(Akaun!$F$5:$F$150,MATCH(C855,Akaun!$A$5:$A$150,0)))</f>
        <v/>
      </c>
      <c r="H855" s="1" t="str">
        <f aca="false">IF(C855="","",INDEX(Akaun!$D$5:$D$150,MATCH(C855,Akaun!$A$5:$A$150,0)))</f>
        <v/>
      </c>
    </row>
    <row r="856" customFormat="false" ht="15.75" hidden="false" customHeight="true" outlineLevel="0" collapsed="false">
      <c r="G856" s="1" t="str">
        <f aca="false">IF(C856="","",INDEX(Akaun!$F$5:$F$150,MATCH(C856,Akaun!$A$5:$A$150,0)))</f>
        <v/>
      </c>
      <c r="H856" s="1" t="str">
        <f aca="false">IF(C856="","",INDEX(Akaun!$D$5:$D$150,MATCH(C856,Akaun!$A$5:$A$150,0)))</f>
        <v/>
      </c>
    </row>
    <row r="857" customFormat="false" ht="15.75" hidden="false" customHeight="true" outlineLevel="0" collapsed="false">
      <c r="G857" s="1" t="str">
        <f aca="false">IF(C857="","",INDEX(Akaun!$F$5:$F$150,MATCH(C857,Akaun!$A$5:$A$150,0)))</f>
        <v/>
      </c>
      <c r="H857" s="1" t="str">
        <f aca="false">IF(C857="","",INDEX(Akaun!$D$5:$D$150,MATCH(C857,Akaun!$A$5:$A$150,0)))</f>
        <v/>
      </c>
    </row>
    <row r="858" customFormat="false" ht="15.75" hidden="false" customHeight="true" outlineLevel="0" collapsed="false">
      <c r="G858" s="1" t="str">
        <f aca="false">IF(C858="","",INDEX(Akaun!$F$5:$F$150,MATCH(C858,Akaun!$A$5:$A$150,0)))</f>
        <v/>
      </c>
      <c r="H858" s="1" t="str">
        <f aca="false">IF(C858="","",INDEX(Akaun!$D$5:$D$150,MATCH(C858,Akaun!$A$5:$A$150,0)))</f>
        <v/>
      </c>
    </row>
    <row r="859" customFormat="false" ht="15.75" hidden="false" customHeight="true" outlineLevel="0" collapsed="false">
      <c r="G859" s="1" t="str">
        <f aca="false">IF(C859="","",INDEX(Akaun!$F$5:$F$150,MATCH(C859,Akaun!$A$5:$A$150,0)))</f>
        <v/>
      </c>
      <c r="H859" s="1" t="str">
        <f aca="false">IF(C859="","",INDEX(Akaun!$D$5:$D$150,MATCH(C859,Akaun!$A$5:$A$150,0)))</f>
        <v/>
      </c>
    </row>
    <row r="860" customFormat="false" ht="15.75" hidden="false" customHeight="true" outlineLevel="0" collapsed="false">
      <c r="G860" s="1" t="str">
        <f aca="false">IF(C860="","",INDEX(Akaun!$F$5:$F$150,MATCH(C860,Akaun!$A$5:$A$150,0)))</f>
        <v/>
      </c>
      <c r="H860" s="1" t="str">
        <f aca="false">IF(C860="","",INDEX(Akaun!$D$5:$D$150,MATCH(C860,Akaun!$A$5:$A$150,0)))</f>
        <v/>
      </c>
    </row>
    <row r="861" customFormat="false" ht="15.75" hidden="false" customHeight="true" outlineLevel="0" collapsed="false">
      <c r="G861" s="1" t="str">
        <f aca="false">IF(C861="","",INDEX(Akaun!$F$5:$F$150,MATCH(C861,Akaun!$A$5:$A$150,0)))</f>
        <v/>
      </c>
      <c r="H861" s="1" t="str">
        <f aca="false">IF(C861="","",INDEX(Akaun!$D$5:$D$150,MATCH(C861,Akaun!$A$5:$A$150,0)))</f>
        <v/>
      </c>
    </row>
    <row r="862" customFormat="false" ht="15.75" hidden="false" customHeight="true" outlineLevel="0" collapsed="false">
      <c r="G862" s="1" t="str">
        <f aca="false">IF(C862="","",INDEX(Akaun!$F$5:$F$150,MATCH(C862,Akaun!$A$5:$A$150,0)))</f>
        <v/>
      </c>
      <c r="H862" s="1" t="str">
        <f aca="false">IF(C862="","",INDEX(Akaun!$D$5:$D$150,MATCH(C862,Akaun!$A$5:$A$150,0)))</f>
        <v/>
      </c>
    </row>
    <row r="863" customFormat="false" ht="15.75" hidden="false" customHeight="true" outlineLevel="0" collapsed="false">
      <c r="G863" s="1" t="str">
        <f aca="false">IF(C863="","",INDEX(Akaun!$F$5:$F$150,MATCH(C863,Akaun!$A$5:$A$150,0)))</f>
        <v/>
      </c>
      <c r="H863" s="1" t="str">
        <f aca="false">IF(C863="","",INDEX(Akaun!$D$5:$D$150,MATCH(C863,Akaun!$A$5:$A$150,0)))</f>
        <v/>
      </c>
    </row>
    <row r="864" customFormat="false" ht="15.75" hidden="false" customHeight="true" outlineLevel="0" collapsed="false">
      <c r="G864" s="1" t="str">
        <f aca="false">IF(C864="","",INDEX(Akaun!$F$5:$F$150,MATCH(C864,Akaun!$A$5:$A$150,0)))</f>
        <v/>
      </c>
      <c r="H864" s="1" t="str">
        <f aca="false">IF(C864="","",INDEX(Akaun!$D$5:$D$150,MATCH(C864,Akaun!$A$5:$A$150,0)))</f>
        <v/>
      </c>
    </row>
    <row r="865" customFormat="false" ht="15.75" hidden="false" customHeight="true" outlineLevel="0" collapsed="false">
      <c r="G865" s="1" t="str">
        <f aca="false">IF(C865="","",INDEX(Akaun!$F$5:$F$150,MATCH(C865,Akaun!$A$5:$A$150,0)))</f>
        <v/>
      </c>
      <c r="H865" s="1" t="str">
        <f aca="false">IF(C865="","",INDEX(Akaun!$D$5:$D$150,MATCH(C865,Akaun!$A$5:$A$150,0)))</f>
        <v/>
      </c>
    </row>
    <row r="866" customFormat="false" ht="15.75" hidden="false" customHeight="true" outlineLevel="0" collapsed="false">
      <c r="G866" s="1" t="str">
        <f aca="false">IF(C866="","",INDEX(Akaun!$F$5:$F$150,MATCH(C866,Akaun!$A$5:$A$150,0)))</f>
        <v/>
      </c>
      <c r="H866" s="1" t="str">
        <f aca="false">IF(C866="","",INDEX(Akaun!$D$5:$D$150,MATCH(C866,Akaun!$A$5:$A$150,0)))</f>
        <v/>
      </c>
    </row>
    <row r="867" customFormat="false" ht="15.75" hidden="false" customHeight="true" outlineLevel="0" collapsed="false">
      <c r="G867" s="1" t="str">
        <f aca="false">IF(C867="","",INDEX(Akaun!$F$5:$F$150,MATCH(C867,Akaun!$A$5:$A$150,0)))</f>
        <v/>
      </c>
      <c r="H867" s="1" t="str">
        <f aca="false">IF(C867="","",INDEX(Akaun!$D$5:$D$150,MATCH(C867,Akaun!$A$5:$A$150,0)))</f>
        <v/>
      </c>
    </row>
    <row r="868" customFormat="false" ht="15.75" hidden="false" customHeight="true" outlineLevel="0" collapsed="false">
      <c r="G868" s="1" t="str">
        <f aca="false">IF(C868="","",INDEX(Akaun!$F$5:$F$150,MATCH(C868,Akaun!$A$5:$A$150,0)))</f>
        <v/>
      </c>
      <c r="H868" s="1" t="str">
        <f aca="false">IF(C868="","",INDEX(Akaun!$D$5:$D$150,MATCH(C868,Akaun!$A$5:$A$150,0)))</f>
        <v/>
      </c>
    </row>
    <row r="869" customFormat="false" ht="15.75" hidden="false" customHeight="true" outlineLevel="0" collapsed="false">
      <c r="G869" s="1" t="str">
        <f aca="false">IF(C869="","",INDEX(Akaun!$F$5:$F$150,MATCH(C869,Akaun!$A$5:$A$150,0)))</f>
        <v/>
      </c>
      <c r="H869" s="1" t="str">
        <f aca="false">IF(C869="","",INDEX(Akaun!$D$5:$D$150,MATCH(C869,Akaun!$A$5:$A$150,0)))</f>
        <v/>
      </c>
    </row>
    <row r="870" customFormat="false" ht="15.75" hidden="false" customHeight="true" outlineLevel="0" collapsed="false">
      <c r="G870" s="1" t="str">
        <f aca="false">IF(C870="","",INDEX(Akaun!$F$5:$F$150,MATCH(C870,Akaun!$A$5:$A$150,0)))</f>
        <v/>
      </c>
      <c r="H870" s="1" t="str">
        <f aca="false">IF(C870="","",INDEX(Akaun!$D$5:$D$150,MATCH(C870,Akaun!$A$5:$A$150,0)))</f>
        <v/>
      </c>
    </row>
    <row r="871" customFormat="false" ht="15.75" hidden="false" customHeight="true" outlineLevel="0" collapsed="false">
      <c r="G871" s="1" t="str">
        <f aca="false">IF(C871="","",INDEX(Akaun!$F$5:$F$150,MATCH(C871,Akaun!$A$5:$A$150,0)))</f>
        <v/>
      </c>
      <c r="H871" s="1" t="str">
        <f aca="false">IF(C871="","",INDEX(Akaun!$D$5:$D$150,MATCH(C871,Akaun!$A$5:$A$150,0)))</f>
        <v/>
      </c>
    </row>
    <row r="872" customFormat="false" ht="15.75" hidden="false" customHeight="true" outlineLevel="0" collapsed="false">
      <c r="G872" s="1" t="str">
        <f aca="false">IF(C872="","",INDEX(Akaun!$F$5:$F$150,MATCH(C872,Akaun!$A$5:$A$150,0)))</f>
        <v/>
      </c>
      <c r="H872" s="1" t="str">
        <f aca="false">IF(C872="","",INDEX(Akaun!$D$5:$D$150,MATCH(C872,Akaun!$A$5:$A$150,0)))</f>
        <v/>
      </c>
    </row>
    <row r="873" customFormat="false" ht="15.75" hidden="false" customHeight="true" outlineLevel="0" collapsed="false">
      <c r="G873" s="1" t="str">
        <f aca="false">IF(C873="","",INDEX(Akaun!$F$5:$F$150,MATCH(C873,Akaun!$A$5:$A$150,0)))</f>
        <v/>
      </c>
      <c r="H873" s="1" t="str">
        <f aca="false">IF(C873="","",INDEX(Akaun!$D$5:$D$150,MATCH(C873,Akaun!$A$5:$A$150,0)))</f>
        <v/>
      </c>
    </row>
    <row r="874" customFormat="false" ht="15.75" hidden="false" customHeight="true" outlineLevel="0" collapsed="false">
      <c r="G874" s="1" t="str">
        <f aca="false">IF(C874="","",INDEX(Akaun!$F$5:$F$150,MATCH(C874,Akaun!$A$5:$A$150,0)))</f>
        <v/>
      </c>
      <c r="H874" s="1" t="str">
        <f aca="false">IF(C874="","",INDEX(Akaun!$D$5:$D$150,MATCH(C874,Akaun!$A$5:$A$150,0)))</f>
        <v/>
      </c>
    </row>
    <row r="875" customFormat="false" ht="15.75" hidden="false" customHeight="true" outlineLevel="0" collapsed="false">
      <c r="G875" s="1" t="str">
        <f aca="false">IF(C875="","",INDEX(Akaun!$F$5:$F$150,MATCH(C875,Akaun!$A$5:$A$150,0)))</f>
        <v/>
      </c>
      <c r="H875" s="1" t="str">
        <f aca="false">IF(C875="","",INDEX(Akaun!$D$5:$D$150,MATCH(C875,Akaun!$A$5:$A$150,0)))</f>
        <v/>
      </c>
    </row>
    <row r="876" customFormat="false" ht="15.75" hidden="false" customHeight="true" outlineLevel="0" collapsed="false">
      <c r="G876" s="1" t="str">
        <f aca="false">IF(C876="","",INDEX(Akaun!$F$5:$F$150,MATCH(C876,Akaun!$A$5:$A$150,0)))</f>
        <v/>
      </c>
      <c r="H876" s="1" t="str">
        <f aca="false">IF(C876="","",INDEX(Akaun!$D$5:$D$150,MATCH(C876,Akaun!$A$5:$A$150,0)))</f>
        <v/>
      </c>
    </row>
    <row r="877" customFormat="false" ht="15.75" hidden="false" customHeight="true" outlineLevel="0" collapsed="false">
      <c r="G877" s="1" t="str">
        <f aca="false">IF(C877="","",INDEX(Akaun!$F$5:$F$150,MATCH(C877,Akaun!$A$5:$A$150,0)))</f>
        <v/>
      </c>
      <c r="H877" s="1" t="str">
        <f aca="false">IF(C877="","",INDEX(Akaun!$D$5:$D$150,MATCH(C877,Akaun!$A$5:$A$150,0)))</f>
        <v/>
      </c>
    </row>
    <row r="878" customFormat="false" ht="15.75" hidden="false" customHeight="true" outlineLevel="0" collapsed="false">
      <c r="G878" s="1" t="str">
        <f aca="false">IF(C878="","",INDEX(Akaun!$F$5:$F$150,MATCH(C878,Akaun!$A$5:$A$150,0)))</f>
        <v/>
      </c>
      <c r="H878" s="1" t="str">
        <f aca="false">IF(C878="","",INDEX(Akaun!$D$5:$D$150,MATCH(C878,Akaun!$A$5:$A$150,0)))</f>
        <v/>
      </c>
    </row>
    <row r="879" customFormat="false" ht="15.75" hidden="false" customHeight="true" outlineLevel="0" collapsed="false">
      <c r="G879" s="1" t="str">
        <f aca="false">IF(C879="","",INDEX(Akaun!$F$5:$F$150,MATCH(C879,Akaun!$A$5:$A$150,0)))</f>
        <v/>
      </c>
      <c r="H879" s="1" t="str">
        <f aca="false">IF(C879="","",INDEX(Akaun!$D$5:$D$150,MATCH(C879,Akaun!$A$5:$A$150,0)))</f>
        <v/>
      </c>
    </row>
    <row r="880" customFormat="false" ht="15.75" hidden="false" customHeight="true" outlineLevel="0" collapsed="false">
      <c r="G880" s="1" t="str">
        <f aca="false">IF(C880="","",INDEX(Akaun!$F$5:$F$150,MATCH(C880,Akaun!$A$5:$A$150,0)))</f>
        <v/>
      </c>
      <c r="H880" s="1" t="str">
        <f aca="false">IF(C880="","",INDEX(Akaun!$D$5:$D$150,MATCH(C880,Akaun!$A$5:$A$150,0)))</f>
        <v/>
      </c>
    </row>
    <row r="881" customFormat="false" ht="15.75" hidden="false" customHeight="true" outlineLevel="0" collapsed="false">
      <c r="G881" s="1" t="str">
        <f aca="false">IF(C881="","",INDEX(Akaun!$F$5:$F$150,MATCH(C881,Akaun!$A$5:$A$150,0)))</f>
        <v/>
      </c>
      <c r="H881" s="1" t="str">
        <f aca="false">IF(C881="","",INDEX(Akaun!$D$5:$D$150,MATCH(C881,Akaun!$A$5:$A$150,0)))</f>
        <v/>
      </c>
    </row>
    <row r="882" customFormat="false" ht="15.75" hidden="false" customHeight="true" outlineLevel="0" collapsed="false">
      <c r="G882" s="1" t="str">
        <f aca="false">IF(C882="","",INDEX(Akaun!$F$5:$F$150,MATCH(C882,Akaun!$A$5:$A$150,0)))</f>
        <v/>
      </c>
      <c r="H882" s="1" t="str">
        <f aca="false">IF(C882="","",INDEX(Akaun!$D$5:$D$150,MATCH(C882,Akaun!$A$5:$A$150,0)))</f>
        <v/>
      </c>
    </row>
    <row r="883" customFormat="false" ht="15.75" hidden="false" customHeight="true" outlineLevel="0" collapsed="false">
      <c r="G883" s="1" t="str">
        <f aca="false">IF(C883="","",INDEX(Akaun!$F$5:$F$150,MATCH(C883,Akaun!$A$5:$A$150,0)))</f>
        <v/>
      </c>
      <c r="H883" s="1" t="str">
        <f aca="false">IF(C883="","",INDEX(Akaun!$D$5:$D$150,MATCH(C883,Akaun!$A$5:$A$150,0)))</f>
        <v/>
      </c>
    </row>
    <row r="884" customFormat="false" ht="15.75" hidden="false" customHeight="true" outlineLevel="0" collapsed="false">
      <c r="G884" s="1" t="str">
        <f aca="false">IF(C884="","",INDEX(Akaun!$F$5:$F$150,MATCH(C884,Akaun!$A$5:$A$150,0)))</f>
        <v/>
      </c>
      <c r="H884" s="1" t="str">
        <f aca="false">IF(C884="","",INDEX(Akaun!$D$5:$D$150,MATCH(C884,Akaun!$A$5:$A$150,0)))</f>
        <v/>
      </c>
    </row>
    <row r="885" customFormat="false" ht="15.75" hidden="false" customHeight="true" outlineLevel="0" collapsed="false">
      <c r="G885" s="1" t="str">
        <f aca="false">IF(C885="","",INDEX(Akaun!$F$5:$F$150,MATCH(C885,Akaun!$A$5:$A$150,0)))</f>
        <v/>
      </c>
      <c r="H885" s="1" t="str">
        <f aca="false">IF(C885="","",INDEX(Akaun!$D$5:$D$150,MATCH(C885,Akaun!$A$5:$A$150,0)))</f>
        <v/>
      </c>
    </row>
    <row r="886" customFormat="false" ht="15.75" hidden="false" customHeight="true" outlineLevel="0" collapsed="false">
      <c r="G886" s="1" t="str">
        <f aca="false">IF(C886="","",INDEX(Akaun!$F$5:$F$150,MATCH(C886,Akaun!$A$5:$A$150,0)))</f>
        <v/>
      </c>
      <c r="H886" s="1" t="str">
        <f aca="false">IF(C886="","",INDEX(Akaun!$D$5:$D$150,MATCH(C886,Akaun!$A$5:$A$150,0)))</f>
        <v/>
      </c>
    </row>
    <row r="887" customFormat="false" ht="15.75" hidden="false" customHeight="true" outlineLevel="0" collapsed="false">
      <c r="G887" s="1" t="str">
        <f aca="false">IF(C887="","",INDEX(Akaun!$F$5:$F$150,MATCH(C887,Akaun!$A$5:$A$150,0)))</f>
        <v/>
      </c>
      <c r="H887" s="1" t="str">
        <f aca="false">IF(C887="","",INDEX(Akaun!$D$5:$D$150,MATCH(C887,Akaun!$A$5:$A$150,0)))</f>
        <v/>
      </c>
    </row>
    <row r="888" customFormat="false" ht="15.75" hidden="false" customHeight="true" outlineLevel="0" collapsed="false">
      <c r="G888" s="1" t="str">
        <f aca="false">IF(C888="","",INDEX(Akaun!$F$5:$F$150,MATCH(C888,Akaun!$A$5:$A$150,0)))</f>
        <v/>
      </c>
      <c r="H888" s="1" t="str">
        <f aca="false">IF(C888="","",INDEX(Akaun!$D$5:$D$150,MATCH(C888,Akaun!$A$5:$A$150,0)))</f>
        <v/>
      </c>
    </row>
    <row r="889" customFormat="false" ht="15.75" hidden="false" customHeight="true" outlineLevel="0" collapsed="false">
      <c r="G889" s="1" t="str">
        <f aca="false">IF(C889="","",INDEX(Akaun!$F$5:$F$150,MATCH(C889,Akaun!$A$5:$A$150,0)))</f>
        <v/>
      </c>
      <c r="H889" s="1" t="str">
        <f aca="false">IF(C889="","",INDEX(Akaun!$D$5:$D$150,MATCH(C889,Akaun!$A$5:$A$150,0)))</f>
        <v/>
      </c>
    </row>
    <row r="890" customFormat="false" ht="15.75" hidden="false" customHeight="true" outlineLevel="0" collapsed="false">
      <c r="G890" s="1" t="str">
        <f aca="false">IF(C890="","",INDEX(Akaun!$F$5:$F$150,MATCH(C890,Akaun!$A$5:$A$150,0)))</f>
        <v/>
      </c>
      <c r="H890" s="1" t="str">
        <f aca="false">IF(C890="","",INDEX(Akaun!$D$5:$D$150,MATCH(C890,Akaun!$A$5:$A$150,0)))</f>
        <v/>
      </c>
    </row>
    <row r="891" customFormat="false" ht="15.75" hidden="false" customHeight="true" outlineLevel="0" collapsed="false">
      <c r="G891" s="1" t="str">
        <f aca="false">IF(C891="","",INDEX(Akaun!$F$5:$F$150,MATCH(C891,Akaun!$A$5:$A$150,0)))</f>
        <v/>
      </c>
      <c r="H891" s="1" t="str">
        <f aca="false">IF(C891="","",INDEX(Akaun!$D$5:$D$150,MATCH(C891,Akaun!$A$5:$A$150,0)))</f>
        <v/>
      </c>
    </row>
    <row r="892" customFormat="false" ht="15.75" hidden="false" customHeight="true" outlineLevel="0" collapsed="false">
      <c r="G892" s="1" t="str">
        <f aca="false">IF(C892="","",INDEX(Akaun!$F$5:$F$150,MATCH(C892,Akaun!$A$5:$A$150,0)))</f>
        <v/>
      </c>
      <c r="H892" s="1" t="str">
        <f aca="false">IF(C892="","",INDEX(Akaun!$D$5:$D$150,MATCH(C892,Akaun!$A$5:$A$150,0)))</f>
        <v/>
      </c>
    </row>
    <row r="893" customFormat="false" ht="15.75" hidden="false" customHeight="true" outlineLevel="0" collapsed="false">
      <c r="G893" s="1" t="str">
        <f aca="false">IF(C893="","",INDEX(Akaun!$F$5:$F$150,MATCH(C893,Akaun!$A$5:$A$150,0)))</f>
        <v/>
      </c>
      <c r="H893" s="1" t="str">
        <f aca="false">IF(C893="","",INDEX(Akaun!$D$5:$D$150,MATCH(C893,Akaun!$A$5:$A$150,0)))</f>
        <v/>
      </c>
    </row>
    <row r="894" customFormat="false" ht="15.75" hidden="false" customHeight="true" outlineLevel="0" collapsed="false">
      <c r="G894" s="1" t="str">
        <f aca="false">IF(C894="","",INDEX(Akaun!$F$5:$F$150,MATCH(C894,Akaun!$A$5:$A$150,0)))</f>
        <v/>
      </c>
      <c r="H894" s="1" t="str">
        <f aca="false">IF(C894="","",INDEX(Akaun!$D$5:$D$150,MATCH(C894,Akaun!$A$5:$A$150,0)))</f>
        <v/>
      </c>
    </row>
    <row r="895" customFormat="false" ht="15.75" hidden="false" customHeight="true" outlineLevel="0" collapsed="false">
      <c r="G895" s="1" t="str">
        <f aca="false">IF(C895="","",INDEX(Akaun!$F$5:$F$150,MATCH(C895,Akaun!$A$5:$A$150,0)))</f>
        <v/>
      </c>
      <c r="H895" s="1" t="str">
        <f aca="false">IF(C895="","",INDEX(Akaun!$D$5:$D$150,MATCH(C895,Akaun!$A$5:$A$150,0)))</f>
        <v/>
      </c>
    </row>
    <row r="896" customFormat="false" ht="15.75" hidden="false" customHeight="true" outlineLevel="0" collapsed="false">
      <c r="G896" s="1" t="str">
        <f aca="false">IF(C896="","",INDEX(Akaun!$F$5:$F$150,MATCH(C896,Akaun!$A$5:$A$150,0)))</f>
        <v/>
      </c>
      <c r="H896" s="1" t="str">
        <f aca="false">IF(C896="","",INDEX(Akaun!$D$5:$D$150,MATCH(C896,Akaun!$A$5:$A$150,0)))</f>
        <v/>
      </c>
    </row>
    <row r="897" customFormat="false" ht="15.75" hidden="false" customHeight="true" outlineLevel="0" collapsed="false">
      <c r="G897" s="1" t="str">
        <f aca="false">IF(C897="","",INDEX(Akaun!$F$5:$F$150,MATCH(C897,Akaun!$A$5:$A$150,0)))</f>
        <v/>
      </c>
      <c r="H897" s="1" t="str">
        <f aca="false">IF(C897="","",INDEX(Akaun!$D$5:$D$150,MATCH(C897,Akaun!$A$5:$A$150,0)))</f>
        <v/>
      </c>
    </row>
    <row r="898" customFormat="false" ht="15.75" hidden="false" customHeight="true" outlineLevel="0" collapsed="false">
      <c r="G898" s="1" t="str">
        <f aca="false">IF(C898="","",INDEX(Akaun!$F$5:$F$150,MATCH(C898,Akaun!$A$5:$A$150,0)))</f>
        <v/>
      </c>
      <c r="H898" s="1" t="str">
        <f aca="false">IF(C898="","",INDEX(Akaun!$D$5:$D$150,MATCH(C898,Akaun!$A$5:$A$150,0)))</f>
        <v/>
      </c>
    </row>
    <row r="899" customFormat="false" ht="15.75" hidden="false" customHeight="true" outlineLevel="0" collapsed="false">
      <c r="G899" s="1" t="str">
        <f aca="false">IF(C899="","",INDEX(Akaun!$F$5:$F$150,MATCH(C899,Akaun!$A$5:$A$150,0)))</f>
        <v/>
      </c>
      <c r="H899" s="1" t="str">
        <f aca="false">IF(C899="","",INDEX(Akaun!$D$5:$D$150,MATCH(C899,Akaun!$A$5:$A$150,0)))</f>
        <v/>
      </c>
    </row>
    <row r="900" customFormat="false" ht="15.75" hidden="false" customHeight="true" outlineLevel="0" collapsed="false">
      <c r="G900" s="1" t="str">
        <f aca="false">IF(C900="","",INDEX(Akaun!$F$5:$F$150,MATCH(C900,Akaun!$A$5:$A$150,0)))</f>
        <v/>
      </c>
      <c r="H900" s="1" t="str">
        <f aca="false">IF(C900="","",INDEX(Akaun!$D$5:$D$150,MATCH(C900,Akaun!$A$5:$A$150,0)))</f>
        <v/>
      </c>
    </row>
    <row r="901" customFormat="false" ht="15.75" hidden="false" customHeight="true" outlineLevel="0" collapsed="false">
      <c r="G901" s="1" t="str">
        <f aca="false">IF(C901="","",INDEX(Akaun!$F$5:$F$150,MATCH(C901,Akaun!$A$5:$A$150,0)))</f>
        <v/>
      </c>
      <c r="H901" s="1" t="str">
        <f aca="false">IF(C901="","",INDEX(Akaun!$D$5:$D$150,MATCH(C901,Akaun!$A$5:$A$150,0)))</f>
        <v/>
      </c>
    </row>
    <row r="902" customFormat="false" ht="15.75" hidden="false" customHeight="true" outlineLevel="0" collapsed="false">
      <c r="G902" s="1" t="str">
        <f aca="false">IF(C902="","",INDEX(Akaun!$F$5:$F$150,MATCH(C902,Akaun!$A$5:$A$150,0)))</f>
        <v/>
      </c>
      <c r="H902" s="1" t="str">
        <f aca="false">IF(C902="","",INDEX(Akaun!$D$5:$D$150,MATCH(C902,Akaun!$A$5:$A$150,0)))</f>
        <v/>
      </c>
    </row>
    <row r="903" customFormat="false" ht="15.75" hidden="false" customHeight="true" outlineLevel="0" collapsed="false">
      <c r="G903" s="1" t="str">
        <f aca="false">IF(C903="","",INDEX(Akaun!$F$5:$F$150,MATCH(C903,Akaun!$A$5:$A$150,0)))</f>
        <v/>
      </c>
      <c r="H903" s="1" t="str">
        <f aca="false">IF(C903="","",INDEX(Akaun!$D$5:$D$150,MATCH(C903,Akaun!$A$5:$A$150,0)))</f>
        <v/>
      </c>
    </row>
    <row r="904" customFormat="false" ht="15.75" hidden="false" customHeight="true" outlineLevel="0" collapsed="false">
      <c r="G904" s="1" t="str">
        <f aca="false">IF(C904="","",INDEX(Akaun!$F$5:$F$150,MATCH(C904,Akaun!$A$5:$A$150,0)))</f>
        <v/>
      </c>
      <c r="H904" s="1" t="str">
        <f aca="false">IF(C904="","",INDEX(Akaun!$D$5:$D$150,MATCH(C904,Akaun!$A$5:$A$150,0)))</f>
        <v/>
      </c>
    </row>
    <row r="905" customFormat="false" ht="15.75" hidden="false" customHeight="true" outlineLevel="0" collapsed="false">
      <c r="G905" s="1" t="str">
        <f aca="false">IF(C905="","",INDEX(Akaun!$F$5:$F$150,MATCH(C905,Akaun!$A$5:$A$150,0)))</f>
        <v/>
      </c>
      <c r="H905" s="1" t="str">
        <f aca="false">IF(C905="","",INDEX(Akaun!$D$5:$D$150,MATCH(C905,Akaun!$A$5:$A$150,0)))</f>
        <v/>
      </c>
    </row>
    <row r="906" customFormat="false" ht="15.75" hidden="false" customHeight="true" outlineLevel="0" collapsed="false">
      <c r="G906" s="1" t="str">
        <f aca="false">IF(C906="","",INDEX(Akaun!$F$5:$F$150,MATCH(C906,Akaun!$A$5:$A$150,0)))</f>
        <v/>
      </c>
      <c r="H906" s="1" t="str">
        <f aca="false">IF(C906="","",INDEX(Akaun!$D$5:$D$150,MATCH(C906,Akaun!$A$5:$A$150,0)))</f>
        <v/>
      </c>
    </row>
    <row r="907" customFormat="false" ht="15.75" hidden="false" customHeight="true" outlineLevel="0" collapsed="false">
      <c r="G907" s="1" t="str">
        <f aca="false">IF(C907="","",INDEX(Akaun!$F$5:$F$150,MATCH(C907,Akaun!$A$5:$A$150,0)))</f>
        <v/>
      </c>
      <c r="H907" s="1" t="str">
        <f aca="false">IF(C907="","",INDEX(Akaun!$D$5:$D$150,MATCH(C907,Akaun!$A$5:$A$150,0)))</f>
        <v/>
      </c>
    </row>
    <row r="908" customFormat="false" ht="15.75" hidden="false" customHeight="true" outlineLevel="0" collapsed="false">
      <c r="G908" s="1" t="str">
        <f aca="false">IF(C908="","",INDEX(Akaun!$F$5:$F$150,MATCH(C908,Akaun!$A$5:$A$150,0)))</f>
        <v/>
      </c>
      <c r="H908" s="1" t="str">
        <f aca="false">IF(C908="","",INDEX(Akaun!$D$5:$D$150,MATCH(C908,Akaun!$A$5:$A$150,0)))</f>
        <v/>
      </c>
    </row>
    <row r="909" customFormat="false" ht="15.75" hidden="false" customHeight="true" outlineLevel="0" collapsed="false">
      <c r="G909" s="1" t="str">
        <f aca="false">IF(C909="","",INDEX(Akaun!$F$5:$F$150,MATCH(C909,Akaun!$A$5:$A$150,0)))</f>
        <v/>
      </c>
      <c r="H909" s="1" t="str">
        <f aca="false">IF(C909="","",INDEX(Akaun!$D$5:$D$150,MATCH(C909,Akaun!$A$5:$A$150,0)))</f>
        <v/>
      </c>
    </row>
    <row r="910" customFormat="false" ht="15.75" hidden="false" customHeight="true" outlineLevel="0" collapsed="false">
      <c r="G910" s="1" t="str">
        <f aca="false">IF(C910="","",INDEX(Akaun!$F$5:$F$150,MATCH(C910,Akaun!$A$5:$A$150,0)))</f>
        <v/>
      </c>
      <c r="H910" s="1" t="str">
        <f aca="false">IF(C910="","",INDEX(Akaun!$D$5:$D$150,MATCH(C910,Akaun!$A$5:$A$150,0)))</f>
        <v/>
      </c>
    </row>
    <row r="911" customFormat="false" ht="15.75" hidden="false" customHeight="true" outlineLevel="0" collapsed="false">
      <c r="G911" s="1" t="str">
        <f aca="false">IF(C911="","",INDEX(Akaun!$F$5:$F$150,MATCH(C911,Akaun!$A$5:$A$150,0)))</f>
        <v/>
      </c>
      <c r="H911" s="1" t="str">
        <f aca="false">IF(C911="","",INDEX(Akaun!$D$5:$D$150,MATCH(C911,Akaun!$A$5:$A$150,0)))</f>
        <v/>
      </c>
    </row>
    <row r="912" customFormat="false" ht="15.75" hidden="false" customHeight="true" outlineLevel="0" collapsed="false">
      <c r="G912" s="1" t="str">
        <f aca="false">IF(C912="","",INDEX(Akaun!$F$5:$F$150,MATCH(C912,Akaun!$A$5:$A$150,0)))</f>
        <v/>
      </c>
      <c r="H912" s="1" t="str">
        <f aca="false">IF(C912="","",INDEX(Akaun!$D$5:$D$150,MATCH(C912,Akaun!$A$5:$A$150,0)))</f>
        <v/>
      </c>
    </row>
    <row r="913" customFormat="false" ht="15.75" hidden="false" customHeight="true" outlineLevel="0" collapsed="false">
      <c r="G913" s="1" t="str">
        <f aca="false">IF(C913="","",INDEX(Akaun!$F$5:$F$150,MATCH(C913,Akaun!$A$5:$A$150,0)))</f>
        <v/>
      </c>
      <c r="H913" s="1" t="str">
        <f aca="false">IF(C913="","",INDEX(Akaun!$D$5:$D$150,MATCH(C913,Akaun!$A$5:$A$150,0)))</f>
        <v/>
      </c>
    </row>
    <row r="914" customFormat="false" ht="15.75" hidden="false" customHeight="true" outlineLevel="0" collapsed="false">
      <c r="G914" s="1" t="str">
        <f aca="false">IF(C914="","",INDEX(Akaun!$F$5:$F$150,MATCH(C914,Akaun!$A$5:$A$150,0)))</f>
        <v/>
      </c>
      <c r="H914" s="1" t="str">
        <f aca="false">IF(C914="","",INDEX(Akaun!$D$5:$D$150,MATCH(C914,Akaun!$A$5:$A$150,0)))</f>
        <v/>
      </c>
    </row>
    <row r="915" customFormat="false" ht="15.75" hidden="false" customHeight="true" outlineLevel="0" collapsed="false">
      <c r="G915" s="1" t="str">
        <f aca="false">IF(C915="","",INDEX(Akaun!$F$5:$F$150,MATCH(C915,Akaun!$A$5:$A$150,0)))</f>
        <v/>
      </c>
      <c r="H915" s="1" t="str">
        <f aca="false">IF(C915="","",INDEX(Akaun!$D$5:$D$150,MATCH(C915,Akaun!$A$5:$A$150,0)))</f>
        <v/>
      </c>
    </row>
    <row r="916" customFormat="false" ht="15.75" hidden="false" customHeight="true" outlineLevel="0" collapsed="false">
      <c r="G916" s="1" t="str">
        <f aca="false">IF(C916="","",INDEX(Akaun!$F$5:$F$150,MATCH(C916,Akaun!$A$5:$A$150,0)))</f>
        <v/>
      </c>
      <c r="H916" s="1" t="str">
        <f aca="false">IF(C916="","",INDEX(Akaun!$D$5:$D$150,MATCH(C916,Akaun!$A$5:$A$150,0)))</f>
        <v/>
      </c>
    </row>
    <row r="917" customFormat="false" ht="15.75" hidden="false" customHeight="true" outlineLevel="0" collapsed="false">
      <c r="G917" s="1" t="str">
        <f aca="false">IF(C917="","",INDEX(Akaun!$F$5:$F$150,MATCH(C917,Akaun!$A$5:$A$150,0)))</f>
        <v/>
      </c>
      <c r="H917" s="1" t="str">
        <f aca="false">IF(C917="","",INDEX(Akaun!$D$5:$D$150,MATCH(C917,Akaun!$A$5:$A$150,0)))</f>
        <v/>
      </c>
    </row>
    <row r="918" customFormat="false" ht="15.75" hidden="false" customHeight="true" outlineLevel="0" collapsed="false">
      <c r="G918" s="1" t="str">
        <f aca="false">IF(C918="","",INDEX(Akaun!$F$5:$F$150,MATCH(C918,Akaun!$A$5:$A$150,0)))</f>
        <v/>
      </c>
      <c r="H918" s="1" t="str">
        <f aca="false">IF(C918="","",INDEX(Akaun!$D$5:$D$150,MATCH(C918,Akaun!$A$5:$A$150,0)))</f>
        <v/>
      </c>
    </row>
    <row r="919" customFormat="false" ht="15.75" hidden="false" customHeight="true" outlineLevel="0" collapsed="false">
      <c r="G919" s="1" t="str">
        <f aca="false">IF(C919="","",INDEX(Akaun!$F$5:$F$150,MATCH(C919,Akaun!$A$5:$A$150,0)))</f>
        <v/>
      </c>
      <c r="H919" s="1" t="str">
        <f aca="false">IF(C919="","",INDEX(Akaun!$D$5:$D$150,MATCH(C919,Akaun!$A$5:$A$150,0)))</f>
        <v/>
      </c>
    </row>
    <row r="920" customFormat="false" ht="15.75" hidden="false" customHeight="true" outlineLevel="0" collapsed="false">
      <c r="G920" s="1" t="str">
        <f aca="false">IF(C920="","",INDEX(Akaun!$F$5:$F$150,MATCH(C920,Akaun!$A$5:$A$150,0)))</f>
        <v/>
      </c>
      <c r="H920" s="1" t="str">
        <f aca="false">IF(C920="","",INDEX(Akaun!$D$5:$D$150,MATCH(C920,Akaun!$A$5:$A$150,0)))</f>
        <v/>
      </c>
    </row>
    <row r="921" customFormat="false" ht="15.75" hidden="false" customHeight="true" outlineLevel="0" collapsed="false">
      <c r="G921" s="1" t="str">
        <f aca="false">IF(C921="","",INDEX(Akaun!$F$5:$F$150,MATCH(C921,Akaun!$A$5:$A$150,0)))</f>
        <v/>
      </c>
      <c r="H921" s="1" t="str">
        <f aca="false">IF(C921="","",INDEX(Akaun!$D$5:$D$150,MATCH(C921,Akaun!$A$5:$A$150,0)))</f>
        <v/>
      </c>
    </row>
    <row r="922" customFormat="false" ht="15.75" hidden="false" customHeight="true" outlineLevel="0" collapsed="false">
      <c r="G922" s="1" t="str">
        <f aca="false">IF(C922="","",INDEX(Akaun!$F$5:$F$150,MATCH(C922,Akaun!$A$5:$A$150,0)))</f>
        <v/>
      </c>
      <c r="H922" s="1" t="str">
        <f aca="false">IF(C922="","",INDEX(Akaun!$D$5:$D$150,MATCH(C922,Akaun!$A$5:$A$150,0)))</f>
        <v/>
      </c>
    </row>
    <row r="923" customFormat="false" ht="15.75" hidden="false" customHeight="true" outlineLevel="0" collapsed="false">
      <c r="G923" s="1" t="str">
        <f aca="false">IF(C923="","",INDEX(Akaun!$F$5:$F$150,MATCH(C923,Akaun!$A$5:$A$150,0)))</f>
        <v/>
      </c>
      <c r="H923" s="1" t="str">
        <f aca="false">IF(C923="","",INDEX(Akaun!$D$5:$D$150,MATCH(C923,Akaun!$A$5:$A$150,0)))</f>
        <v/>
      </c>
    </row>
    <row r="924" customFormat="false" ht="15.75" hidden="false" customHeight="true" outlineLevel="0" collapsed="false">
      <c r="G924" s="1" t="str">
        <f aca="false">IF(C924="","",INDEX(Akaun!$F$5:$F$150,MATCH(C924,Akaun!$A$5:$A$150,0)))</f>
        <v/>
      </c>
      <c r="H924" s="1" t="str">
        <f aca="false">IF(C924="","",INDEX(Akaun!$D$5:$D$150,MATCH(C924,Akaun!$A$5:$A$150,0)))</f>
        <v/>
      </c>
    </row>
    <row r="925" customFormat="false" ht="15.75" hidden="false" customHeight="true" outlineLevel="0" collapsed="false">
      <c r="G925" s="1" t="str">
        <f aca="false">IF(C925="","",INDEX(Akaun!$F$5:$F$150,MATCH(C925,Akaun!$A$5:$A$150,0)))</f>
        <v/>
      </c>
      <c r="H925" s="1" t="str">
        <f aca="false">IF(C925="","",INDEX(Akaun!$D$5:$D$150,MATCH(C925,Akaun!$A$5:$A$150,0)))</f>
        <v/>
      </c>
    </row>
    <row r="926" customFormat="false" ht="15.75" hidden="false" customHeight="true" outlineLevel="0" collapsed="false">
      <c r="G926" s="1" t="str">
        <f aca="false">IF(C926="","",INDEX(Akaun!$F$5:$F$150,MATCH(C926,Akaun!$A$5:$A$150,0)))</f>
        <v/>
      </c>
      <c r="H926" s="1" t="str">
        <f aca="false">IF(C926="","",INDEX(Akaun!$D$5:$D$150,MATCH(C926,Akaun!$A$5:$A$150,0)))</f>
        <v/>
      </c>
    </row>
    <row r="927" customFormat="false" ht="15.75" hidden="false" customHeight="true" outlineLevel="0" collapsed="false">
      <c r="G927" s="1" t="str">
        <f aca="false">IF(C927="","",INDEX(Akaun!$F$5:$F$150,MATCH(C927,Akaun!$A$5:$A$150,0)))</f>
        <v/>
      </c>
      <c r="H927" s="1" t="str">
        <f aca="false">IF(C927="","",INDEX(Akaun!$D$5:$D$150,MATCH(C927,Akaun!$A$5:$A$150,0)))</f>
        <v/>
      </c>
    </row>
    <row r="928" customFormat="false" ht="15.75" hidden="false" customHeight="true" outlineLevel="0" collapsed="false">
      <c r="G928" s="1" t="str">
        <f aca="false">IF(C928="","",INDEX(Akaun!$F$5:$F$150,MATCH(C928,Akaun!$A$5:$A$150,0)))</f>
        <v/>
      </c>
      <c r="H928" s="1" t="str">
        <f aca="false">IF(C928="","",INDEX(Akaun!$D$5:$D$150,MATCH(C928,Akaun!$A$5:$A$150,0)))</f>
        <v/>
      </c>
    </row>
    <row r="929" customFormat="false" ht="15.75" hidden="false" customHeight="true" outlineLevel="0" collapsed="false">
      <c r="G929" s="1" t="str">
        <f aca="false">IF(C929="","",INDEX(Akaun!$F$5:$F$150,MATCH(C929,Akaun!$A$5:$A$150,0)))</f>
        <v/>
      </c>
      <c r="H929" s="1" t="str">
        <f aca="false">IF(C929="","",INDEX(Akaun!$D$5:$D$150,MATCH(C929,Akaun!$A$5:$A$150,0)))</f>
        <v/>
      </c>
    </row>
    <row r="930" customFormat="false" ht="15.75" hidden="false" customHeight="true" outlineLevel="0" collapsed="false">
      <c r="G930" s="1" t="str">
        <f aca="false">IF(C930="","",INDEX(Akaun!$F$5:$F$150,MATCH(C930,Akaun!$A$5:$A$150,0)))</f>
        <v/>
      </c>
      <c r="H930" s="1" t="str">
        <f aca="false">IF(C930="","",INDEX(Akaun!$D$5:$D$150,MATCH(C930,Akaun!$A$5:$A$150,0)))</f>
        <v/>
      </c>
    </row>
    <row r="931" customFormat="false" ht="15.75" hidden="false" customHeight="true" outlineLevel="0" collapsed="false">
      <c r="G931" s="1" t="str">
        <f aca="false">IF(C931="","",INDEX(Akaun!$F$5:$F$150,MATCH(C931,Akaun!$A$5:$A$150,0)))</f>
        <v/>
      </c>
      <c r="H931" s="1" t="str">
        <f aca="false">IF(C931="","",INDEX(Akaun!$D$5:$D$150,MATCH(C931,Akaun!$A$5:$A$150,0)))</f>
        <v/>
      </c>
    </row>
    <row r="932" customFormat="false" ht="15.75" hidden="false" customHeight="true" outlineLevel="0" collapsed="false">
      <c r="G932" s="1" t="str">
        <f aca="false">IF(C932="","",INDEX(Akaun!$F$5:$F$150,MATCH(C932,Akaun!$A$5:$A$150,0)))</f>
        <v/>
      </c>
      <c r="H932" s="1" t="str">
        <f aca="false">IF(C932="","",INDEX(Akaun!$D$5:$D$150,MATCH(C932,Akaun!$A$5:$A$150,0)))</f>
        <v/>
      </c>
    </row>
    <row r="933" customFormat="false" ht="15.75" hidden="false" customHeight="true" outlineLevel="0" collapsed="false">
      <c r="G933" s="1" t="str">
        <f aca="false">IF(C933="","",INDEX(Akaun!$F$5:$F$150,MATCH(C933,Akaun!$A$5:$A$150,0)))</f>
        <v/>
      </c>
      <c r="H933" s="1" t="str">
        <f aca="false">IF(C933="","",INDEX(Akaun!$D$5:$D$150,MATCH(C933,Akaun!$A$5:$A$150,0)))</f>
        <v/>
      </c>
    </row>
    <row r="934" customFormat="false" ht="15.75" hidden="false" customHeight="true" outlineLevel="0" collapsed="false">
      <c r="G934" s="1" t="str">
        <f aca="false">IF(C934="","",INDEX(Akaun!$F$5:$F$150,MATCH(C934,Akaun!$A$5:$A$150,0)))</f>
        <v/>
      </c>
      <c r="H934" s="1" t="str">
        <f aca="false">IF(C934="","",INDEX(Akaun!$D$5:$D$150,MATCH(C934,Akaun!$A$5:$A$150,0)))</f>
        <v/>
      </c>
    </row>
    <row r="935" customFormat="false" ht="15.75" hidden="false" customHeight="true" outlineLevel="0" collapsed="false">
      <c r="G935" s="1" t="str">
        <f aca="false">IF(C935="","",INDEX(Akaun!$F$5:$F$150,MATCH(C935,Akaun!$A$5:$A$150,0)))</f>
        <v/>
      </c>
      <c r="H935" s="1" t="str">
        <f aca="false">IF(C935="","",INDEX(Akaun!$D$5:$D$150,MATCH(C935,Akaun!$A$5:$A$150,0)))</f>
        <v/>
      </c>
    </row>
    <row r="936" customFormat="false" ht="15.75" hidden="false" customHeight="true" outlineLevel="0" collapsed="false">
      <c r="G936" s="1" t="str">
        <f aca="false">IF(C936="","",INDEX(Akaun!$F$5:$F$150,MATCH(C936,Akaun!$A$5:$A$150,0)))</f>
        <v/>
      </c>
      <c r="H936" s="1" t="str">
        <f aca="false">IF(C936="","",INDEX(Akaun!$D$5:$D$150,MATCH(C936,Akaun!$A$5:$A$150,0)))</f>
        <v/>
      </c>
    </row>
    <row r="937" customFormat="false" ht="15.75" hidden="false" customHeight="true" outlineLevel="0" collapsed="false">
      <c r="G937" s="1" t="str">
        <f aca="false">IF(C937="","",INDEX(Akaun!$F$5:$F$150,MATCH(C937,Akaun!$A$5:$A$150,0)))</f>
        <v/>
      </c>
      <c r="H937" s="1" t="str">
        <f aca="false">IF(C937="","",INDEX(Akaun!$D$5:$D$150,MATCH(C937,Akaun!$A$5:$A$150,0)))</f>
        <v/>
      </c>
    </row>
    <row r="938" customFormat="false" ht="15.75" hidden="false" customHeight="true" outlineLevel="0" collapsed="false">
      <c r="G938" s="1" t="str">
        <f aca="false">IF(C938="","",INDEX(Akaun!$F$5:$F$150,MATCH(C938,Akaun!$A$5:$A$150,0)))</f>
        <v/>
      </c>
      <c r="H938" s="1" t="str">
        <f aca="false">IF(C938="","",INDEX(Akaun!$D$5:$D$150,MATCH(C938,Akaun!$A$5:$A$150,0)))</f>
        <v/>
      </c>
    </row>
    <row r="939" customFormat="false" ht="15.75" hidden="false" customHeight="true" outlineLevel="0" collapsed="false">
      <c r="G939" s="1" t="str">
        <f aca="false">IF(C939="","",INDEX(Akaun!$F$5:$F$150,MATCH(C939,Akaun!$A$5:$A$150,0)))</f>
        <v/>
      </c>
      <c r="H939" s="1" t="str">
        <f aca="false">IF(C939="","",INDEX(Akaun!$D$5:$D$150,MATCH(C939,Akaun!$A$5:$A$150,0)))</f>
        <v/>
      </c>
    </row>
    <row r="940" customFormat="false" ht="15.75" hidden="false" customHeight="true" outlineLevel="0" collapsed="false">
      <c r="G940" s="1" t="str">
        <f aca="false">IF(C940="","",INDEX(Akaun!$F$5:$F$150,MATCH(C940,Akaun!$A$5:$A$150,0)))</f>
        <v/>
      </c>
      <c r="H940" s="1" t="str">
        <f aca="false">IF(C940="","",INDEX(Akaun!$D$5:$D$150,MATCH(C940,Akaun!$A$5:$A$150,0)))</f>
        <v/>
      </c>
    </row>
    <row r="941" customFormat="false" ht="15.75" hidden="false" customHeight="true" outlineLevel="0" collapsed="false">
      <c r="G941" s="1" t="str">
        <f aca="false">IF(C941="","",INDEX(Akaun!$F$5:$F$150,MATCH(C941,Akaun!$A$5:$A$150,0)))</f>
        <v/>
      </c>
      <c r="H941" s="1" t="str">
        <f aca="false">IF(C941="","",INDEX(Akaun!$D$5:$D$150,MATCH(C941,Akaun!$A$5:$A$150,0)))</f>
        <v/>
      </c>
    </row>
    <row r="942" customFormat="false" ht="15.75" hidden="false" customHeight="true" outlineLevel="0" collapsed="false">
      <c r="G942" s="1" t="str">
        <f aca="false">IF(C942="","",INDEX(Akaun!$F$5:$F$150,MATCH(C942,Akaun!$A$5:$A$150,0)))</f>
        <v/>
      </c>
      <c r="H942" s="1" t="str">
        <f aca="false">IF(C942="","",INDEX(Akaun!$D$5:$D$150,MATCH(C942,Akaun!$A$5:$A$150,0)))</f>
        <v/>
      </c>
    </row>
    <row r="943" customFormat="false" ht="15.75" hidden="false" customHeight="true" outlineLevel="0" collapsed="false">
      <c r="G943" s="1" t="str">
        <f aca="false">IF(C943="","",INDEX(Akaun!$F$5:$F$150,MATCH(C943,Akaun!$A$5:$A$150,0)))</f>
        <v/>
      </c>
      <c r="H943" s="1" t="str">
        <f aca="false">IF(C943="","",INDEX(Akaun!$D$5:$D$150,MATCH(C943,Akaun!$A$5:$A$150,0)))</f>
        <v/>
      </c>
    </row>
    <row r="944" customFormat="false" ht="15.75" hidden="false" customHeight="true" outlineLevel="0" collapsed="false">
      <c r="G944" s="1" t="str">
        <f aca="false">IF(C944="","",INDEX(Akaun!$F$5:$F$150,MATCH(C944,Akaun!$A$5:$A$150,0)))</f>
        <v/>
      </c>
      <c r="H944" s="1" t="str">
        <f aca="false">IF(C944="","",INDEX(Akaun!$D$5:$D$150,MATCH(C944,Akaun!$A$5:$A$150,0)))</f>
        <v/>
      </c>
    </row>
    <row r="945" customFormat="false" ht="15.75" hidden="false" customHeight="true" outlineLevel="0" collapsed="false">
      <c r="G945" s="1" t="str">
        <f aca="false">IF(C945="","",INDEX(Akaun!$F$5:$F$150,MATCH(C945,Akaun!$A$5:$A$150,0)))</f>
        <v/>
      </c>
      <c r="H945" s="1" t="str">
        <f aca="false">IF(C945="","",INDEX(Akaun!$D$5:$D$150,MATCH(C945,Akaun!$A$5:$A$150,0)))</f>
        <v/>
      </c>
    </row>
    <row r="946" customFormat="false" ht="15.75" hidden="false" customHeight="true" outlineLevel="0" collapsed="false">
      <c r="G946" s="1" t="str">
        <f aca="false">IF(C946="","",INDEX(Akaun!$F$5:$F$150,MATCH(C946,Akaun!$A$5:$A$150,0)))</f>
        <v/>
      </c>
      <c r="H946" s="1" t="str">
        <f aca="false">IF(C946="","",INDEX(Akaun!$D$5:$D$150,MATCH(C946,Akaun!$A$5:$A$150,0)))</f>
        <v/>
      </c>
    </row>
    <row r="947" customFormat="false" ht="15.75" hidden="false" customHeight="true" outlineLevel="0" collapsed="false">
      <c r="G947" s="1" t="str">
        <f aca="false">IF(C947="","",INDEX(Akaun!$F$5:$F$150,MATCH(C947,Akaun!$A$5:$A$150,0)))</f>
        <v/>
      </c>
      <c r="H947" s="1" t="str">
        <f aca="false">IF(C947="","",INDEX(Akaun!$D$5:$D$150,MATCH(C947,Akaun!$A$5:$A$150,0)))</f>
        <v/>
      </c>
    </row>
    <row r="948" customFormat="false" ht="15.75" hidden="false" customHeight="true" outlineLevel="0" collapsed="false">
      <c r="G948" s="1" t="str">
        <f aca="false">IF(C948="","",INDEX(Akaun!$F$5:$F$150,MATCH(C948,Akaun!$A$5:$A$150,0)))</f>
        <v/>
      </c>
      <c r="H948" s="1" t="str">
        <f aca="false">IF(C948="","",INDEX(Akaun!$D$5:$D$150,MATCH(C948,Akaun!$A$5:$A$150,0)))</f>
        <v/>
      </c>
    </row>
    <row r="949" customFormat="false" ht="15.75" hidden="false" customHeight="true" outlineLevel="0" collapsed="false">
      <c r="G949" s="1" t="str">
        <f aca="false">IF(C949="","",INDEX(Akaun!$F$5:$F$150,MATCH(C949,Akaun!$A$5:$A$150,0)))</f>
        <v/>
      </c>
      <c r="H949" s="1" t="str">
        <f aca="false">IF(C949="","",INDEX(Akaun!$D$5:$D$150,MATCH(C949,Akaun!$A$5:$A$150,0)))</f>
        <v/>
      </c>
    </row>
    <row r="950" customFormat="false" ht="15.75" hidden="false" customHeight="true" outlineLevel="0" collapsed="false">
      <c r="G950" s="1" t="str">
        <f aca="false">IF(C950="","",INDEX(Akaun!$F$5:$F$150,MATCH(C950,Akaun!$A$5:$A$150,0)))</f>
        <v/>
      </c>
      <c r="H950" s="1" t="str">
        <f aca="false">IF(C950="","",INDEX(Akaun!$D$5:$D$150,MATCH(C950,Akaun!$A$5:$A$150,0)))</f>
        <v/>
      </c>
    </row>
    <row r="951" customFormat="false" ht="15.75" hidden="false" customHeight="true" outlineLevel="0" collapsed="false">
      <c r="G951" s="1" t="str">
        <f aca="false">IF(C951="","",INDEX(Akaun!$F$5:$F$150,MATCH(C951,Akaun!$A$5:$A$150,0)))</f>
        <v/>
      </c>
      <c r="H951" s="1" t="str">
        <f aca="false">IF(C951="","",INDEX(Akaun!$D$5:$D$150,MATCH(C951,Akaun!$A$5:$A$150,0)))</f>
        <v/>
      </c>
    </row>
    <row r="952" customFormat="false" ht="15.75" hidden="false" customHeight="true" outlineLevel="0" collapsed="false">
      <c r="G952" s="1" t="str">
        <f aca="false">IF(C952="","",INDEX(Akaun!$F$5:$F$150,MATCH(C952,Akaun!$A$5:$A$150,0)))</f>
        <v/>
      </c>
      <c r="H952" s="1" t="str">
        <f aca="false">IF(C952="","",INDEX(Akaun!$D$5:$D$150,MATCH(C952,Akaun!$A$5:$A$150,0)))</f>
        <v/>
      </c>
    </row>
    <row r="953" customFormat="false" ht="15.75" hidden="false" customHeight="true" outlineLevel="0" collapsed="false">
      <c r="G953" s="1" t="str">
        <f aca="false">IF(C953="","",INDEX(Akaun!$F$5:$F$150,MATCH(C953,Akaun!$A$5:$A$150,0)))</f>
        <v/>
      </c>
      <c r="H953" s="1" t="str">
        <f aca="false">IF(C953="","",INDEX(Akaun!$D$5:$D$150,MATCH(C953,Akaun!$A$5:$A$150,0)))</f>
        <v/>
      </c>
    </row>
    <row r="954" customFormat="false" ht="15.75" hidden="false" customHeight="true" outlineLevel="0" collapsed="false">
      <c r="G954" s="1" t="str">
        <f aca="false">IF(C954="","",INDEX(Akaun!$F$5:$F$150,MATCH(C954,Akaun!$A$5:$A$150,0)))</f>
        <v/>
      </c>
      <c r="H954" s="1" t="str">
        <f aca="false">IF(C954="","",INDEX(Akaun!$D$5:$D$150,MATCH(C954,Akaun!$A$5:$A$150,0)))</f>
        <v/>
      </c>
    </row>
    <row r="955" customFormat="false" ht="15.75" hidden="false" customHeight="true" outlineLevel="0" collapsed="false">
      <c r="G955" s="1" t="str">
        <f aca="false">IF(C955="","",INDEX(Akaun!$F$5:$F$150,MATCH(C955,Akaun!$A$5:$A$150,0)))</f>
        <v/>
      </c>
      <c r="H955" s="1" t="str">
        <f aca="false">IF(C955="","",INDEX(Akaun!$D$5:$D$150,MATCH(C955,Akaun!$A$5:$A$150,0)))</f>
        <v/>
      </c>
    </row>
    <row r="956" customFormat="false" ht="15.75" hidden="false" customHeight="true" outlineLevel="0" collapsed="false">
      <c r="G956" s="1" t="str">
        <f aca="false">IF(C956="","",INDEX(Akaun!$F$5:$F$150,MATCH(C956,Akaun!$A$5:$A$150,0)))</f>
        <v/>
      </c>
      <c r="H956" s="1" t="str">
        <f aca="false">IF(C956="","",INDEX(Akaun!$D$5:$D$150,MATCH(C956,Akaun!$A$5:$A$150,0)))</f>
        <v/>
      </c>
    </row>
    <row r="957" customFormat="false" ht="15.75" hidden="false" customHeight="true" outlineLevel="0" collapsed="false">
      <c r="G957" s="1" t="str">
        <f aca="false">IF(C957="","",INDEX(Akaun!$F$5:$F$150,MATCH(C957,Akaun!$A$5:$A$150,0)))</f>
        <v/>
      </c>
      <c r="H957" s="1" t="str">
        <f aca="false">IF(C957="","",INDEX(Akaun!$D$5:$D$150,MATCH(C957,Akaun!$A$5:$A$150,0)))</f>
        <v/>
      </c>
    </row>
    <row r="958" customFormat="false" ht="15.75" hidden="false" customHeight="true" outlineLevel="0" collapsed="false">
      <c r="G958" s="1" t="str">
        <f aca="false">IF(C958="","",INDEX(Akaun!$F$5:$F$150,MATCH(C958,Akaun!$A$5:$A$150,0)))</f>
        <v/>
      </c>
      <c r="H958" s="1" t="str">
        <f aca="false">IF(C958="","",INDEX(Akaun!$D$5:$D$150,MATCH(C958,Akaun!$A$5:$A$150,0)))</f>
        <v/>
      </c>
    </row>
    <row r="959" customFormat="false" ht="15.75" hidden="false" customHeight="true" outlineLevel="0" collapsed="false">
      <c r="G959" s="1" t="str">
        <f aca="false">IF(C959="","",INDEX(Akaun!$F$5:$F$150,MATCH(C959,Akaun!$A$5:$A$150,0)))</f>
        <v/>
      </c>
      <c r="H959" s="1" t="str">
        <f aca="false">IF(C959="","",INDEX(Akaun!$D$5:$D$150,MATCH(C959,Akaun!$A$5:$A$150,0)))</f>
        <v/>
      </c>
    </row>
    <row r="960" customFormat="false" ht="15.75" hidden="false" customHeight="true" outlineLevel="0" collapsed="false">
      <c r="G960" s="1" t="str">
        <f aca="false">IF(C960="","",INDEX(Akaun!$F$5:$F$150,MATCH(C960,Akaun!$A$5:$A$150,0)))</f>
        <v/>
      </c>
      <c r="H960" s="1" t="str">
        <f aca="false">IF(C960="","",INDEX(Akaun!$D$5:$D$150,MATCH(C960,Akaun!$A$5:$A$150,0)))</f>
        <v/>
      </c>
    </row>
    <row r="961" customFormat="false" ht="15.75" hidden="false" customHeight="true" outlineLevel="0" collapsed="false">
      <c r="G961" s="1" t="str">
        <f aca="false">IF(C961="","",INDEX(Akaun!$F$5:$F$150,MATCH(C961,Akaun!$A$5:$A$150,0)))</f>
        <v/>
      </c>
      <c r="H961" s="1" t="str">
        <f aca="false">IF(C961="","",INDEX(Akaun!$D$5:$D$150,MATCH(C961,Akaun!$A$5:$A$150,0)))</f>
        <v/>
      </c>
    </row>
    <row r="962" customFormat="false" ht="15.75" hidden="false" customHeight="true" outlineLevel="0" collapsed="false">
      <c r="G962" s="1" t="str">
        <f aca="false">IF(C962="","",INDEX(Akaun!$F$5:$F$150,MATCH(C962,Akaun!$A$5:$A$150,0)))</f>
        <v/>
      </c>
      <c r="H962" s="1" t="str">
        <f aca="false">IF(C962="","",INDEX(Akaun!$D$5:$D$150,MATCH(C962,Akaun!$A$5:$A$150,0)))</f>
        <v/>
      </c>
    </row>
    <row r="963" customFormat="false" ht="15.75" hidden="false" customHeight="true" outlineLevel="0" collapsed="false">
      <c r="G963" s="1" t="str">
        <f aca="false">IF(C963="","",INDEX(Akaun!$F$5:$F$150,MATCH(C963,Akaun!$A$5:$A$150,0)))</f>
        <v/>
      </c>
      <c r="H963" s="1" t="str">
        <f aca="false">IF(C963="","",INDEX(Akaun!$D$5:$D$150,MATCH(C963,Akaun!$A$5:$A$150,0)))</f>
        <v/>
      </c>
    </row>
    <row r="964" customFormat="false" ht="15.75" hidden="false" customHeight="true" outlineLevel="0" collapsed="false">
      <c r="G964" s="1" t="str">
        <f aca="false">IF(C964="","",INDEX(Akaun!$F$5:$F$150,MATCH(C964,Akaun!$A$5:$A$150,0)))</f>
        <v/>
      </c>
      <c r="H964" s="1" t="str">
        <f aca="false">IF(C964="","",INDEX(Akaun!$D$5:$D$150,MATCH(C964,Akaun!$A$5:$A$150,0)))</f>
        <v/>
      </c>
    </row>
    <row r="965" customFormat="false" ht="15.75" hidden="false" customHeight="true" outlineLevel="0" collapsed="false">
      <c r="G965" s="1" t="str">
        <f aca="false">IF(C965="","",INDEX(Akaun!$F$5:$F$150,MATCH(C965,Akaun!$A$5:$A$150,0)))</f>
        <v/>
      </c>
      <c r="H965" s="1" t="str">
        <f aca="false">IF(C965="","",INDEX(Akaun!$D$5:$D$150,MATCH(C965,Akaun!$A$5:$A$150,0)))</f>
        <v/>
      </c>
    </row>
    <row r="966" customFormat="false" ht="15.75" hidden="false" customHeight="true" outlineLevel="0" collapsed="false">
      <c r="G966" s="1" t="str">
        <f aca="false">IF(C966="","",INDEX(Akaun!$F$5:$F$150,MATCH(C966,Akaun!$A$5:$A$150,0)))</f>
        <v/>
      </c>
      <c r="H966" s="1" t="str">
        <f aca="false">IF(C966="","",INDEX(Akaun!$D$5:$D$150,MATCH(C966,Akaun!$A$5:$A$150,0)))</f>
        <v/>
      </c>
    </row>
    <row r="967" customFormat="false" ht="15.75" hidden="false" customHeight="true" outlineLevel="0" collapsed="false">
      <c r="G967" s="1" t="str">
        <f aca="false">IF(C967="","",INDEX(Akaun!$F$5:$F$150,MATCH(C967,Akaun!$A$5:$A$150,0)))</f>
        <v/>
      </c>
      <c r="H967" s="1" t="str">
        <f aca="false">IF(C967="","",INDEX(Akaun!$D$5:$D$150,MATCH(C967,Akaun!$A$5:$A$150,0)))</f>
        <v/>
      </c>
    </row>
    <row r="968" customFormat="false" ht="15.75" hidden="false" customHeight="true" outlineLevel="0" collapsed="false">
      <c r="G968" s="1" t="str">
        <f aca="false">IF(C968="","",INDEX(Akaun!$F$5:$F$150,MATCH(C968,Akaun!$A$5:$A$150,0)))</f>
        <v/>
      </c>
      <c r="H968" s="1" t="str">
        <f aca="false">IF(C968="","",INDEX(Akaun!$D$5:$D$150,MATCH(C968,Akaun!$A$5:$A$150,0)))</f>
        <v/>
      </c>
    </row>
    <row r="969" customFormat="false" ht="15.75" hidden="false" customHeight="true" outlineLevel="0" collapsed="false">
      <c r="G969" s="1" t="str">
        <f aca="false">IF(C969="","",INDEX(Akaun!$F$5:$F$150,MATCH(C969,Akaun!$A$5:$A$150,0)))</f>
        <v/>
      </c>
      <c r="H969" s="1" t="str">
        <f aca="false">IF(C969="","",INDEX(Akaun!$D$5:$D$150,MATCH(C969,Akaun!$A$5:$A$150,0)))</f>
        <v/>
      </c>
    </row>
    <row r="970" customFormat="false" ht="15.75" hidden="false" customHeight="true" outlineLevel="0" collapsed="false">
      <c r="G970" s="1" t="str">
        <f aca="false">IF(C970="","",INDEX(Akaun!$F$5:$F$150,MATCH(C970,Akaun!$A$5:$A$150,0)))</f>
        <v/>
      </c>
      <c r="H970" s="1" t="str">
        <f aca="false">IF(C970="","",INDEX(Akaun!$D$5:$D$150,MATCH(C970,Akaun!$A$5:$A$150,0)))</f>
        <v/>
      </c>
    </row>
    <row r="971" customFormat="false" ht="15.75" hidden="false" customHeight="true" outlineLevel="0" collapsed="false">
      <c r="G971" s="1" t="str">
        <f aca="false">IF(C971="","",INDEX(Akaun!$F$5:$F$150,MATCH(C971,Akaun!$A$5:$A$150,0)))</f>
        <v/>
      </c>
      <c r="H971" s="1" t="str">
        <f aca="false">IF(C971="","",INDEX(Akaun!$D$5:$D$150,MATCH(C971,Akaun!$A$5:$A$150,0)))</f>
        <v/>
      </c>
    </row>
    <row r="972" customFormat="false" ht="15.75" hidden="false" customHeight="true" outlineLevel="0" collapsed="false">
      <c r="G972" s="1" t="str">
        <f aca="false">IF(C972="","",INDEX(Akaun!$F$5:$F$150,MATCH(C972,Akaun!$A$5:$A$150,0)))</f>
        <v/>
      </c>
      <c r="H972" s="1" t="str">
        <f aca="false">IF(C972="","",INDEX(Akaun!$D$5:$D$150,MATCH(C972,Akaun!$A$5:$A$150,0)))</f>
        <v/>
      </c>
    </row>
    <row r="973" customFormat="false" ht="15.75" hidden="false" customHeight="true" outlineLevel="0" collapsed="false">
      <c r="G973" s="1" t="str">
        <f aca="false">IF(C973="","",INDEX(Akaun!$F$5:$F$150,MATCH(C973,Akaun!$A$5:$A$150,0)))</f>
        <v/>
      </c>
      <c r="H973" s="1" t="str">
        <f aca="false">IF(C973="","",INDEX(Akaun!$D$5:$D$150,MATCH(C973,Akaun!$A$5:$A$150,0)))</f>
        <v/>
      </c>
    </row>
    <row r="974" customFormat="false" ht="15.75" hidden="false" customHeight="true" outlineLevel="0" collapsed="false">
      <c r="G974" s="1" t="str">
        <f aca="false">IF(C974="","",INDEX(Akaun!$F$5:$F$150,MATCH(C974,Akaun!$A$5:$A$150,0)))</f>
        <v/>
      </c>
      <c r="H974" s="1" t="str">
        <f aca="false">IF(C974="","",INDEX(Akaun!$D$5:$D$150,MATCH(C974,Akaun!$A$5:$A$150,0)))</f>
        <v/>
      </c>
    </row>
    <row r="975" customFormat="false" ht="15.75" hidden="false" customHeight="true" outlineLevel="0" collapsed="false">
      <c r="G975" s="1" t="str">
        <f aca="false">IF(C975="","",INDEX(Akaun!$F$5:$F$150,MATCH(C975,Akaun!$A$5:$A$150,0)))</f>
        <v/>
      </c>
      <c r="H975" s="1" t="str">
        <f aca="false">IF(C975="","",INDEX(Akaun!$D$5:$D$150,MATCH(C975,Akaun!$A$5:$A$150,0)))</f>
        <v/>
      </c>
    </row>
    <row r="976" customFormat="false" ht="15.75" hidden="false" customHeight="true" outlineLevel="0" collapsed="false">
      <c r="G976" s="1" t="str">
        <f aca="false">IF(C976="","",INDEX(Akaun!$F$5:$F$150,MATCH(C976,Akaun!$A$5:$A$150,0)))</f>
        <v/>
      </c>
      <c r="H976" s="1" t="str">
        <f aca="false">IF(C976="","",INDEX(Akaun!$D$5:$D$150,MATCH(C976,Akaun!$A$5:$A$150,0)))</f>
        <v/>
      </c>
    </row>
    <row r="977" customFormat="false" ht="15.75" hidden="false" customHeight="true" outlineLevel="0" collapsed="false">
      <c r="G977" s="1" t="str">
        <f aca="false">IF(C977="","",INDEX(Akaun!$F$5:$F$150,MATCH(C977,Akaun!$A$5:$A$150,0)))</f>
        <v/>
      </c>
      <c r="H977" s="1" t="str">
        <f aca="false">IF(C977="","",INDEX(Akaun!$D$5:$D$150,MATCH(C977,Akaun!$A$5:$A$150,0)))</f>
        <v/>
      </c>
    </row>
    <row r="978" customFormat="false" ht="15.75" hidden="false" customHeight="true" outlineLevel="0" collapsed="false">
      <c r="G978" s="1" t="str">
        <f aca="false">IF(C978="","",INDEX(Akaun!$F$5:$F$150,MATCH(C978,Akaun!$A$5:$A$150,0)))</f>
        <v/>
      </c>
      <c r="H978" s="1" t="str">
        <f aca="false">IF(C978="","",INDEX(Akaun!$D$5:$D$150,MATCH(C978,Akaun!$A$5:$A$150,0)))</f>
        <v/>
      </c>
    </row>
    <row r="979" customFormat="false" ht="15.75" hidden="false" customHeight="true" outlineLevel="0" collapsed="false">
      <c r="G979" s="1" t="str">
        <f aca="false">IF(C979="","",INDEX(Akaun!$F$5:$F$150,MATCH(C979,Akaun!$A$5:$A$150,0)))</f>
        <v/>
      </c>
      <c r="H979" s="1" t="str">
        <f aca="false">IF(C979="","",INDEX(Akaun!$D$5:$D$150,MATCH(C979,Akaun!$A$5:$A$150,0)))</f>
        <v/>
      </c>
    </row>
    <row r="980" customFormat="false" ht="15.75" hidden="false" customHeight="true" outlineLevel="0" collapsed="false">
      <c r="G980" s="1" t="str">
        <f aca="false">IF(C980="","",INDEX(Akaun!$F$5:$F$150,MATCH(C980,Akaun!$A$5:$A$150,0)))</f>
        <v/>
      </c>
      <c r="H980" s="1" t="str">
        <f aca="false">IF(C980="","",INDEX(Akaun!$D$5:$D$150,MATCH(C980,Akaun!$A$5:$A$150,0)))</f>
        <v/>
      </c>
    </row>
    <row r="981" customFormat="false" ht="15.75" hidden="false" customHeight="true" outlineLevel="0" collapsed="false">
      <c r="G981" s="1" t="str">
        <f aca="false">IF(C981="","",INDEX(Akaun!$F$5:$F$150,MATCH(C981,Akaun!$A$5:$A$150,0)))</f>
        <v/>
      </c>
      <c r="H981" s="1" t="str">
        <f aca="false">IF(C981="","",INDEX(Akaun!$D$5:$D$150,MATCH(C981,Akaun!$A$5:$A$150,0)))</f>
        <v/>
      </c>
    </row>
    <row r="982" customFormat="false" ht="15.75" hidden="false" customHeight="true" outlineLevel="0" collapsed="false">
      <c r="G982" s="1" t="str">
        <f aca="false">IF(C982="","",INDEX(Akaun!$F$5:$F$150,MATCH(C982,Akaun!$A$5:$A$150,0)))</f>
        <v/>
      </c>
      <c r="H982" s="1" t="str">
        <f aca="false">IF(C982="","",INDEX(Akaun!$D$5:$D$150,MATCH(C982,Akaun!$A$5:$A$150,0)))</f>
        <v/>
      </c>
    </row>
    <row r="983" customFormat="false" ht="15.75" hidden="false" customHeight="true" outlineLevel="0" collapsed="false">
      <c r="G983" s="1" t="str">
        <f aca="false">IF(C983="","",INDEX(Akaun!$F$5:$F$150,MATCH(C983,Akaun!$A$5:$A$150,0)))</f>
        <v/>
      </c>
      <c r="H983" s="1" t="str">
        <f aca="false">IF(C983="","",INDEX(Akaun!$D$5:$D$150,MATCH(C983,Akaun!$A$5:$A$150,0)))</f>
        <v/>
      </c>
    </row>
    <row r="984" customFormat="false" ht="15.75" hidden="false" customHeight="true" outlineLevel="0" collapsed="false">
      <c r="G984" s="1" t="str">
        <f aca="false">IF(C984="","",INDEX(Akaun!$F$5:$F$150,MATCH(C984,Akaun!$A$5:$A$150,0)))</f>
        <v/>
      </c>
      <c r="H984" s="1" t="str">
        <f aca="false">IF(C984="","",INDEX(Akaun!$D$5:$D$150,MATCH(C984,Akaun!$A$5:$A$150,0)))</f>
        <v/>
      </c>
    </row>
    <row r="985" customFormat="false" ht="15.75" hidden="false" customHeight="true" outlineLevel="0" collapsed="false">
      <c r="G985" s="1" t="str">
        <f aca="false">IF(C985="","",INDEX(Akaun!$F$5:$F$150,MATCH(C985,Akaun!$A$5:$A$150,0)))</f>
        <v/>
      </c>
      <c r="H985" s="1" t="str">
        <f aca="false">IF(C985="","",INDEX(Akaun!$D$5:$D$150,MATCH(C985,Akaun!$A$5:$A$150,0)))</f>
        <v/>
      </c>
    </row>
    <row r="986" customFormat="false" ht="15.75" hidden="false" customHeight="true" outlineLevel="0" collapsed="false">
      <c r="G986" s="1" t="str">
        <f aca="false">IF(C986="","",INDEX(Akaun!$F$5:$F$150,MATCH(C986,Akaun!$A$5:$A$150,0)))</f>
        <v/>
      </c>
      <c r="H986" s="1" t="str">
        <f aca="false">IF(C986="","",INDEX(Akaun!$D$5:$D$150,MATCH(C986,Akaun!$A$5:$A$150,0)))</f>
        <v/>
      </c>
    </row>
    <row r="987" customFormat="false" ht="15.75" hidden="false" customHeight="true" outlineLevel="0" collapsed="false">
      <c r="G987" s="1" t="str">
        <f aca="false">IF(C987="","",INDEX(Akaun!$F$5:$F$150,MATCH(C987,Akaun!$A$5:$A$150,0)))</f>
        <v/>
      </c>
      <c r="H987" s="1" t="str">
        <f aca="false">IF(C987="","",INDEX(Akaun!$D$5:$D$150,MATCH(C987,Akaun!$A$5:$A$150,0)))</f>
        <v/>
      </c>
    </row>
    <row r="988" customFormat="false" ht="15.75" hidden="false" customHeight="true" outlineLevel="0" collapsed="false">
      <c r="G988" s="1" t="str">
        <f aca="false">IF(C988="","",INDEX(Akaun!$F$5:$F$150,MATCH(C988,Akaun!$A$5:$A$150,0)))</f>
        <v/>
      </c>
      <c r="H988" s="1" t="str">
        <f aca="false">IF(C988="","",INDEX(Akaun!$D$5:$D$150,MATCH(C988,Akaun!$A$5:$A$150,0)))</f>
        <v/>
      </c>
    </row>
    <row r="989" customFormat="false" ht="15.75" hidden="false" customHeight="true" outlineLevel="0" collapsed="false">
      <c r="G989" s="1" t="str">
        <f aca="false">IF(C989="","",INDEX(Akaun!$F$5:$F$150,MATCH(C989,Akaun!$A$5:$A$150,0)))</f>
        <v/>
      </c>
      <c r="H989" s="1" t="str">
        <f aca="false">IF(C989="","",INDEX(Akaun!$D$5:$D$150,MATCH(C989,Akaun!$A$5:$A$150,0)))</f>
        <v/>
      </c>
    </row>
    <row r="990" customFormat="false" ht="15.75" hidden="false" customHeight="true" outlineLevel="0" collapsed="false">
      <c r="G990" s="1" t="str">
        <f aca="false">IF(C990="","",INDEX(Akaun!$F$5:$F$150,MATCH(C990,Akaun!$A$5:$A$150,0)))</f>
        <v/>
      </c>
      <c r="H990" s="1" t="str">
        <f aca="false">IF(C990="","",INDEX(Akaun!$D$5:$D$150,MATCH(C990,Akaun!$A$5:$A$150,0)))</f>
        <v/>
      </c>
    </row>
    <row r="991" customFormat="false" ht="15.75" hidden="false" customHeight="true" outlineLevel="0" collapsed="false">
      <c r="G991" s="1" t="str">
        <f aca="false">IF(C991="","",INDEX(Akaun!$F$5:$F$150,MATCH(C991,Akaun!$A$5:$A$150,0)))</f>
        <v/>
      </c>
      <c r="H991" s="1" t="str">
        <f aca="false">IF(C991="","",INDEX(Akaun!$D$5:$D$150,MATCH(C991,Akaun!$A$5:$A$150,0)))</f>
        <v/>
      </c>
    </row>
    <row r="992" customFormat="false" ht="15.75" hidden="false" customHeight="true" outlineLevel="0" collapsed="false">
      <c r="G992" s="1" t="str">
        <f aca="false">IF(C992="","",INDEX(Akaun!$F$5:$F$150,MATCH(C992,Akaun!$A$5:$A$150,0)))</f>
        <v/>
      </c>
      <c r="H992" s="1" t="str">
        <f aca="false">IF(C992="","",INDEX(Akaun!$D$5:$D$150,MATCH(C992,Akaun!$A$5:$A$150,0)))</f>
        <v/>
      </c>
    </row>
    <row r="993" customFormat="false" ht="15.75" hidden="false" customHeight="true" outlineLevel="0" collapsed="false">
      <c r="G993" s="1" t="str">
        <f aca="false">IF(C993="","",INDEX(Akaun!$F$5:$F$150,MATCH(C993,Akaun!$A$5:$A$150,0)))</f>
        <v/>
      </c>
      <c r="H993" s="1" t="str">
        <f aca="false">IF(C993="","",INDEX(Akaun!$D$5:$D$150,MATCH(C993,Akaun!$A$5:$A$150,0)))</f>
        <v/>
      </c>
    </row>
    <row r="994" customFormat="false" ht="15.75" hidden="false" customHeight="true" outlineLevel="0" collapsed="false">
      <c r="G994" s="1" t="str">
        <f aca="false">IF(C994="","",INDEX(Akaun!$F$5:$F$150,MATCH(C994,Akaun!$A$5:$A$150,0)))</f>
        <v/>
      </c>
      <c r="H994" s="1" t="str">
        <f aca="false">IF(C994="","",INDEX(Akaun!$D$5:$D$150,MATCH(C994,Akaun!$A$5:$A$150,0)))</f>
        <v/>
      </c>
    </row>
    <row r="995" customFormat="false" ht="15.75" hidden="false" customHeight="true" outlineLevel="0" collapsed="false">
      <c r="G995" s="1" t="str">
        <f aca="false">IF(C995="","",INDEX(Akaun!$F$5:$F$150,MATCH(C995,Akaun!$A$5:$A$150,0)))</f>
        <v/>
      </c>
      <c r="H995" s="1" t="str">
        <f aca="false">IF(C995="","",INDEX(Akaun!$D$5:$D$150,MATCH(C995,Akaun!$A$5:$A$150,0)))</f>
        <v/>
      </c>
    </row>
    <row r="996" customFormat="false" ht="15.75" hidden="false" customHeight="true" outlineLevel="0" collapsed="false">
      <c r="G996" s="1" t="str">
        <f aca="false">IF(C996="","",INDEX(Akaun!$F$5:$F$150,MATCH(C996,Akaun!$A$5:$A$150,0)))</f>
        <v/>
      </c>
      <c r="H996" s="1" t="str">
        <f aca="false">IF(C996="","",INDEX(Akaun!$D$5:$D$150,MATCH(C996,Akaun!$A$5:$A$150,0)))</f>
        <v/>
      </c>
    </row>
    <row r="997" customFormat="false" ht="15.75" hidden="false" customHeight="true" outlineLevel="0" collapsed="false">
      <c r="G997" s="1" t="str">
        <f aca="false">IF(C997="","",INDEX(Akaun!$F$5:$F$150,MATCH(C997,Akaun!$A$5:$A$150,0)))</f>
        <v/>
      </c>
      <c r="H997" s="1" t="str">
        <f aca="false">IF(C997="","",INDEX(Akaun!$D$5:$D$150,MATCH(C997,Akaun!$A$5:$A$150,0)))</f>
        <v/>
      </c>
    </row>
    <row r="998" customFormat="false" ht="15.75" hidden="false" customHeight="true" outlineLevel="0" collapsed="false">
      <c r="G998" s="1" t="str">
        <f aca="false">IF(C998="","",INDEX(Akaun!$F$5:$F$150,MATCH(C998,Akaun!$A$5:$A$150,0)))</f>
        <v/>
      </c>
      <c r="H998" s="1" t="str">
        <f aca="false">IF(C998="","",INDEX(Akaun!$D$5:$D$150,MATCH(C998,Akaun!$A$5:$A$150,0)))</f>
        <v/>
      </c>
    </row>
    <row r="999" customFormat="false" ht="15.75" hidden="false" customHeight="true" outlineLevel="0" collapsed="false">
      <c r="G999" s="1" t="str">
        <f aca="false">IF(C999="","",INDEX(Akaun!$F$5:$F$150,MATCH(C999,Akaun!$A$5:$A$150,0)))</f>
        <v/>
      </c>
      <c r="H999" s="1" t="str">
        <f aca="false">IF(C999="","",INDEX(Akaun!$D$5:$D$150,MATCH(C999,Akaun!$A$5:$A$150,0)))</f>
        <v/>
      </c>
    </row>
    <row r="1000" customFormat="false" ht="15.75" hidden="false" customHeight="true" outlineLevel="0" collapsed="false">
      <c r="G1000" s="1" t="str">
        <f aca="false">IF(C1000="","",INDEX(Akaun!$F$5:$F$150,MATCH(C1000,Akaun!$A$5:$A$150,0)))</f>
        <v/>
      </c>
      <c r="H1000" s="1" t="str">
        <f aca="false">IF(C1000="","",INDEX(Akaun!$D$5:$D$150,MATCH(C1000,Akaun!$A$5:$A$150,0)))</f>
        <v/>
      </c>
    </row>
    <row r="1001" customFormat="false" ht="15" hidden="false" customHeight="true" outlineLevel="0" collapsed="false">
      <c r="G1001" s="1" t="str">
        <f aca="false">IF(C1001="","",INDEX(Akaun!$F$5:$F$150,MATCH(C1001,Akaun!$A$5:$A$150,0)))</f>
        <v/>
      </c>
      <c r="H1001" s="1" t="str">
        <f aca="false">IF(C1001="","",INDEX(Akaun!$D$5:$D$150,MATCH(C1001,Akaun!$A$5:$A$150,0)))</f>
        <v/>
      </c>
    </row>
    <row r="1002" customFormat="false" ht="15" hidden="false" customHeight="true" outlineLevel="0" collapsed="false">
      <c r="G1002" s="1" t="str">
        <f aca="false">IF(C1002="","",INDEX(Akaun!$F$5:$F$150,MATCH(C1002,Akaun!$A$5:$A$150,0)))</f>
        <v/>
      </c>
      <c r="H1002" s="1" t="str">
        <f aca="false">IF(C1002="","",INDEX(Akaun!$D$5:$D$150,MATCH(C1002,Akaun!$A$5:$A$150,0)))</f>
        <v/>
      </c>
    </row>
    <row r="1003" customFormat="false" ht="15" hidden="false" customHeight="true" outlineLevel="0" collapsed="false">
      <c r="G1003" s="1" t="str">
        <f aca="false">IF(C1003="","",INDEX(Akaun!$F$5:$F$150,MATCH(C1003,Akaun!$A$5:$A$150,0)))</f>
        <v/>
      </c>
      <c r="H1003" s="1" t="str">
        <f aca="false">IF(C1003="","",INDEX(Akaun!$D$5:$D$150,MATCH(C1003,Akaun!$A$5:$A$150,0)))</f>
        <v/>
      </c>
    </row>
    <row r="1004" customFormat="false" ht="15" hidden="false" customHeight="true" outlineLevel="0" collapsed="false">
      <c r="G1004" s="1" t="str">
        <f aca="false">IF(C1004="","",INDEX(Akaun!$F$5:$F$150,MATCH(C1004,Akaun!$A$5:$A$150,0)))</f>
        <v/>
      </c>
      <c r="H1004" s="1" t="str">
        <f aca="false">IF(C1004="","",INDEX(Akaun!$D$5:$D$150,MATCH(C1004,Akaun!$A$5:$A$150,0)))</f>
        <v/>
      </c>
    </row>
    <row r="1005" customFormat="false" ht="15" hidden="false" customHeight="true" outlineLevel="0" collapsed="false">
      <c r="G1005" s="1" t="str">
        <f aca="false">IF(C1005="","",INDEX(Akaun!$F$5:$F$150,MATCH(C1005,Akaun!$A$5:$A$150,0)))</f>
        <v/>
      </c>
      <c r="H1005" s="1" t="str">
        <f aca="false">IF(C1005="","",INDEX(Akaun!$D$5:$D$150,MATCH(C1005,Akaun!$A$5:$A$150,0)))</f>
        <v/>
      </c>
    </row>
    <row r="1006" customFormat="false" ht="15" hidden="false" customHeight="true" outlineLevel="0" collapsed="false">
      <c r="G1006" s="1" t="str">
        <f aca="false">IF(C1006="","",INDEX(Akaun!$F$5:$F$150,MATCH(C1006,Akaun!$A$5:$A$150,0)))</f>
        <v/>
      </c>
      <c r="H1006" s="1" t="str">
        <f aca="false">IF(C1006="","",INDEX(Akaun!$D$5:$D$150,MATCH(C1006,Akaun!$A$5:$A$150,0)))</f>
        <v/>
      </c>
    </row>
    <row r="1007" customFormat="false" ht="15" hidden="false" customHeight="true" outlineLevel="0" collapsed="false">
      <c r="G1007" s="1" t="str">
        <f aca="false">IF(C1007="","",INDEX(Akaun!$F$5:$F$150,MATCH(C1007,Akaun!$A$5:$A$150,0)))</f>
        <v/>
      </c>
      <c r="H1007" s="1" t="str">
        <f aca="false">IF(C1007="","",INDEX(Akaun!$D$5:$D$150,MATCH(C1007,Akaun!$A$5:$A$150,0)))</f>
        <v/>
      </c>
    </row>
    <row r="1008" customFormat="false" ht="15" hidden="false" customHeight="true" outlineLevel="0" collapsed="false">
      <c r="G1008" s="1" t="str">
        <f aca="false">IF(C1008="","",INDEX(Akaun!$F$5:$F$150,MATCH(C1008,Akaun!$A$5:$A$150,0)))</f>
        <v/>
      </c>
      <c r="H1008" s="1" t="str">
        <f aca="false">IF(C1008="","",INDEX(Akaun!$D$5:$D$150,MATCH(C1008,Akaun!$A$5:$A$150,0)))</f>
        <v/>
      </c>
    </row>
    <row r="1009" customFormat="false" ht="15" hidden="false" customHeight="true" outlineLevel="0" collapsed="false">
      <c r="G1009" s="1" t="str">
        <f aca="false">IF(C1009="","",INDEX(Akaun!$F$5:$F$150,MATCH(C1009,Akaun!$A$5:$A$150,0)))</f>
        <v/>
      </c>
      <c r="H1009" s="1" t="str">
        <f aca="false">IF(C1009="","",INDEX(Akaun!$D$5:$D$150,MATCH(C1009,Akaun!$A$5:$A$150,0)))</f>
        <v/>
      </c>
    </row>
    <row r="1010" customFormat="false" ht="15" hidden="false" customHeight="true" outlineLevel="0" collapsed="false">
      <c r="G1010" s="1" t="str">
        <f aca="false">IF(C1010="","",INDEX(Akaun!$F$5:$F$150,MATCH(C1010,Akaun!$A$5:$A$150,0)))</f>
        <v/>
      </c>
      <c r="H1010" s="1" t="str">
        <f aca="false">IF(C1010="","",INDEX(Akaun!$D$5:$D$150,MATCH(C1010,Akaun!$A$5:$A$150,0)))</f>
        <v/>
      </c>
    </row>
    <row r="1011" customFormat="false" ht="15" hidden="false" customHeight="true" outlineLevel="0" collapsed="false">
      <c r="G1011" s="1" t="str">
        <f aca="false">IF(C1011="","",INDEX(Akaun!$F$5:$F$150,MATCH(C1011,Akaun!$A$5:$A$150,0)))</f>
        <v/>
      </c>
      <c r="H1011" s="1" t="str">
        <f aca="false">IF(C1011="","",INDEX(Akaun!$D$5:$D$150,MATCH(C1011,Akaun!$A$5:$A$150,0)))</f>
        <v/>
      </c>
    </row>
    <row r="1012" customFormat="false" ht="15" hidden="false" customHeight="true" outlineLevel="0" collapsed="false">
      <c r="G1012" s="1" t="str">
        <f aca="false">IF(C1012="","",INDEX(Akaun!$F$5:$F$150,MATCH(C1012,Akaun!$A$5:$A$150,0)))</f>
        <v/>
      </c>
      <c r="H1012" s="1" t="str">
        <f aca="false">IF(C1012="","",INDEX(Akaun!$D$5:$D$150,MATCH(C1012,Akaun!$A$5:$A$150,0)))</f>
        <v/>
      </c>
    </row>
    <row r="1013" customFormat="false" ht="15" hidden="false" customHeight="true" outlineLevel="0" collapsed="false">
      <c r="G1013" s="1" t="str">
        <f aca="false">IF(C1013="","",INDEX(Akaun!$F$5:$F$150,MATCH(C1013,Akaun!$A$5:$A$150,0)))</f>
        <v/>
      </c>
      <c r="H1013" s="1" t="str">
        <f aca="false">IF(C1013="","",INDEX(Akaun!$D$5:$D$150,MATCH(C1013,Akaun!$A$5:$A$150,0)))</f>
        <v/>
      </c>
    </row>
    <row r="1014" customFormat="false" ht="15" hidden="false" customHeight="true" outlineLevel="0" collapsed="false">
      <c r="G1014" s="1" t="str">
        <f aca="false">IF(C1014="","",INDEX(Akaun!$F$5:$F$150,MATCH(C1014,Akaun!$A$5:$A$150,0)))</f>
        <v/>
      </c>
      <c r="H1014" s="1" t="str">
        <f aca="false">IF(C1014="","",INDEX(Akaun!$D$5:$D$150,MATCH(C1014,Akaun!$A$5:$A$150,0)))</f>
        <v/>
      </c>
    </row>
    <row r="1015" customFormat="false" ht="15" hidden="false" customHeight="true" outlineLevel="0" collapsed="false">
      <c r="G1015" s="1" t="str">
        <f aca="false">IF(C1015="","",INDEX(Akaun!$F$5:$F$150,MATCH(C1015,Akaun!$A$5:$A$150,0)))</f>
        <v/>
      </c>
      <c r="H1015" s="1" t="str">
        <f aca="false">IF(C1015="","",INDEX(Akaun!$D$5:$D$150,MATCH(C1015,Akaun!$A$5:$A$150,0)))</f>
        <v/>
      </c>
    </row>
    <row r="1016" customFormat="false" ht="15" hidden="false" customHeight="true" outlineLevel="0" collapsed="false">
      <c r="G1016" s="1" t="str">
        <f aca="false">IF(C1016="","",INDEX(Akaun!$F$5:$F$150,MATCH(C1016,Akaun!$A$5:$A$150,0)))</f>
        <v/>
      </c>
      <c r="H1016" s="1" t="str">
        <f aca="false">IF(C1016="","",INDEX(Akaun!$D$5:$D$150,MATCH(C1016,Akaun!$A$5:$A$150,0)))</f>
        <v/>
      </c>
    </row>
    <row r="1017" customFormat="false" ht="15" hidden="false" customHeight="true" outlineLevel="0" collapsed="false">
      <c r="G1017" s="1" t="str">
        <f aca="false">IF(C1017="","",INDEX(Akaun!$F$5:$F$150,MATCH(C1017,Akaun!$A$5:$A$150,0)))</f>
        <v/>
      </c>
      <c r="H1017" s="1" t="str">
        <f aca="false">IF(C1017="","",INDEX(Akaun!$D$5:$D$150,MATCH(C1017,Akaun!$A$5:$A$150,0)))</f>
        <v/>
      </c>
    </row>
    <row r="1018" customFormat="false" ht="15" hidden="false" customHeight="true" outlineLevel="0" collapsed="false">
      <c r="G1018" s="1" t="str">
        <f aca="false">IF(C1018="","",INDEX(Akaun!$F$5:$F$150,MATCH(C1018,Akaun!$A$5:$A$150,0)))</f>
        <v/>
      </c>
      <c r="H1018" s="1" t="str">
        <f aca="false">IF(C1018="","",INDEX(Akaun!$D$5:$D$150,MATCH(C1018,Akaun!$A$5:$A$150,0)))</f>
        <v/>
      </c>
    </row>
    <row r="1019" customFormat="false" ht="15" hidden="false" customHeight="true" outlineLevel="0" collapsed="false">
      <c r="G1019" s="1" t="str">
        <f aca="false">IF(C1019="","",INDEX(Akaun!$F$5:$F$150,MATCH(C1019,Akaun!$A$5:$A$150,0)))</f>
        <v/>
      </c>
      <c r="H1019" s="1" t="str">
        <f aca="false">IF(C1019="","",INDEX(Akaun!$D$5:$D$150,MATCH(C1019,Akaun!$A$5:$A$150,0)))</f>
        <v/>
      </c>
    </row>
    <row r="1020" customFormat="false" ht="15" hidden="false" customHeight="true" outlineLevel="0" collapsed="false">
      <c r="G1020" s="1" t="str">
        <f aca="false">IF(C1020="","",INDEX(Akaun!$F$5:$F$150,MATCH(C1020,Akaun!$A$5:$A$150,0)))</f>
        <v/>
      </c>
      <c r="H1020" s="1" t="str">
        <f aca="false">IF(C1020="","",INDEX(Akaun!$D$5:$D$150,MATCH(C1020,Akaun!$A$5:$A$150,0)))</f>
        <v/>
      </c>
    </row>
    <row r="1021" customFormat="false" ht="15" hidden="false" customHeight="true" outlineLevel="0" collapsed="false">
      <c r="G1021" s="1" t="str">
        <f aca="false">IF(C1021="","",INDEX(Akaun!$F$5:$F$150,MATCH(C1021,Akaun!$A$5:$A$150,0)))</f>
        <v/>
      </c>
      <c r="H1021" s="1" t="str">
        <f aca="false">IF(C1021="","",INDEX(Akaun!$D$5:$D$150,MATCH(C1021,Akaun!$A$5:$A$150,0)))</f>
        <v/>
      </c>
    </row>
    <row r="1022" customFormat="false" ht="15" hidden="false" customHeight="true" outlineLevel="0" collapsed="false">
      <c r="G1022" s="1" t="str">
        <f aca="false">IF(C1022="","",INDEX(Akaun!$F$5:$F$150,MATCH(C1022,Akaun!$A$5:$A$150,0)))</f>
        <v/>
      </c>
      <c r="H1022" s="1" t="str">
        <f aca="false">IF(C1022="","",INDEX(Akaun!$D$5:$D$150,MATCH(C1022,Akaun!$A$5:$A$150,0)))</f>
        <v/>
      </c>
    </row>
    <row r="1023" customFormat="false" ht="15" hidden="false" customHeight="true" outlineLevel="0" collapsed="false">
      <c r="G1023" s="1" t="str">
        <f aca="false">IF(C1023="","",INDEX(Akaun!$F$5:$F$150,MATCH(C1023,Akaun!$A$5:$A$150,0)))</f>
        <v/>
      </c>
      <c r="H1023" s="1" t="str">
        <f aca="false">IF(C1023="","",INDEX(Akaun!$D$5:$D$150,MATCH(C1023,Akaun!$A$5:$A$150,0)))</f>
        <v/>
      </c>
    </row>
    <row r="1024" customFormat="false" ht="15" hidden="false" customHeight="true" outlineLevel="0" collapsed="false">
      <c r="G1024" s="1" t="str">
        <f aca="false">IF(C1024="","",INDEX(Akaun!$F$5:$F$150,MATCH(C1024,Akaun!$A$5:$A$150,0)))</f>
        <v/>
      </c>
      <c r="H1024" s="1" t="str">
        <f aca="false">IF(C1024="","",INDEX(Akaun!$D$5:$D$150,MATCH(C1024,Akaun!$A$5:$A$150,0)))</f>
        <v/>
      </c>
    </row>
    <row r="1025" customFormat="false" ht="15" hidden="false" customHeight="true" outlineLevel="0" collapsed="false">
      <c r="G1025" s="1" t="str">
        <f aca="false">IF(C1025="","",INDEX(Akaun!$F$5:$F$150,MATCH(C1025,Akaun!$A$5:$A$150,0)))</f>
        <v/>
      </c>
      <c r="H1025" s="1" t="str">
        <f aca="false">IF(C1025="","",INDEX(Akaun!$D$5:$D$150,MATCH(C1025,Akaun!$A$5:$A$150,0)))</f>
        <v/>
      </c>
    </row>
    <row r="1026" customFormat="false" ht="15" hidden="false" customHeight="true" outlineLevel="0" collapsed="false">
      <c r="G1026" s="1" t="str">
        <f aca="false">IF(C1026="","",INDEX(Akaun!$F$5:$F$150,MATCH(C1026,Akaun!$A$5:$A$150,0)))</f>
        <v/>
      </c>
      <c r="H1026" s="1" t="str">
        <f aca="false">IF(C1026="","",INDEX(Akaun!$D$5:$D$150,MATCH(C1026,Akaun!$A$5:$A$150,0)))</f>
        <v/>
      </c>
    </row>
    <row r="1027" customFormat="false" ht="15" hidden="false" customHeight="true" outlineLevel="0" collapsed="false">
      <c r="G1027" s="1" t="str">
        <f aca="false">IF(C1027="","",INDEX(Akaun!$F$5:$F$150,MATCH(C1027,Akaun!$A$5:$A$150,0)))</f>
        <v/>
      </c>
      <c r="H1027" s="1" t="str">
        <f aca="false">IF(C1027="","",INDEX(Akaun!$D$5:$D$150,MATCH(C1027,Akaun!$A$5:$A$150,0)))</f>
        <v/>
      </c>
    </row>
    <row r="1028" customFormat="false" ht="15" hidden="false" customHeight="true" outlineLevel="0" collapsed="false">
      <c r="G1028" s="1" t="str">
        <f aca="false">IF(C1028="","",INDEX(Akaun!$F$5:$F$150,MATCH(C1028,Akaun!$A$5:$A$150,0)))</f>
        <v/>
      </c>
      <c r="H1028" s="1" t="str">
        <f aca="false">IF(C1028="","",INDEX(Akaun!$D$5:$D$150,MATCH(C1028,Akaun!$A$5:$A$150,0)))</f>
        <v/>
      </c>
    </row>
    <row r="1029" customFormat="false" ht="15" hidden="false" customHeight="true" outlineLevel="0" collapsed="false">
      <c r="G1029" s="1" t="str">
        <f aca="false">IF(C1029="","",INDEX(Akaun!$F$5:$F$150,MATCH(C1029,Akaun!$A$5:$A$150,0)))</f>
        <v/>
      </c>
      <c r="H1029" s="1" t="str">
        <f aca="false">IF(C1029="","",INDEX(Akaun!$D$5:$D$150,MATCH(C1029,Akaun!$A$5:$A$150,0)))</f>
        <v/>
      </c>
    </row>
    <row r="1030" customFormat="false" ht="15" hidden="false" customHeight="true" outlineLevel="0" collapsed="false">
      <c r="G1030" s="1" t="str">
        <f aca="false">IF(C1030="","",INDEX(Akaun!$F$5:$F$150,MATCH(C1030,Akaun!$A$5:$A$150,0)))</f>
        <v/>
      </c>
      <c r="H1030" s="1" t="str">
        <f aca="false">IF(C1030="","",INDEX(Akaun!$D$5:$D$150,MATCH(C1030,Akaun!$A$5:$A$150,0)))</f>
        <v/>
      </c>
    </row>
    <row r="1031" customFormat="false" ht="15" hidden="false" customHeight="true" outlineLevel="0" collapsed="false">
      <c r="G1031" s="1" t="str">
        <f aca="false">IF(C1031="","",INDEX(Akaun!$F$5:$F$150,MATCH(C1031,Akaun!$A$5:$A$150,0)))</f>
        <v/>
      </c>
      <c r="H1031" s="1" t="str">
        <f aca="false">IF(C1031="","",INDEX(Akaun!$D$5:$D$150,MATCH(C1031,Akaun!$A$5:$A$150,0)))</f>
        <v/>
      </c>
    </row>
    <row r="1032" customFormat="false" ht="15" hidden="false" customHeight="true" outlineLevel="0" collapsed="false">
      <c r="G1032" s="1" t="str">
        <f aca="false">IF(C1032="","",INDEX(Akaun!$F$5:$F$150,MATCH(C1032,Akaun!$A$5:$A$150,0)))</f>
        <v/>
      </c>
      <c r="H1032" s="1" t="str">
        <f aca="false">IF(C1032="","",INDEX(Akaun!$D$5:$D$150,MATCH(C1032,Akaun!$A$5:$A$150,0)))</f>
        <v/>
      </c>
    </row>
    <row r="1033" customFormat="false" ht="15" hidden="false" customHeight="true" outlineLevel="0" collapsed="false">
      <c r="G1033" s="1" t="str">
        <f aca="false">IF(C1033="","",INDEX(Akaun!$F$5:$F$150,MATCH(C1033,Akaun!$A$5:$A$150,0)))</f>
        <v/>
      </c>
      <c r="H1033" s="1" t="str">
        <f aca="false">IF(C1033="","",INDEX(Akaun!$D$5:$D$150,MATCH(C1033,Akaun!$A$5:$A$150,0)))</f>
        <v/>
      </c>
    </row>
    <row r="1034" customFormat="false" ht="15" hidden="false" customHeight="true" outlineLevel="0" collapsed="false">
      <c r="G1034" s="1" t="str">
        <f aca="false">IF(C1034="","",INDEX(Akaun!$F$5:$F$150,MATCH(C1034,Akaun!$A$5:$A$150,0)))</f>
        <v/>
      </c>
      <c r="H1034" s="1" t="str">
        <f aca="false">IF(C1034="","",INDEX(Akaun!$D$5:$D$150,MATCH(C1034,Akaun!$A$5:$A$150,0)))</f>
        <v/>
      </c>
    </row>
    <row r="1035" customFormat="false" ht="15" hidden="false" customHeight="true" outlineLevel="0" collapsed="false">
      <c r="G1035" s="1" t="str">
        <f aca="false">IF(C1035="","",INDEX(Akaun!$F$5:$F$150,MATCH(C1035,Akaun!$A$5:$A$150,0)))</f>
        <v/>
      </c>
      <c r="H1035" s="1" t="str">
        <f aca="false">IF(C1035="","",INDEX(Akaun!$D$5:$D$150,MATCH(C1035,Akaun!$A$5:$A$150,0)))</f>
        <v/>
      </c>
    </row>
    <row r="1036" customFormat="false" ht="15" hidden="false" customHeight="true" outlineLevel="0" collapsed="false">
      <c r="G1036" s="1" t="str">
        <f aca="false">IF(C1036="","",INDEX(Akaun!$F$5:$F$150,MATCH(C1036,Akaun!$A$5:$A$150,0)))</f>
        <v/>
      </c>
      <c r="H1036" s="1" t="str">
        <f aca="false">IF(C1036="","",INDEX(Akaun!$D$5:$D$150,MATCH(C1036,Akaun!$A$5:$A$150,0)))</f>
        <v/>
      </c>
    </row>
    <row r="1037" customFormat="false" ht="15" hidden="false" customHeight="true" outlineLevel="0" collapsed="false">
      <c r="G1037" s="1" t="str">
        <f aca="false">IF(C1037="","",INDEX(Akaun!$F$5:$F$150,MATCH(C1037,Akaun!$A$5:$A$150,0)))</f>
        <v/>
      </c>
      <c r="H1037" s="1" t="str">
        <f aca="false">IF(C1037="","",INDEX(Akaun!$D$5:$D$150,MATCH(C1037,Akaun!$A$5:$A$150,0)))</f>
        <v/>
      </c>
    </row>
    <row r="1038" customFormat="false" ht="15" hidden="false" customHeight="true" outlineLevel="0" collapsed="false">
      <c r="G1038" s="1" t="str">
        <f aca="false">IF(C1038="","",INDEX(Akaun!$F$5:$F$150,MATCH(C1038,Akaun!$A$5:$A$150,0)))</f>
        <v/>
      </c>
      <c r="H1038" s="1" t="str">
        <f aca="false">IF(C1038="","",INDEX(Akaun!$D$5:$D$150,MATCH(C1038,Akaun!$A$5:$A$150,0)))</f>
        <v/>
      </c>
    </row>
    <row r="1039" customFormat="false" ht="15" hidden="false" customHeight="true" outlineLevel="0" collapsed="false">
      <c r="G1039" s="1" t="str">
        <f aca="false">IF(C1039="","",INDEX(Akaun!$F$5:$F$150,MATCH(C1039,Akaun!$A$5:$A$150,0)))</f>
        <v/>
      </c>
      <c r="H1039" s="1" t="str">
        <f aca="false">IF(C1039="","",INDEX(Akaun!$D$5:$D$150,MATCH(C1039,Akaun!$A$5:$A$150,0)))</f>
        <v/>
      </c>
    </row>
    <row r="1040" customFormat="false" ht="15" hidden="false" customHeight="true" outlineLevel="0" collapsed="false">
      <c r="G1040" s="1" t="str">
        <f aca="false">IF(C1040="","",INDEX(Akaun!$F$5:$F$150,MATCH(C1040,Akaun!$A$5:$A$150,0)))</f>
        <v/>
      </c>
      <c r="H1040" s="1" t="str">
        <f aca="false">IF(C1040="","",INDEX(Akaun!$D$5:$D$150,MATCH(C1040,Akaun!$A$5:$A$150,0)))</f>
        <v/>
      </c>
    </row>
    <row r="1041" customFormat="false" ht="15" hidden="false" customHeight="true" outlineLevel="0" collapsed="false">
      <c r="G1041" s="1" t="str">
        <f aca="false">IF(C1041="","",INDEX(Akaun!$F$5:$F$150,MATCH(C1041,Akaun!$A$5:$A$150,0)))</f>
        <v/>
      </c>
      <c r="H1041" s="1" t="str">
        <f aca="false">IF(C1041="","",INDEX(Akaun!$D$5:$D$150,MATCH(C1041,Akaun!$A$5:$A$150,0)))</f>
        <v/>
      </c>
    </row>
    <row r="1042" customFormat="false" ht="15" hidden="false" customHeight="true" outlineLevel="0" collapsed="false">
      <c r="G1042" s="1" t="str">
        <f aca="false">IF(C1042="","",INDEX(Akaun!$F$5:$F$150,MATCH(C1042,Akaun!$A$5:$A$150,0)))</f>
        <v/>
      </c>
      <c r="H1042" s="1" t="str">
        <f aca="false">IF(C1042="","",INDEX(Akaun!$D$5:$D$150,MATCH(C1042,Akaun!$A$5:$A$150,0)))</f>
        <v/>
      </c>
    </row>
    <row r="1043" customFormat="false" ht="15" hidden="false" customHeight="true" outlineLevel="0" collapsed="false">
      <c r="G1043" s="1" t="str">
        <f aca="false">IF(C1043="","",INDEX(Akaun!$F$5:$F$150,MATCH(C1043,Akaun!$A$5:$A$150,0)))</f>
        <v/>
      </c>
      <c r="H1043" s="1" t="str">
        <f aca="false">IF(C1043="","",INDEX(Akaun!$D$5:$D$150,MATCH(C1043,Akaun!$A$5:$A$150,0)))</f>
        <v/>
      </c>
    </row>
    <row r="1044" customFormat="false" ht="15" hidden="false" customHeight="true" outlineLevel="0" collapsed="false">
      <c r="G1044" s="1" t="str">
        <f aca="false">IF(C1044="","",INDEX(Akaun!$F$5:$F$150,MATCH(C1044,Akaun!$A$5:$A$150,0)))</f>
        <v/>
      </c>
      <c r="H1044" s="1" t="str">
        <f aca="false">IF(C1044="","",INDEX(Akaun!$D$5:$D$150,MATCH(C1044,Akaun!$A$5:$A$150,0)))</f>
        <v/>
      </c>
    </row>
    <row r="1045" customFormat="false" ht="15" hidden="false" customHeight="true" outlineLevel="0" collapsed="false">
      <c r="G1045" s="1" t="str">
        <f aca="false">IF(C1045="","",INDEX(Akaun!$F$5:$F$150,MATCH(C1045,Akaun!$A$5:$A$150,0)))</f>
        <v/>
      </c>
      <c r="H1045" s="1" t="str">
        <f aca="false">IF(C1045="","",INDEX(Akaun!$D$5:$D$150,MATCH(C1045,Akaun!$A$5:$A$150,0)))</f>
        <v/>
      </c>
    </row>
    <row r="1046" customFormat="false" ht="15" hidden="false" customHeight="true" outlineLevel="0" collapsed="false">
      <c r="G1046" s="1" t="str">
        <f aca="false">IF(C1046="","",INDEX(Akaun!$F$5:$F$150,MATCH(C1046,Akaun!$A$5:$A$150,0)))</f>
        <v/>
      </c>
      <c r="H1046" s="1" t="str">
        <f aca="false">IF(C1046="","",INDEX(Akaun!$D$5:$D$150,MATCH(C1046,Akaun!$A$5:$A$150,0)))</f>
        <v/>
      </c>
    </row>
    <row r="1047" customFormat="false" ht="15" hidden="false" customHeight="true" outlineLevel="0" collapsed="false">
      <c r="G1047" s="1" t="str">
        <f aca="false">IF(C1047="","",INDEX(Akaun!$F$5:$F$150,MATCH(C1047,Akaun!$A$5:$A$150,0)))</f>
        <v/>
      </c>
      <c r="H1047" s="1" t="str">
        <f aca="false">IF(C1047="","",INDEX(Akaun!$D$5:$D$150,MATCH(C1047,Akaun!$A$5:$A$150,0)))</f>
        <v/>
      </c>
    </row>
    <row r="1048" customFormat="false" ht="15" hidden="false" customHeight="true" outlineLevel="0" collapsed="false">
      <c r="G1048" s="1" t="str">
        <f aca="false">IF(C1048="","",INDEX(Akaun!$F$5:$F$150,MATCH(C1048,Akaun!$A$5:$A$150,0)))</f>
        <v/>
      </c>
      <c r="H1048" s="1" t="str">
        <f aca="false">IF(C1048="","",INDEX(Akaun!$D$5:$D$150,MATCH(C1048,Akaun!$A$5:$A$150,0)))</f>
        <v/>
      </c>
    </row>
    <row r="1049" customFormat="false" ht="15" hidden="false" customHeight="true" outlineLevel="0" collapsed="false">
      <c r="G1049" s="1" t="str">
        <f aca="false">IF(C1049="","",INDEX(Akaun!$F$5:$F$150,MATCH(C1049,Akaun!$A$5:$A$150,0)))</f>
        <v/>
      </c>
      <c r="H1049" s="1" t="str">
        <f aca="false">IF(C1049="","",INDEX(Akaun!$D$5:$D$150,MATCH(C1049,Akaun!$A$5:$A$150,0)))</f>
        <v/>
      </c>
    </row>
    <row r="1050" customFormat="false" ht="15" hidden="false" customHeight="true" outlineLevel="0" collapsed="false">
      <c r="G1050" s="1" t="str">
        <f aca="false">IF(C1050="","",INDEX(Akaun!$F$5:$F$150,MATCH(C1050,Akaun!$A$5:$A$150,0)))</f>
        <v/>
      </c>
      <c r="H1050" s="1" t="str">
        <f aca="false">IF(C1050="","",INDEX(Akaun!$D$5:$D$150,MATCH(C1050,Akaun!$A$5:$A$150,0)))</f>
        <v/>
      </c>
    </row>
    <row r="1051" customFormat="false" ht="15" hidden="false" customHeight="true" outlineLevel="0" collapsed="false">
      <c r="G1051" s="1" t="str">
        <f aca="false">IF(C1051="","",INDEX(Akaun!$F$5:$F$150,MATCH(C1051,Akaun!$A$5:$A$150,0)))</f>
        <v/>
      </c>
      <c r="H1051" s="1" t="str">
        <f aca="false">IF(C1051="","",INDEX(Akaun!$D$5:$D$150,MATCH(C1051,Akaun!$A$5:$A$150,0)))</f>
        <v/>
      </c>
    </row>
    <row r="1052" customFormat="false" ht="15" hidden="false" customHeight="true" outlineLevel="0" collapsed="false">
      <c r="G1052" s="1" t="str">
        <f aca="false">IF(C1052="","",INDEX(Akaun!$F$5:$F$150,MATCH(C1052,Akaun!$A$5:$A$150,0)))</f>
        <v/>
      </c>
      <c r="H1052" s="1" t="str">
        <f aca="false">IF(C1052="","",INDEX(Akaun!$D$5:$D$150,MATCH(C1052,Akaun!$A$5:$A$150,0)))</f>
        <v/>
      </c>
    </row>
    <row r="1053" customFormat="false" ht="15" hidden="false" customHeight="true" outlineLevel="0" collapsed="false">
      <c r="G1053" s="1" t="str">
        <f aca="false">IF(C1053="","",INDEX(Akaun!$F$5:$F$150,MATCH(C1053,Akaun!$A$5:$A$150,0)))</f>
        <v/>
      </c>
      <c r="H1053" s="1" t="str">
        <f aca="false">IF(C1053="","",INDEX(Akaun!$D$5:$D$150,MATCH(C1053,Akaun!$A$5:$A$150,0)))</f>
        <v/>
      </c>
    </row>
    <row r="1054" customFormat="false" ht="15" hidden="false" customHeight="true" outlineLevel="0" collapsed="false">
      <c r="G1054" s="1" t="str">
        <f aca="false">IF(C1054="","",INDEX(Akaun!$F$5:$F$150,MATCH(C1054,Akaun!$A$5:$A$150,0)))</f>
        <v/>
      </c>
      <c r="H1054" s="1" t="str">
        <f aca="false">IF(C1054="","",INDEX(Akaun!$D$5:$D$150,MATCH(C1054,Akaun!$A$5:$A$150,0)))</f>
        <v/>
      </c>
    </row>
    <row r="1055" customFormat="false" ht="15" hidden="false" customHeight="true" outlineLevel="0" collapsed="false">
      <c r="G1055" s="1" t="str">
        <f aca="false">IF(C1055="","",INDEX(Akaun!$F$5:$F$150,MATCH(C1055,Akaun!$A$5:$A$150,0)))</f>
        <v/>
      </c>
      <c r="H1055" s="1" t="str">
        <f aca="false">IF(C1055="","",INDEX(Akaun!$D$5:$D$150,MATCH(C1055,Akaun!$A$5:$A$150,0)))</f>
        <v/>
      </c>
    </row>
    <row r="1056" customFormat="false" ht="15" hidden="false" customHeight="true" outlineLevel="0" collapsed="false">
      <c r="G1056" s="1" t="str">
        <f aca="false">IF(C1056="","",INDEX(Akaun!$F$5:$F$150,MATCH(C1056,Akaun!$A$5:$A$150,0)))</f>
        <v/>
      </c>
      <c r="H1056" s="1" t="str">
        <f aca="false">IF(C1056="","",INDEX(Akaun!$D$5:$D$150,MATCH(C1056,Akaun!$A$5:$A$150,0)))</f>
        <v/>
      </c>
    </row>
    <row r="1057" customFormat="false" ht="15" hidden="false" customHeight="true" outlineLevel="0" collapsed="false">
      <c r="G1057" s="1" t="str">
        <f aca="false">IF(C1057="","",INDEX(Akaun!$F$5:$F$150,MATCH(C1057,Akaun!$A$5:$A$150,0)))</f>
        <v/>
      </c>
      <c r="H1057" s="1" t="str">
        <f aca="false">IF(C1057="","",INDEX(Akaun!$D$5:$D$150,MATCH(C1057,Akaun!$A$5:$A$150,0)))</f>
        <v/>
      </c>
    </row>
    <row r="1058" customFormat="false" ht="15" hidden="false" customHeight="true" outlineLevel="0" collapsed="false">
      <c r="G1058" s="1" t="str">
        <f aca="false">IF(C1058="","",INDEX(Akaun!$F$5:$F$150,MATCH(C1058,Akaun!$A$5:$A$150,0)))</f>
        <v/>
      </c>
      <c r="H1058" s="1" t="str">
        <f aca="false">IF(C1058="","",INDEX(Akaun!$D$5:$D$150,MATCH(C1058,Akaun!$A$5:$A$150,0)))</f>
        <v/>
      </c>
    </row>
    <row r="1059" customFormat="false" ht="15" hidden="false" customHeight="true" outlineLevel="0" collapsed="false">
      <c r="G1059" s="1" t="str">
        <f aca="false">IF(C1059="","",INDEX(Akaun!$F$5:$F$150,MATCH(C1059,Akaun!$A$5:$A$150,0)))</f>
        <v/>
      </c>
      <c r="H1059" s="1" t="str">
        <f aca="false">IF(C1059="","",INDEX(Akaun!$D$5:$D$150,MATCH(C1059,Akaun!$A$5:$A$150,0)))</f>
        <v/>
      </c>
    </row>
    <row r="1060" customFormat="false" ht="15" hidden="false" customHeight="true" outlineLevel="0" collapsed="false">
      <c r="G1060" s="1" t="str">
        <f aca="false">IF(C1060="","",INDEX(Akaun!$F$5:$F$150,MATCH(C1060,Akaun!$A$5:$A$150,0)))</f>
        <v/>
      </c>
      <c r="H1060" s="1" t="str">
        <f aca="false">IF(C1060="","",INDEX(Akaun!$D$5:$D$150,MATCH(C1060,Akaun!$A$5:$A$150,0)))</f>
        <v/>
      </c>
    </row>
    <row r="1061" customFormat="false" ht="15" hidden="false" customHeight="true" outlineLevel="0" collapsed="false">
      <c r="G1061" s="1" t="str">
        <f aca="false">IF(C1061="","",INDEX(Akaun!$F$5:$F$150,MATCH(C1061,Akaun!$A$5:$A$150,0)))</f>
        <v/>
      </c>
      <c r="H1061" s="1" t="str">
        <f aca="false">IF(C1061="","",INDEX(Akaun!$D$5:$D$150,MATCH(C1061,Akaun!$A$5:$A$150,0)))</f>
        <v/>
      </c>
    </row>
    <row r="1062" customFormat="false" ht="15" hidden="false" customHeight="true" outlineLevel="0" collapsed="false">
      <c r="G1062" s="1" t="str">
        <f aca="false">IF(C1062="","",INDEX(Akaun!$F$5:$F$150,MATCH(C1062,Akaun!$A$5:$A$150,0)))</f>
        <v/>
      </c>
      <c r="H1062" s="1" t="str">
        <f aca="false">IF(C1062="","",INDEX(Akaun!$D$5:$D$150,MATCH(C1062,Akaun!$A$5:$A$150,0)))</f>
        <v/>
      </c>
    </row>
    <row r="1063" customFormat="false" ht="15" hidden="false" customHeight="true" outlineLevel="0" collapsed="false">
      <c r="G1063" s="1" t="str">
        <f aca="false">IF(C1063="","",INDEX(Akaun!$F$5:$F$150,MATCH(C1063,Akaun!$A$5:$A$150,0)))</f>
        <v/>
      </c>
      <c r="H1063" s="1" t="str">
        <f aca="false">IF(C1063="","",INDEX(Akaun!$D$5:$D$150,MATCH(C1063,Akaun!$A$5:$A$150,0)))</f>
        <v/>
      </c>
    </row>
    <row r="1064" customFormat="false" ht="15" hidden="false" customHeight="true" outlineLevel="0" collapsed="false">
      <c r="G1064" s="1" t="str">
        <f aca="false">IF(C1064="","",INDEX(Akaun!$F$5:$F$150,MATCH(C1064,Akaun!$A$5:$A$150,0)))</f>
        <v/>
      </c>
      <c r="H1064" s="1" t="str">
        <f aca="false">IF(C1064="","",INDEX(Akaun!$D$5:$D$150,MATCH(C1064,Akaun!$A$5:$A$150,0)))</f>
        <v/>
      </c>
    </row>
    <row r="1065" customFormat="false" ht="15" hidden="false" customHeight="true" outlineLevel="0" collapsed="false">
      <c r="G1065" s="1" t="str">
        <f aca="false">IF(C1065="","",INDEX(Akaun!$F$5:$F$150,MATCH(C1065,Akaun!$A$5:$A$150,0)))</f>
        <v/>
      </c>
      <c r="H1065" s="1" t="str">
        <f aca="false">IF(C1065="","",INDEX(Akaun!$D$5:$D$150,MATCH(C1065,Akaun!$A$5:$A$150,0)))</f>
        <v/>
      </c>
    </row>
    <row r="1066" customFormat="false" ht="15" hidden="false" customHeight="true" outlineLevel="0" collapsed="false">
      <c r="G1066" s="1" t="str">
        <f aca="false">IF(C1066="","",INDEX(Akaun!$F$5:$F$150,MATCH(C1066,Akaun!$A$5:$A$150,0)))</f>
        <v/>
      </c>
      <c r="H1066" s="1" t="str">
        <f aca="false">IF(C1066="","",INDEX(Akaun!$D$5:$D$150,MATCH(C1066,Akaun!$A$5:$A$150,0)))</f>
        <v/>
      </c>
    </row>
    <row r="1067" customFormat="false" ht="15" hidden="false" customHeight="true" outlineLevel="0" collapsed="false">
      <c r="G1067" s="1" t="str">
        <f aca="false">IF(C1067="","",INDEX(Akaun!$F$5:$F$150,MATCH(C1067,Akaun!$A$5:$A$150,0)))</f>
        <v/>
      </c>
      <c r="H1067" s="1" t="str">
        <f aca="false">IF(C1067="","",INDEX(Akaun!$D$5:$D$150,MATCH(C1067,Akaun!$A$5:$A$150,0)))</f>
        <v/>
      </c>
    </row>
    <row r="1068" customFormat="false" ht="15" hidden="false" customHeight="true" outlineLevel="0" collapsed="false">
      <c r="G1068" s="1" t="str">
        <f aca="false">IF(C1068="","",INDEX(Akaun!$F$5:$F$150,MATCH(C1068,Akaun!$A$5:$A$150,0)))</f>
        <v/>
      </c>
      <c r="H1068" s="1" t="str">
        <f aca="false">IF(C1068="","",INDEX(Akaun!$D$5:$D$150,MATCH(C1068,Akaun!$A$5:$A$150,0)))</f>
        <v/>
      </c>
    </row>
    <row r="1069" customFormat="false" ht="15" hidden="false" customHeight="true" outlineLevel="0" collapsed="false">
      <c r="G1069" s="1" t="str">
        <f aca="false">IF(C1069="","",INDEX(Akaun!$F$5:$F$150,MATCH(C1069,Akaun!$A$5:$A$150,0)))</f>
        <v/>
      </c>
      <c r="H1069" s="1" t="str">
        <f aca="false">IF(C1069="","",INDEX(Akaun!$D$5:$D$150,MATCH(C1069,Akaun!$A$5:$A$150,0)))</f>
        <v/>
      </c>
    </row>
    <row r="1070" customFormat="false" ht="15" hidden="false" customHeight="true" outlineLevel="0" collapsed="false">
      <c r="G1070" s="1" t="str">
        <f aca="false">IF(C1070="","",INDEX(Akaun!$F$5:$F$150,MATCH(C1070,Akaun!$A$5:$A$150,0)))</f>
        <v/>
      </c>
      <c r="H1070" s="1" t="str">
        <f aca="false">IF(C1070="","",INDEX(Akaun!$D$5:$D$150,MATCH(C1070,Akaun!$A$5:$A$150,0)))</f>
        <v/>
      </c>
    </row>
    <row r="1071" customFormat="false" ht="15" hidden="false" customHeight="true" outlineLevel="0" collapsed="false">
      <c r="G1071" s="1" t="str">
        <f aca="false">IF(C1071="","",INDEX(Akaun!$F$5:$F$150,MATCH(C1071,Akaun!$A$5:$A$150,0)))</f>
        <v/>
      </c>
      <c r="H1071" s="1" t="str">
        <f aca="false">IF(C1071="","",INDEX(Akaun!$D$5:$D$150,MATCH(C1071,Akaun!$A$5:$A$150,0)))</f>
        <v/>
      </c>
    </row>
    <row r="1072" customFormat="false" ht="15" hidden="false" customHeight="true" outlineLevel="0" collapsed="false">
      <c r="G1072" s="1" t="str">
        <f aca="false">IF(C1072="","",INDEX(Akaun!$F$5:$F$150,MATCH(C1072,Akaun!$A$5:$A$150,0)))</f>
        <v/>
      </c>
      <c r="H1072" s="1" t="str">
        <f aca="false">IF(C1072="","",INDEX(Akaun!$D$5:$D$150,MATCH(C1072,Akaun!$A$5:$A$150,0)))</f>
        <v/>
      </c>
    </row>
    <row r="1073" customFormat="false" ht="15" hidden="false" customHeight="true" outlineLevel="0" collapsed="false">
      <c r="G1073" s="1" t="str">
        <f aca="false">IF(C1073="","",INDEX(Akaun!$F$5:$F$150,MATCH(C1073,Akaun!$A$5:$A$150,0)))</f>
        <v/>
      </c>
      <c r="H1073" s="1" t="str">
        <f aca="false">IF(C1073="","",INDEX(Akaun!$D$5:$D$150,MATCH(C1073,Akaun!$A$5:$A$150,0)))</f>
        <v/>
      </c>
    </row>
    <row r="1074" customFormat="false" ht="15" hidden="false" customHeight="true" outlineLevel="0" collapsed="false">
      <c r="G1074" s="1" t="str">
        <f aca="false">IF(C1074="","",INDEX(Akaun!$F$5:$F$150,MATCH(C1074,Akaun!$A$5:$A$150,0)))</f>
        <v/>
      </c>
      <c r="H1074" s="1" t="str">
        <f aca="false">IF(C1074="","",INDEX(Akaun!$D$5:$D$150,MATCH(C1074,Akaun!$A$5:$A$150,0)))</f>
        <v/>
      </c>
    </row>
    <row r="1075" customFormat="false" ht="15" hidden="false" customHeight="true" outlineLevel="0" collapsed="false">
      <c r="G1075" s="1" t="str">
        <f aca="false">IF(C1075="","",INDEX(Akaun!$F$5:$F$150,MATCH(C1075,Akaun!$A$5:$A$150,0)))</f>
        <v/>
      </c>
      <c r="H1075" s="1" t="str">
        <f aca="false">IF(C1075="","",INDEX(Akaun!$D$5:$D$150,MATCH(C1075,Akaun!$A$5:$A$150,0)))</f>
        <v/>
      </c>
    </row>
    <row r="1076" customFormat="false" ht="15" hidden="false" customHeight="true" outlineLevel="0" collapsed="false">
      <c r="G1076" s="1" t="str">
        <f aca="false">IF(C1076="","",INDEX(Akaun!$F$5:$F$150,MATCH(C1076,Akaun!$A$5:$A$150,0)))</f>
        <v/>
      </c>
      <c r="H1076" s="1" t="str">
        <f aca="false">IF(C1076="","",INDEX(Akaun!$D$5:$D$150,MATCH(C1076,Akaun!$A$5:$A$150,0)))</f>
        <v/>
      </c>
    </row>
    <row r="1077" customFormat="false" ht="15" hidden="false" customHeight="true" outlineLevel="0" collapsed="false">
      <c r="G1077" s="1" t="str">
        <f aca="false">IF(C1077="","",INDEX(Akaun!$F$5:$F$150,MATCH(C1077,Akaun!$A$5:$A$150,0)))</f>
        <v/>
      </c>
      <c r="H1077" s="1" t="str">
        <f aca="false">IF(C1077="","",INDEX(Akaun!$D$5:$D$150,MATCH(C1077,Akaun!$A$5:$A$150,0)))</f>
        <v/>
      </c>
    </row>
    <row r="1078" customFormat="false" ht="15" hidden="false" customHeight="true" outlineLevel="0" collapsed="false">
      <c r="G1078" s="1" t="str">
        <f aca="false">IF(C1078="","",INDEX(Akaun!$F$5:$F$150,MATCH(C1078,Akaun!$A$5:$A$150,0)))</f>
        <v/>
      </c>
      <c r="H1078" s="1" t="str">
        <f aca="false">IF(C1078="","",INDEX(Akaun!$D$5:$D$150,MATCH(C1078,Akaun!$A$5:$A$150,0)))</f>
        <v/>
      </c>
    </row>
    <row r="1079" customFormat="false" ht="15" hidden="false" customHeight="true" outlineLevel="0" collapsed="false">
      <c r="G1079" s="1" t="str">
        <f aca="false">IF(C1079="","",INDEX(Akaun!$F$5:$F$150,MATCH(C1079,Akaun!$A$5:$A$150,0)))</f>
        <v/>
      </c>
      <c r="H1079" s="1" t="str">
        <f aca="false">IF(C1079="","",INDEX(Akaun!$D$5:$D$150,MATCH(C1079,Akaun!$A$5:$A$150,0)))</f>
        <v/>
      </c>
    </row>
    <row r="1080" customFormat="false" ht="15" hidden="false" customHeight="true" outlineLevel="0" collapsed="false">
      <c r="G1080" s="1" t="str">
        <f aca="false">IF(C1080="","",INDEX(Akaun!$F$5:$F$150,MATCH(C1080,Akaun!$A$5:$A$150,0)))</f>
        <v/>
      </c>
      <c r="H1080" s="1" t="str">
        <f aca="false">IF(C1080="","",INDEX(Akaun!$D$5:$D$150,MATCH(C1080,Akaun!$A$5:$A$150,0)))</f>
        <v/>
      </c>
    </row>
    <row r="1081" customFormat="false" ht="15" hidden="false" customHeight="true" outlineLevel="0" collapsed="false">
      <c r="G1081" s="1" t="str">
        <f aca="false">IF(C1081="","",INDEX(Akaun!$F$5:$F$150,MATCH(C1081,Akaun!$A$5:$A$150,0)))</f>
        <v/>
      </c>
      <c r="H1081" s="1" t="str">
        <f aca="false">IF(C1081="","",INDEX(Akaun!$D$5:$D$150,MATCH(C1081,Akaun!$A$5:$A$150,0)))</f>
        <v/>
      </c>
    </row>
    <row r="1082" customFormat="false" ht="15" hidden="false" customHeight="true" outlineLevel="0" collapsed="false">
      <c r="G1082" s="1" t="str">
        <f aca="false">IF(C1082="","",INDEX(Akaun!$F$5:$F$150,MATCH(C1082,Akaun!$A$5:$A$150,0)))</f>
        <v/>
      </c>
      <c r="H1082" s="1" t="str">
        <f aca="false">IF(C1082="","",INDEX(Akaun!$D$5:$D$150,MATCH(C1082,Akaun!$A$5:$A$150,0)))</f>
        <v/>
      </c>
    </row>
    <row r="1083" customFormat="false" ht="15" hidden="false" customHeight="true" outlineLevel="0" collapsed="false">
      <c r="G1083" s="1" t="str">
        <f aca="false">IF(C1083="","",INDEX(Akaun!$F$5:$F$150,MATCH(C1083,Akaun!$A$5:$A$150,0)))</f>
        <v/>
      </c>
      <c r="H1083" s="1" t="str">
        <f aca="false">IF(C1083="","",INDEX(Akaun!$D$5:$D$150,MATCH(C1083,Akaun!$A$5:$A$150,0)))</f>
        <v/>
      </c>
    </row>
    <row r="1084" customFormat="false" ht="15" hidden="false" customHeight="true" outlineLevel="0" collapsed="false">
      <c r="G1084" s="1" t="str">
        <f aca="false">IF(C1084="","",INDEX(Akaun!$F$5:$F$150,MATCH(C1084,Akaun!$A$5:$A$150,0)))</f>
        <v/>
      </c>
      <c r="H1084" s="1" t="str">
        <f aca="false">IF(C1084="","",INDEX(Akaun!$D$5:$D$150,MATCH(C1084,Akaun!$A$5:$A$150,0)))</f>
        <v/>
      </c>
    </row>
    <row r="1085" customFormat="false" ht="15" hidden="false" customHeight="true" outlineLevel="0" collapsed="false">
      <c r="G1085" s="1" t="str">
        <f aca="false">IF(C1085="","",INDEX(Akaun!$F$5:$F$150,MATCH(C1085,Akaun!$A$5:$A$150,0)))</f>
        <v/>
      </c>
      <c r="H1085" s="1" t="str">
        <f aca="false">IF(C1085="","",INDEX(Akaun!$D$5:$D$150,MATCH(C1085,Akaun!$A$5:$A$150,0)))</f>
        <v/>
      </c>
    </row>
    <row r="1086" customFormat="false" ht="15" hidden="false" customHeight="true" outlineLevel="0" collapsed="false">
      <c r="G1086" s="1" t="str">
        <f aca="false">IF(C1086="","",INDEX(Akaun!$F$5:$F$150,MATCH(C1086,Akaun!$A$5:$A$150,0)))</f>
        <v/>
      </c>
      <c r="H1086" s="1" t="str">
        <f aca="false">IF(C1086="","",INDEX(Akaun!$D$5:$D$150,MATCH(C1086,Akaun!$A$5:$A$150,0)))</f>
        <v/>
      </c>
    </row>
    <row r="1087" customFormat="false" ht="15" hidden="false" customHeight="true" outlineLevel="0" collapsed="false">
      <c r="G1087" s="1" t="str">
        <f aca="false">IF(C1087="","",INDEX(Akaun!$F$5:$F$150,MATCH(C1087,Akaun!$A$5:$A$150,0)))</f>
        <v/>
      </c>
      <c r="H1087" s="1" t="str">
        <f aca="false">IF(C1087="","",INDEX(Akaun!$D$5:$D$150,MATCH(C1087,Akaun!$A$5:$A$150,0)))</f>
        <v/>
      </c>
    </row>
    <row r="1088" customFormat="false" ht="15" hidden="false" customHeight="true" outlineLevel="0" collapsed="false">
      <c r="G1088" s="1" t="str">
        <f aca="false">IF(C1088="","",INDEX(Akaun!$F$5:$F$150,MATCH(C1088,Akaun!$A$5:$A$150,0)))</f>
        <v/>
      </c>
      <c r="H1088" s="1" t="str">
        <f aca="false">IF(C1088="","",INDEX(Akaun!$D$5:$D$150,MATCH(C1088,Akaun!$A$5:$A$150,0)))</f>
        <v/>
      </c>
    </row>
    <row r="1089" customFormat="false" ht="15" hidden="false" customHeight="true" outlineLevel="0" collapsed="false">
      <c r="G1089" s="1" t="str">
        <f aca="false">IF(C1089="","",INDEX(Akaun!$F$5:$F$150,MATCH(C1089,Akaun!$A$5:$A$150,0)))</f>
        <v/>
      </c>
      <c r="H1089" s="1" t="str">
        <f aca="false">IF(C1089="","",INDEX(Akaun!$D$5:$D$150,MATCH(C1089,Akaun!$A$5:$A$150,0)))</f>
        <v/>
      </c>
    </row>
    <row r="1090" customFormat="false" ht="15" hidden="false" customHeight="true" outlineLevel="0" collapsed="false">
      <c r="G1090" s="1" t="str">
        <f aca="false">IF(C1090="","",INDEX(Akaun!$F$5:$F$150,MATCH(C1090,Akaun!$A$5:$A$150,0)))</f>
        <v/>
      </c>
      <c r="H1090" s="1" t="str">
        <f aca="false">IF(C1090="","",INDEX(Akaun!$D$5:$D$150,MATCH(C1090,Akaun!$A$5:$A$150,0)))</f>
        <v/>
      </c>
    </row>
    <row r="1091" customFormat="false" ht="15" hidden="false" customHeight="true" outlineLevel="0" collapsed="false">
      <c r="G1091" s="1" t="str">
        <f aca="false">IF(C1091="","",INDEX(Akaun!$F$5:$F$150,MATCH(C1091,Akaun!$A$5:$A$150,0)))</f>
        <v/>
      </c>
      <c r="H1091" s="1" t="str">
        <f aca="false">IF(C1091="","",INDEX(Akaun!$D$5:$D$150,MATCH(C1091,Akaun!$A$5:$A$150,0)))</f>
        <v/>
      </c>
    </row>
    <row r="1092" customFormat="false" ht="15" hidden="false" customHeight="true" outlineLevel="0" collapsed="false">
      <c r="G1092" s="1" t="str">
        <f aca="false">IF(C1092="","",INDEX(Akaun!$F$5:$F$150,MATCH(C1092,Akaun!$A$5:$A$150,0)))</f>
        <v/>
      </c>
      <c r="H1092" s="1" t="str">
        <f aca="false">IF(C1092="","",INDEX(Akaun!$D$5:$D$150,MATCH(C1092,Akaun!$A$5:$A$150,0)))</f>
        <v/>
      </c>
    </row>
    <row r="1093" customFormat="false" ht="15" hidden="false" customHeight="true" outlineLevel="0" collapsed="false">
      <c r="G1093" s="1" t="str">
        <f aca="false">IF(C1093="","",INDEX(Akaun!$F$5:$F$150,MATCH(C1093,Akaun!$A$5:$A$150,0)))</f>
        <v/>
      </c>
      <c r="H1093" s="1" t="str">
        <f aca="false">IF(C1093="","",INDEX(Akaun!$D$5:$D$150,MATCH(C1093,Akaun!$A$5:$A$150,0)))</f>
        <v/>
      </c>
    </row>
    <row r="1094" customFormat="false" ht="15" hidden="false" customHeight="true" outlineLevel="0" collapsed="false">
      <c r="G1094" s="1" t="str">
        <f aca="false">IF(C1094="","",INDEX(Akaun!$F$5:$F$150,MATCH(C1094,Akaun!$A$5:$A$150,0)))</f>
        <v/>
      </c>
      <c r="H1094" s="1" t="str">
        <f aca="false">IF(C1094="","",INDEX(Akaun!$D$5:$D$150,MATCH(C1094,Akaun!$A$5:$A$150,0)))</f>
        <v/>
      </c>
    </row>
    <row r="1095" customFormat="false" ht="15" hidden="false" customHeight="true" outlineLevel="0" collapsed="false">
      <c r="G1095" s="1" t="str">
        <f aca="false">IF(C1095="","",INDEX(Akaun!$F$5:$F$150,MATCH(C1095,Akaun!$A$5:$A$150,0)))</f>
        <v/>
      </c>
      <c r="H1095" s="1" t="str">
        <f aca="false">IF(C1095="","",INDEX(Akaun!$D$5:$D$150,MATCH(C1095,Akaun!$A$5:$A$150,0)))</f>
        <v/>
      </c>
    </row>
    <row r="1096" customFormat="false" ht="15" hidden="false" customHeight="true" outlineLevel="0" collapsed="false">
      <c r="G1096" s="1" t="str">
        <f aca="false">IF(C1096="","",INDEX(Akaun!$F$5:$F$150,MATCH(C1096,Akaun!$A$5:$A$150,0)))</f>
        <v/>
      </c>
      <c r="H1096" s="1" t="str">
        <f aca="false">IF(C1096="","",INDEX(Akaun!$D$5:$D$150,MATCH(C1096,Akaun!$A$5:$A$150,0)))</f>
        <v/>
      </c>
    </row>
    <row r="1097" customFormat="false" ht="15" hidden="false" customHeight="true" outlineLevel="0" collapsed="false">
      <c r="G1097" s="1" t="str">
        <f aca="false">IF(C1097="","",INDEX(Akaun!$F$5:$F$150,MATCH(C1097,Akaun!$A$5:$A$150,0)))</f>
        <v/>
      </c>
      <c r="H1097" s="1" t="str">
        <f aca="false">IF(C1097="","",INDEX(Akaun!$D$5:$D$150,MATCH(C1097,Akaun!$A$5:$A$150,0)))</f>
        <v/>
      </c>
    </row>
    <row r="1098" customFormat="false" ht="15" hidden="false" customHeight="true" outlineLevel="0" collapsed="false">
      <c r="G1098" s="1" t="str">
        <f aca="false">IF(C1098="","",INDEX(Akaun!$F$5:$F$150,MATCH(C1098,Akaun!$A$5:$A$150,0)))</f>
        <v/>
      </c>
      <c r="H1098" s="1" t="str">
        <f aca="false">IF(C1098="","",INDEX(Akaun!$D$5:$D$150,MATCH(C1098,Akaun!$A$5:$A$150,0)))</f>
        <v/>
      </c>
    </row>
    <row r="1099" customFormat="false" ht="15" hidden="false" customHeight="true" outlineLevel="0" collapsed="false">
      <c r="G1099" s="1" t="str">
        <f aca="false">IF(C1099="","",INDEX(Akaun!$F$5:$F$150,MATCH(C1099,Akaun!$A$5:$A$150,0)))</f>
        <v/>
      </c>
      <c r="H1099" s="1" t="str">
        <f aca="false">IF(C1099="","",INDEX(Akaun!$D$5:$D$150,MATCH(C1099,Akaun!$A$5:$A$150,0)))</f>
        <v/>
      </c>
    </row>
    <row r="1100" customFormat="false" ht="15" hidden="false" customHeight="true" outlineLevel="0" collapsed="false">
      <c r="G1100" s="1" t="str">
        <f aca="false">IF(C1100="","",INDEX(Akaun!$F$5:$F$150,MATCH(C1100,Akaun!$A$5:$A$150,0)))</f>
        <v/>
      </c>
      <c r="H1100" s="1" t="str">
        <f aca="false">IF(C1100="","",INDEX(Akaun!$D$5:$D$150,MATCH(C1100,Akaun!$A$5:$A$150,0)))</f>
        <v/>
      </c>
    </row>
    <row r="1101" customFormat="false" ht="15" hidden="false" customHeight="true" outlineLevel="0" collapsed="false">
      <c r="G1101" s="1" t="str">
        <f aca="false">IF(C1101="","",INDEX(Akaun!$F$5:$F$150,MATCH(C1101,Akaun!$A$5:$A$150,0)))</f>
        <v/>
      </c>
      <c r="H1101" s="1" t="str">
        <f aca="false">IF(C1101="","",INDEX(Akaun!$D$5:$D$150,MATCH(C1101,Akaun!$A$5:$A$150,0)))</f>
        <v/>
      </c>
    </row>
    <row r="1102" customFormat="false" ht="15" hidden="false" customHeight="true" outlineLevel="0" collapsed="false">
      <c r="G1102" s="1" t="str">
        <f aca="false">IF(C1102="","",INDEX(Akaun!$F$5:$F$150,MATCH(C1102,Akaun!$A$5:$A$150,0)))</f>
        <v/>
      </c>
      <c r="H1102" s="1" t="str">
        <f aca="false">IF(C1102="","",INDEX(Akaun!$D$5:$D$150,MATCH(C1102,Akaun!$A$5:$A$150,0)))</f>
        <v/>
      </c>
    </row>
    <row r="1103" customFormat="false" ht="15" hidden="false" customHeight="true" outlineLevel="0" collapsed="false">
      <c r="G1103" s="1" t="str">
        <f aca="false">IF(C1103="","",INDEX(Akaun!$F$5:$F$150,MATCH(C1103,Akaun!$A$5:$A$150,0)))</f>
        <v/>
      </c>
      <c r="H1103" s="1" t="str">
        <f aca="false">IF(C1103="","",INDEX(Akaun!$D$5:$D$150,MATCH(C1103,Akaun!$A$5:$A$150,0)))</f>
        <v/>
      </c>
    </row>
    <row r="1104" customFormat="false" ht="15" hidden="false" customHeight="true" outlineLevel="0" collapsed="false">
      <c r="G1104" s="1" t="str">
        <f aca="false">IF(C1104="","",INDEX(Akaun!$F$5:$F$150,MATCH(C1104,Akaun!$A$5:$A$150,0)))</f>
        <v/>
      </c>
      <c r="H1104" s="1" t="str">
        <f aca="false">IF(C1104="","",INDEX(Akaun!$D$5:$D$150,MATCH(C1104,Akaun!$A$5:$A$150,0)))</f>
        <v/>
      </c>
    </row>
    <row r="1105" customFormat="false" ht="15" hidden="false" customHeight="true" outlineLevel="0" collapsed="false">
      <c r="G1105" s="1" t="str">
        <f aca="false">IF(C1105="","",INDEX(Akaun!$F$5:$F$150,MATCH(C1105,Akaun!$A$5:$A$150,0)))</f>
        <v/>
      </c>
      <c r="H1105" s="1" t="str">
        <f aca="false">IF(C1105="","",INDEX(Akaun!$D$5:$D$150,MATCH(C1105,Akaun!$A$5:$A$150,0)))</f>
        <v/>
      </c>
    </row>
    <row r="1106" customFormat="false" ht="15" hidden="false" customHeight="true" outlineLevel="0" collapsed="false">
      <c r="G1106" s="1" t="str">
        <f aca="false">IF(C1106="","",INDEX(Akaun!$F$5:$F$150,MATCH(C1106,Akaun!$A$5:$A$150,0)))</f>
        <v/>
      </c>
      <c r="H1106" s="1" t="str">
        <f aca="false">IF(C1106="","",INDEX(Akaun!$D$5:$D$150,MATCH(C1106,Akaun!$A$5:$A$150,0)))</f>
        <v/>
      </c>
    </row>
    <row r="1107" customFormat="false" ht="15" hidden="false" customHeight="true" outlineLevel="0" collapsed="false">
      <c r="G1107" s="1" t="str">
        <f aca="false">IF(C1107="","",INDEX(Akaun!$F$5:$F$150,MATCH(C1107,Akaun!$A$5:$A$150,0)))</f>
        <v/>
      </c>
      <c r="H1107" s="1" t="str">
        <f aca="false">IF(C1107="","",INDEX(Akaun!$D$5:$D$150,MATCH(C1107,Akaun!$A$5:$A$150,0)))</f>
        <v/>
      </c>
    </row>
    <row r="1108" customFormat="false" ht="15" hidden="false" customHeight="true" outlineLevel="0" collapsed="false">
      <c r="G1108" s="1" t="str">
        <f aca="false">IF(C1108="","",INDEX(Akaun!$F$5:$F$150,MATCH(C1108,Akaun!$A$5:$A$150,0)))</f>
        <v/>
      </c>
      <c r="H1108" s="1" t="str">
        <f aca="false">IF(C1108="","",INDEX(Akaun!$D$5:$D$150,MATCH(C1108,Akaun!$A$5:$A$150,0)))</f>
        <v/>
      </c>
    </row>
    <row r="1109" customFormat="false" ht="15" hidden="false" customHeight="true" outlineLevel="0" collapsed="false">
      <c r="G1109" s="1" t="str">
        <f aca="false">IF(C1109="","",INDEX(Akaun!$F$5:$F$150,MATCH(C1109,Akaun!$A$5:$A$150,0)))</f>
        <v/>
      </c>
      <c r="H1109" s="1" t="str">
        <f aca="false">IF(C1109="","",INDEX(Akaun!$D$5:$D$150,MATCH(C1109,Akaun!$A$5:$A$150,0)))</f>
        <v/>
      </c>
    </row>
    <row r="1110" customFormat="false" ht="15" hidden="false" customHeight="true" outlineLevel="0" collapsed="false">
      <c r="G1110" s="1" t="str">
        <f aca="false">IF(C1110="","",INDEX(Akaun!$F$5:$F$150,MATCH(C1110,Akaun!$A$5:$A$150,0)))</f>
        <v/>
      </c>
      <c r="H1110" s="1" t="str">
        <f aca="false">IF(C1110="","",INDEX(Akaun!$D$5:$D$150,MATCH(C1110,Akaun!$A$5:$A$150,0)))</f>
        <v/>
      </c>
    </row>
    <row r="1111" customFormat="false" ht="15" hidden="false" customHeight="true" outlineLevel="0" collapsed="false">
      <c r="G1111" s="1" t="str">
        <f aca="false">IF(C1111="","",INDEX(Akaun!$F$5:$F$150,MATCH(C1111,Akaun!$A$5:$A$150,0)))</f>
        <v/>
      </c>
      <c r="H1111" s="1" t="str">
        <f aca="false">IF(C1111="","",INDEX(Akaun!$D$5:$D$150,MATCH(C1111,Akaun!$A$5:$A$150,0)))</f>
        <v/>
      </c>
    </row>
    <row r="1112" customFormat="false" ht="15" hidden="false" customHeight="true" outlineLevel="0" collapsed="false">
      <c r="G1112" s="1" t="str">
        <f aca="false">IF(C1112="","",INDEX(Akaun!$F$5:$F$150,MATCH(C1112,Akaun!$A$5:$A$150,0)))</f>
        <v/>
      </c>
      <c r="H1112" s="1" t="str">
        <f aca="false">IF(C1112="","",INDEX(Akaun!$D$5:$D$150,MATCH(C1112,Akaun!$A$5:$A$150,0)))</f>
        <v/>
      </c>
    </row>
    <row r="1113" customFormat="false" ht="15" hidden="false" customHeight="true" outlineLevel="0" collapsed="false">
      <c r="G1113" s="1" t="str">
        <f aca="false">IF(C1113="","",INDEX(Akaun!$F$5:$F$150,MATCH(C1113,Akaun!$A$5:$A$150,0)))</f>
        <v/>
      </c>
      <c r="H1113" s="1" t="str">
        <f aca="false">IF(C1113="","",INDEX(Akaun!$D$5:$D$150,MATCH(C1113,Akaun!$A$5:$A$150,0)))</f>
        <v/>
      </c>
    </row>
    <row r="1114" customFormat="false" ht="15" hidden="false" customHeight="true" outlineLevel="0" collapsed="false">
      <c r="G1114" s="1" t="str">
        <f aca="false">IF(C1114="","",INDEX(Akaun!$F$5:$F$150,MATCH(C1114,Akaun!$A$5:$A$150,0)))</f>
        <v/>
      </c>
      <c r="H1114" s="1" t="str">
        <f aca="false">IF(C1114="","",INDEX(Akaun!$D$5:$D$150,MATCH(C1114,Akaun!$A$5:$A$150,0)))</f>
        <v/>
      </c>
    </row>
    <row r="1115" customFormat="false" ht="15" hidden="false" customHeight="true" outlineLevel="0" collapsed="false">
      <c r="G1115" s="1" t="str">
        <f aca="false">IF(C1115="","",INDEX(Akaun!$F$5:$F$150,MATCH(C1115,Akaun!$A$5:$A$150,0)))</f>
        <v/>
      </c>
      <c r="H1115" s="1" t="str">
        <f aca="false">IF(C1115="","",INDEX(Akaun!$D$5:$D$150,MATCH(C1115,Akaun!$A$5:$A$150,0)))</f>
        <v/>
      </c>
    </row>
    <row r="1116" customFormat="false" ht="15" hidden="false" customHeight="true" outlineLevel="0" collapsed="false">
      <c r="G1116" s="1" t="str">
        <f aca="false">IF(C1116="","",INDEX(Akaun!$F$5:$F$150,MATCH(C1116,Akaun!$A$5:$A$150,0)))</f>
        <v/>
      </c>
      <c r="H1116" s="1" t="str">
        <f aca="false">IF(C1116="","",INDEX(Akaun!$D$5:$D$150,MATCH(C1116,Akaun!$A$5:$A$150,0)))</f>
        <v/>
      </c>
    </row>
    <row r="1117" customFormat="false" ht="15" hidden="false" customHeight="true" outlineLevel="0" collapsed="false">
      <c r="G1117" s="1" t="str">
        <f aca="false">IF(C1117="","",INDEX(Akaun!$F$5:$F$150,MATCH(C1117,Akaun!$A$5:$A$150,0)))</f>
        <v/>
      </c>
      <c r="H1117" s="1" t="str">
        <f aca="false">IF(C1117="","",INDEX(Akaun!$D$5:$D$150,MATCH(C1117,Akaun!$A$5:$A$150,0)))</f>
        <v/>
      </c>
    </row>
    <row r="1118" customFormat="false" ht="15" hidden="false" customHeight="true" outlineLevel="0" collapsed="false">
      <c r="G1118" s="1" t="str">
        <f aca="false">IF(C1118="","",INDEX(Akaun!$F$5:$F$150,MATCH(C1118,Akaun!$A$5:$A$150,0)))</f>
        <v/>
      </c>
      <c r="H1118" s="1" t="str">
        <f aca="false">IF(C1118="","",INDEX(Akaun!$D$5:$D$150,MATCH(C1118,Akaun!$A$5:$A$150,0)))</f>
        <v/>
      </c>
    </row>
    <row r="1119" customFormat="false" ht="15" hidden="false" customHeight="true" outlineLevel="0" collapsed="false">
      <c r="G1119" s="1" t="str">
        <f aca="false">IF(C1119="","",INDEX(Akaun!$F$5:$F$150,MATCH(C1119,Akaun!$A$5:$A$150,0)))</f>
        <v/>
      </c>
      <c r="H1119" s="1" t="str">
        <f aca="false">IF(C1119="","",INDEX(Akaun!$D$5:$D$150,MATCH(C1119,Akaun!$A$5:$A$150,0)))</f>
        <v/>
      </c>
    </row>
    <row r="1120" customFormat="false" ht="15" hidden="false" customHeight="true" outlineLevel="0" collapsed="false">
      <c r="G1120" s="1" t="str">
        <f aca="false">IF(C1120="","",INDEX(Akaun!$F$5:$F$150,MATCH(C1120,Akaun!$A$5:$A$150,0)))</f>
        <v/>
      </c>
      <c r="H1120" s="1" t="str">
        <f aca="false">IF(C1120="","",INDEX(Akaun!$D$5:$D$150,MATCH(C1120,Akaun!$A$5:$A$150,0)))</f>
        <v/>
      </c>
    </row>
    <row r="1121" customFormat="false" ht="15" hidden="false" customHeight="true" outlineLevel="0" collapsed="false">
      <c r="G1121" s="1" t="str">
        <f aca="false">IF(C1121="","",INDEX(Akaun!$F$5:$F$150,MATCH(C1121,Akaun!$A$5:$A$150,0)))</f>
        <v/>
      </c>
      <c r="H1121" s="1" t="str">
        <f aca="false">IF(C1121="","",INDEX(Akaun!$D$5:$D$150,MATCH(C1121,Akaun!$A$5:$A$150,0)))</f>
        <v/>
      </c>
    </row>
    <row r="1122" customFormat="false" ht="15" hidden="false" customHeight="true" outlineLevel="0" collapsed="false">
      <c r="G1122" s="1" t="str">
        <f aca="false">IF(C1122="","",INDEX(Akaun!$F$5:$F$150,MATCH(C1122,Akaun!$A$5:$A$150,0)))</f>
        <v/>
      </c>
      <c r="H1122" s="1" t="str">
        <f aca="false">IF(C1122="","",INDEX(Akaun!$D$5:$D$150,MATCH(C1122,Akaun!$A$5:$A$150,0)))</f>
        <v/>
      </c>
    </row>
    <row r="1123" customFormat="false" ht="15" hidden="false" customHeight="true" outlineLevel="0" collapsed="false">
      <c r="G1123" s="1" t="str">
        <f aca="false">IF(C1123="","",INDEX(Akaun!$F$5:$F$150,MATCH(C1123,Akaun!$A$5:$A$150,0)))</f>
        <v/>
      </c>
      <c r="H1123" s="1" t="str">
        <f aca="false">IF(C1123="","",INDEX(Akaun!$D$5:$D$150,MATCH(C1123,Akaun!$A$5:$A$150,0)))</f>
        <v/>
      </c>
    </row>
    <row r="1124" customFormat="false" ht="15" hidden="false" customHeight="true" outlineLevel="0" collapsed="false">
      <c r="G1124" s="1" t="str">
        <f aca="false">IF(C1124="","",INDEX(Akaun!$F$5:$F$150,MATCH(C1124,Akaun!$A$5:$A$150,0)))</f>
        <v/>
      </c>
      <c r="H1124" s="1" t="str">
        <f aca="false">IF(C1124="","",INDEX(Akaun!$D$5:$D$150,MATCH(C1124,Akaun!$A$5:$A$150,0)))</f>
        <v/>
      </c>
    </row>
    <row r="1125" customFormat="false" ht="15" hidden="false" customHeight="true" outlineLevel="0" collapsed="false">
      <c r="G1125" s="1" t="str">
        <f aca="false">IF(C1125="","",INDEX(Akaun!$F$5:$F$150,MATCH(C1125,Akaun!$A$5:$A$150,0)))</f>
        <v/>
      </c>
      <c r="H1125" s="1" t="str">
        <f aca="false">IF(C1125="","",INDEX(Akaun!$D$5:$D$150,MATCH(C1125,Akaun!$A$5:$A$150,0)))</f>
        <v/>
      </c>
    </row>
    <row r="1126" customFormat="false" ht="15" hidden="false" customHeight="true" outlineLevel="0" collapsed="false">
      <c r="G1126" s="1" t="str">
        <f aca="false">IF(C1126="","",INDEX(Akaun!$F$5:$F$150,MATCH(C1126,Akaun!$A$5:$A$150,0)))</f>
        <v/>
      </c>
      <c r="H1126" s="1" t="str">
        <f aca="false">IF(C1126="","",INDEX(Akaun!$D$5:$D$150,MATCH(C1126,Akaun!$A$5:$A$150,0)))</f>
        <v/>
      </c>
    </row>
    <row r="1127" customFormat="false" ht="15" hidden="false" customHeight="true" outlineLevel="0" collapsed="false">
      <c r="G1127" s="1" t="str">
        <f aca="false">IF(C1127="","",INDEX(Akaun!$F$5:$F$150,MATCH(C1127,Akaun!$A$5:$A$150,0)))</f>
        <v/>
      </c>
      <c r="H1127" s="1" t="str">
        <f aca="false">IF(C1127="","",INDEX(Akaun!$D$5:$D$150,MATCH(C1127,Akaun!$A$5:$A$150,0)))</f>
        <v/>
      </c>
    </row>
    <row r="1128" customFormat="false" ht="15" hidden="false" customHeight="true" outlineLevel="0" collapsed="false">
      <c r="G1128" s="1" t="str">
        <f aca="false">IF(C1128="","",INDEX(Akaun!$F$5:$F$150,MATCH(C1128,Akaun!$A$5:$A$150,0)))</f>
        <v/>
      </c>
      <c r="H1128" s="1" t="str">
        <f aca="false">IF(C1128="","",INDEX(Akaun!$D$5:$D$150,MATCH(C1128,Akaun!$A$5:$A$150,0)))</f>
        <v/>
      </c>
    </row>
    <row r="1129" customFormat="false" ht="15" hidden="false" customHeight="true" outlineLevel="0" collapsed="false">
      <c r="G1129" s="1" t="str">
        <f aca="false">IF(C1129="","",INDEX(Akaun!$F$5:$F$150,MATCH(C1129,Akaun!$A$5:$A$150,0)))</f>
        <v/>
      </c>
      <c r="H1129" s="1" t="str">
        <f aca="false">IF(C1129="","",INDEX(Akaun!$D$5:$D$150,MATCH(C1129,Akaun!$A$5:$A$150,0)))</f>
        <v/>
      </c>
    </row>
    <row r="1130" customFormat="false" ht="15" hidden="false" customHeight="true" outlineLevel="0" collapsed="false">
      <c r="G1130" s="1" t="str">
        <f aca="false">IF(C1130="","",INDEX(Akaun!$F$5:$F$150,MATCH(C1130,Akaun!$A$5:$A$150,0)))</f>
        <v/>
      </c>
      <c r="H1130" s="1" t="str">
        <f aca="false">IF(C1130="","",INDEX(Akaun!$D$5:$D$150,MATCH(C1130,Akaun!$A$5:$A$150,0)))</f>
        <v/>
      </c>
    </row>
    <row r="1131" customFormat="false" ht="15" hidden="false" customHeight="true" outlineLevel="0" collapsed="false">
      <c r="G1131" s="1" t="str">
        <f aca="false">IF(C1131="","",INDEX(Akaun!$F$5:$F$150,MATCH(C1131,Akaun!$A$5:$A$150,0)))</f>
        <v/>
      </c>
      <c r="H1131" s="1" t="str">
        <f aca="false">IF(C1131="","",INDEX(Akaun!$D$5:$D$150,MATCH(C1131,Akaun!$A$5:$A$150,0)))</f>
        <v/>
      </c>
    </row>
    <row r="1132" customFormat="false" ht="15" hidden="false" customHeight="true" outlineLevel="0" collapsed="false">
      <c r="G1132" s="1" t="str">
        <f aca="false">IF(C1132="","",INDEX(Akaun!$F$5:$F$150,MATCH(C1132,Akaun!$A$5:$A$150,0)))</f>
        <v/>
      </c>
      <c r="H1132" s="1" t="str">
        <f aca="false">IF(C1132="","",INDEX(Akaun!$D$5:$D$150,MATCH(C1132,Akaun!$A$5:$A$150,0)))</f>
        <v/>
      </c>
    </row>
    <row r="1133" customFormat="false" ht="15" hidden="false" customHeight="true" outlineLevel="0" collapsed="false">
      <c r="G1133" s="1" t="str">
        <f aca="false">IF(C1133="","",INDEX(Akaun!$F$5:$F$150,MATCH(C1133,Akaun!$A$5:$A$150,0)))</f>
        <v/>
      </c>
      <c r="H1133" s="1" t="str">
        <f aca="false">IF(C1133="","",INDEX(Akaun!$D$5:$D$150,MATCH(C1133,Akaun!$A$5:$A$150,0)))</f>
        <v/>
      </c>
    </row>
    <row r="1134" customFormat="false" ht="15" hidden="false" customHeight="true" outlineLevel="0" collapsed="false">
      <c r="G1134" s="1" t="str">
        <f aca="false">IF(C1134="","",INDEX(Akaun!$F$5:$F$150,MATCH(C1134,Akaun!$A$5:$A$150,0)))</f>
        <v/>
      </c>
      <c r="H1134" s="1" t="str">
        <f aca="false">IF(C1134="","",INDEX(Akaun!$D$5:$D$150,MATCH(C1134,Akaun!$A$5:$A$150,0)))</f>
        <v/>
      </c>
    </row>
    <row r="1135" customFormat="false" ht="15" hidden="false" customHeight="true" outlineLevel="0" collapsed="false">
      <c r="G1135" s="1" t="str">
        <f aca="false">IF(C1135="","",INDEX(Akaun!$F$5:$F$150,MATCH(C1135,Akaun!$A$5:$A$150,0)))</f>
        <v/>
      </c>
      <c r="H1135" s="1" t="str">
        <f aca="false">IF(C1135="","",INDEX(Akaun!$D$5:$D$150,MATCH(C1135,Akaun!$A$5:$A$150,0)))</f>
        <v/>
      </c>
    </row>
    <row r="1136" customFormat="false" ht="15" hidden="false" customHeight="true" outlineLevel="0" collapsed="false">
      <c r="G1136" s="1" t="str">
        <f aca="false">IF(C1136="","",INDEX(Akaun!$F$5:$F$150,MATCH(C1136,Akaun!$A$5:$A$150,0)))</f>
        <v/>
      </c>
      <c r="H1136" s="1" t="str">
        <f aca="false">IF(C1136="","",INDEX(Akaun!$D$5:$D$150,MATCH(C1136,Akaun!$A$5:$A$150,0)))</f>
        <v/>
      </c>
    </row>
    <row r="1137" customFormat="false" ht="15" hidden="false" customHeight="true" outlineLevel="0" collapsed="false">
      <c r="G1137" s="1" t="str">
        <f aca="false">IF(C1137="","",INDEX(Akaun!$F$5:$F$150,MATCH(C1137,Akaun!$A$5:$A$150,0)))</f>
        <v/>
      </c>
      <c r="H1137" s="1" t="str">
        <f aca="false">IF(C1137="","",INDEX(Akaun!$D$5:$D$150,MATCH(C1137,Akaun!$A$5:$A$150,0)))</f>
        <v/>
      </c>
    </row>
    <row r="1138" customFormat="false" ht="15" hidden="false" customHeight="true" outlineLevel="0" collapsed="false">
      <c r="G1138" s="1" t="str">
        <f aca="false">IF(C1138="","",INDEX(Akaun!$F$5:$F$150,MATCH(C1138,Akaun!$A$5:$A$150,0)))</f>
        <v/>
      </c>
      <c r="H1138" s="1" t="str">
        <f aca="false">IF(C1138="","",INDEX(Akaun!$D$5:$D$150,MATCH(C1138,Akaun!$A$5:$A$150,0)))</f>
        <v/>
      </c>
    </row>
    <row r="1139" customFormat="false" ht="15" hidden="false" customHeight="true" outlineLevel="0" collapsed="false">
      <c r="G1139" s="1" t="str">
        <f aca="false">IF(C1139="","",INDEX(Akaun!$F$5:$F$150,MATCH(C1139,Akaun!$A$5:$A$150,0)))</f>
        <v/>
      </c>
      <c r="H1139" s="1" t="str">
        <f aca="false">IF(C1139="","",INDEX(Akaun!$D$5:$D$150,MATCH(C1139,Akaun!$A$5:$A$150,0)))</f>
        <v/>
      </c>
    </row>
    <row r="1140" customFormat="false" ht="15" hidden="false" customHeight="true" outlineLevel="0" collapsed="false">
      <c r="G1140" s="1" t="str">
        <f aca="false">IF(C1140="","",INDEX(Akaun!$F$5:$F$150,MATCH(C1140,Akaun!$A$5:$A$150,0)))</f>
        <v/>
      </c>
      <c r="H1140" s="1" t="str">
        <f aca="false">IF(C1140="","",INDEX(Akaun!$D$5:$D$150,MATCH(C1140,Akaun!$A$5:$A$150,0)))</f>
        <v/>
      </c>
    </row>
    <row r="1141" customFormat="false" ht="15" hidden="false" customHeight="true" outlineLevel="0" collapsed="false">
      <c r="G1141" s="1" t="str">
        <f aca="false">IF(C1141="","",INDEX(Akaun!$F$5:$F$150,MATCH(C1141,Akaun!$A$5:$A$150,0)))</f>
        <v/>
      </c>
      <c r="H1141" s="1" t="str">
        <f aca="false">IF(C1141="","",INDEX(Akaun!$D$5:$D$150,MATCH(C1141,Akaun!$A$5:$A$150,0)))</f>
        <v/>
      </c>
    </row>
    <row r="1142" customFormat="false" ht="15" hidden="false" customHeight="true" outlineLevel="0" collapsed="false">
      <c r="G1142" s="1" t="str">
        <f aca="false">IF(C1142="","",INDEX(Akaun!$F$5:$F$150,MATCH(C1142,Akaun!$A$5:$A$150,0)))</f>
        <v/>
      </c>
      <c r="H1142" s="1" t="str">
        <f aca="false">IF(C1142="","",INDEX(Akaun!$D$5:$D$150,MATCH(C1142,Akaun!$A$5:$A$150,0)))</f>
        <v/>
      </c>
    </row>
    <row r="1143" customFormat="false" ht="15" hidden="false" customHeight="true" outlineLevel="0" collapsed="false">
      <c r="G1143" s="1" t="str">
        <f aca="false">IF(C1143="","",INDEX(Akaun!$F$5:$F$150,MATCH(C1143,Akaun!$A$5:$A$150,0)))</f>
        <v/>
      </c>
      <c r="H1143" s="1" t="str">
        <f aca="false">IF(C1143="","",INDEX(Akaun!$D$5:$D$150,MATCH(C1143,Akaun!$A$5:$A$150,0)))</f>
        <v/>
      </c>
    </row>
    <row r="1144" customFormat="false" ht="15" hidden="false" customHeight="true" outlineLevel="0" collapsed="false">
      <c r="G1144" s="1" t="str">
        <f aca="false">IF(C1144="","",INDEX(Akaun!$F$5:$F$150,MATCH(C1144,Akaun!$A$5:$A$150,0)))</f>
        <v/>
      </c>
      <c r="H1144" s="1" t="str">
        <f aca="false">IF(C1144="","",INDEX(Akaun!$D$5:$D$150,MATCH(C1144,Akaun!$A$5:$A$150,0)))</f>
        <v/>
      </c>
    </row>
    <row r="1145" customFormat="false" ht="15" hidden="false" customHeight="true" outlineLevel="0" collapsed="false">
      <c r="G1145" s="1" t="str">
        <f aca="false">IF(C1145="","",INDEX(Akaun!$F$5:$F$150,MATCH(C1145,Akaun!$A$5:$A$150,0)))</f>
        <v/>
      </c>
      <c r="H1145" s="1" t="str">
        <f aca="false">IF(C1145="","",INDEX(Akaun!$D$5:$D$150,MATCH(C1145,Akaun!$A$5:$A$150,0)))</f>
        <v/>
      </c>
    </row>
    <row r="1146" customFormat="false" ht="15" hidden="false" customHeight="true" outlineLevel="0" collapsed="false">
      <c r="G1146" s="1" t="str">
        <f aca="false">IF(C1146="","",INDEX(Akaun!$F$5:$F$150,MATCH(C1146,Akaun!$A$5:$A$150,0)))</f>
        <v/>
      </c>
      <c r="H1146" s="1" t="str">
        <f aca="false">IF(C1146="","",INDEX(Akaun!$D$5:$D$150,MATCH(C1146,Akaun!$A$5:$A$150,0)))</f>
        <v/>
      </c>
    </row>
    <row r="1147" customFormat="false" ht="15" hidden="false" customHeight="true" outlineLevel="0" collapsed="false">
      <c r="G1147" s="1" t="str">
        <f aca="false">IF(C1147="","",INDEX(Akaun!$F$5:$F$150,MATCH(C1147,Akaun!$A$5:$A$150,0)))</f>
        <v/>
      </c>
      <c r="H1147" s="1" t="str">
        <f aca="false">IF(C1147="","",INDEX(Akaun!$D$5:$D$150,MATCH(C1147,Akaun!$A$5:$A$150,0)))</f>
        <v/>
      </c>
    </row>
    <row r="1148" customFormat="false" ht="15" hidden="false" customHeight="true" outlineLevel="0" collapsed="false">
      <c r="G1148" s="1" t="str">
        <f aca="false">IF(C1148="","",INDEX(Akaun!$F$5:$F$150,MATCH(C1148,Akaun!$A$5:$A$150,0)))</f>
        <v/>
      </c>
      <c r="H1148" s="1" t="str">
        <f aca="false">IF(C1148="","",INDEX(Akaun!$D$5:$D$150,MATCH(C1148,Akaun!$A$5:$A$150,0)))</f>
        <v/>
      </c>
    </row>
    <row r="1149" customFormat="false" ht="15" hidden="false" customHeight="true" outlineLevel="0" collapsed="false">
      <c r="G1149" s="1" t="str">
        <f aca="false">IF(C1149="","",INDEX(Akaun!$F$5:$F$150,MATCH(C1149,Akaun!$A$5:$A$150,0)))</f>
        <v/>
      </c>
      <c r="H1149" s="1" t="str">
        <f aca="false">IF(C1149="","",INDEX(Akaun!$D$5:$D$150,MATCH(C1149,Akaun!$A$5:$A$150,0)))</f>
        <v/>
      </c>
    </row>
    <row r="1150" customFormat="false" ht="15" hidden="false" customHeight="true" outlineLevel="0" collapsed="false">
      <c r="G1150" s="1" t="str">
        <f aca="false">IF(C1150="","",INDEX(Akaun!$F$5:$F$150,MATCH(C1150,Akaun!$A$5:$A$150,0)))</f>
        <v/>
      </c>
      <c r="H1150" s="1" t="str">
        <f aca="false">IF(C1150="","",INDEX(Akaun!$D$5:$D$150,MATCH(C1150,Akaun!$A$5:$A$150,0)))</f>
        <v/>
      </c>
    </row>
    <row r="1151" customFormat="false" ht="15" hidden="false" customHeight="true" outlineLevel="0" collapsed="false">
      <c r="G1151" s="1" t="str">
        <f aca="false">IF(C1151="","",INDEX(Akaun!$F$5:$F$150,MATCH(C1151,Akaun!$A$5:$A$150,0)))</f>
        <v/>
      </c>
      <c r="H1151" s="1" t="str">
        <f aca="false">IF(C1151="","",INDEX(Akaun!$D$5:$D$150,MATCH(C1151,Akaun!$A$5:$A$150,0)))</f>
        <v/>
      </c>
    </row>
    <row r="1152" customFormat="false" ht="15" hidden="false" customHeight="true" outlineLevel="0" collapsed="false">
      <c r="G1152" s="1" t="str">
        <f aca="false">IF(C1152="","",INDEX(Akaun!$F$5:$F$150,MATCH(C1152,Akaun!$A$5:$A$150,0)))</f>
        <v/>
      </c>
      <c r="H1152" s="1" t="str">
        <f aca="false">IF(C1152="","",INDEX(Akaun!$D$5:$D$150,MATCH(C1152,Akaun!$A$5:$A$150,0)))</f>
        <v/>
      </c>
    </row>
    <row r="1153" customFormat="false" ht="15" hidden="false" customHeight="true" outlineLevel="0" collapsed="false">
      <c r="G1153" s="1" t="str">
        <f aca="false">IF(C1153="","",INDEX(Akaun!$F$5:$F$150,MATCH(C1153,Akaun!$A$5:$A$150,0)))</f>
        <v/>
      </c>
      <c r="H1153" s="1" t="str">
        <f aca="false">IF(C1153="","",INDEX(Akaun!$D$5:$D$150,MATCH(C1153,Akaun!$A$5:$A$150,0)))</f>
        <v/>
      </c>
    </row>
    <row r="1154" customFormat="false" ht="15" hidden="false" customHeight="true" outlineLevel="0" collapsed="false">
      <c r="G1154" s="1" t="str">
        <f aca="false">IF(C1154="","",INDEX(Akaun!$F$5:$F$150,MATCH(C1154,Akaun!$A$5:$A$150,0)))</f>
        <v/>
      </c>
      <c r="H1154" s="1" t="str">
        <f aca="false">IF(C1154="","",INDEX(Akaun!$D$5:$D$150,MATCH(C1154,Akaun!$A$5:$A$150,0)))</f>
        <v/>
      </c>
    </row>
    <row r="1155" customFormat="false" ht="15" hidden="false" customHeight="true" outlineLevel="0" collapsed="false">
      <c r="G1155" s="1" t="str">
        <f aca="false">IF(C1155="","",INDEX(Akaun!$F$5:$F$150,MATCH(C1155,Akaun!$A$5:$A$150,0)))</f>
        <v/>
      </c>
      <c r="H1155" s="1" t="str">
        <f aca="false">IF(C1155="","",INDEX(Akaun!$D$5:$D$150,MATCH(C1155,Akaun!$A$5:$A$150,0)))</f>
        <v/>
      </c>
    </row>
    <row r="1156" customFormat="false" ht="15" hidden="false" customHeight="true" outlineLevel="0" collapsed="false">
      <c r="G1156" s="1" t="str">
        <f aca="false">IF(C1156="","",INDEX(Akaun!$F$5:$F$150,MATCH(C1156,Akaun!$A$5:$A$150,0)))</f>
        <v/>
      </c>
      <c r="H1156" s="1" t="str">
        <f aca="false">IF(C1156="","",INDEX(Akaun!$D$5:$D$150,MATCH(C1156,Akaun!$A$5:$A$150,0)))</f>
        <v/>
      </c>
    </row>
    <row r="1157" customFormat="false" ht="15" hidden="false" customHeight="true" outlineLevel="0" collapsed="false">
      <c r="G1157" s="1" t="str">
        <f aca="false">IF(C1157="","",INDEX(Akaun!$F$5:$F$150,MATCH(C1157,Akaun!$A$5:$A$150,0)))</f>
        <v/>
      </c>
      <c r="H1157" s="1" t="str">
        <f aca="false">IF(C1157="","",INDEX(Akaun!$D$5:$D$150,MATCH(C1157,Akaun!$A$5:$A$150,0)))</f>
        <v/>
      </c>
    </row>
    <row r="1158" customFormat="false" ht="15" hidden="false" customHeight="true" outlineLevel="0" collapsed="false">
      <c r="G1158" s="1" t="str">
        <f aca="false">IF(C1158="","",INDEX(Akaun!$F$5:$F$150,MATCH(C1158,Akaun!$A$5:$A$150,0)))</f>
        <v/>
      </c>
      <c r="H1158" s="1" t="str">
        <f aca="false">IF(C1158="","",INDEX(Akaun!$D$5:$D$150,MATCH(C1158,Akaun!$A$5:$A$150,0)))</f>
        <v/>
      </c>
    </row>
    <row r="1159" customFormat="false" ht="15" hidden="false" customHeight="true" outlineLevel="0" collapsed="false">
      <c r="G1159" s="1" t="str">
        <f aca="false">IF(C1159="","",INDEX(Akaun!$F$5:$F$150,MATCH(C1159,Akaun!$A$5:$A$150,0)))</f>
        <v/>
      </c>
      <c r="H1159" s="1" t="str">
        <f aca="false">IF(C1159="","",INDEX(Akaun!$D$5:$D$150,MATCH(C1159,Akaun!$A$5:$A$150,0)))</f>
        <v/>
      </c>
    </row>
    <row r="1160" customFormat="false" ht="15" hidden="false" customHeight="true" outlineLevel="0" collapsed="false">
      <c r="G1160" s="1" t="str">
        <f aca="false">IF(C1160="","",INDEX(Akaun!$F$5:$F$150,MATCH(C1160,Akaun!$A$5:$A$150,0)))</f>
        <v/>
      </c>
      <c r="H1160" s="1" t="str">
        <f aca="false">IF(C1160="","",INDEX(Akaun!$D$5:$D$150,MATCH(C1160,Akaun!$A$5:$A$150,0)))</f>
        <v/>
      </c>
    </row>
    <row r="1161" customFormat="false" ht="15" hidden="false" customHeight="true" outlineLevel="0" collapsed="false">
      <c r="G1161" s="1" t="str">
        <f aca="false">IF(C1161="","",INDEX(Akaun!$F$5:$F$150,MATCH(C1161,Akaun!$A$5:$A$150,0)))</f>
        <v/>
      </c>
      <c r="H1161" s="1" t="str">
        <f aca="false">IF(C1161="","",INDEX(Akaun!$D$5:$D$150,MATCH(C1161,Akaun!$A$5:$A$150,0)))</f>
        <v/>
      </c>
    </row>
    <row r="1162" customFormat="false" ht="15" hidden="false" customHeight="true" outlineLevel="0" collapsed="false">
      <c r="G1162" s="1" t="str">
        <f aca="false">IF(C1162="","",INDEX(Akaun!$F$5:$F$150,MATCH(C1162,Akaun!$A$5:$A$150,0)))</f>
        <v/>
      </c>
      <c r="H1162" s="1" t="str">
        <f aca="false">IF(C1162="","",INDEX(Akaun!$D$5:$D$150,MATCH(C1162,Akaun!$A$5:$A$150,0)))</f>
        <v/>
      </c>
    </row>
    <row r="1163" customFormat="false" ht="15" hidden="false" customHeight="true" outlineLevel="0" collapsed="false">
      <c r="G1163" s="1" t="str">
        <f aca="false">IF(C1163="","",INDEX(Akaun!$F$5:$F$150,MATCH(C1163,Akaun!$A$5:$A$150,0)))</f>
        <v/>
      </c>
      <c r="H1163" s="1" t="str">
        <f aca="false">IF(C1163="","",INDEX(Akaun!$D$5:$D$150,MATCH(C1163,Akaun!$A$5:$A$150,0)))</f>
        <v/>
      </c>
    </row>
    <row r="1164" customFormat="false" ht="15" hidden="false" customHeight="true" outlineLevel="0" collapsed="false">
      <c r="G1164" s="1" t="str">
        <f aca="false">IF(C1164="","",INDEX(Akaun!$F$5:$F$150,MATCH(C1164,Akaun!$A$5:$A$150,0)))</f>
        <v/>
      </c>
      <c r="H1164" s="1" t="str">
        <f aca="false">IF(C1164="","",INDEX(Akaun!$D$5:$D$150,MATCH(C1164,Akaun!$A$5:$A$150,0)))</f>
        <v/>
      </c>
    </row>
    <row r="1165" customFormat="false" ht="15" hidden="false" customHeight="true" outlineLevel="0" collapsed="false">
      <c r="G1165" s="1" t="str">
        <f aca="false">IF(C1165="","",INDEX(Akaun!$F$5:$F$150,MATCH(C1165,Akaun!$A$5:$A$150,0)))</f>
        <v/>
      </c>
      <c r="H1165" s="1" t="str">
        <f aca="false">IF(C1165="","",INDEX(Akaun!$D$5:$D$150,MATCH(C1165,Akaun!$A$5:$A$150,0)))</f>
        <v/>
      </c>
    </row>
    <row r="1166" customFormat="false" ht="15" hidden="false" customHeight="true" outlineLevel="0" collapsed="false">
      <c r="G1166" s="1" t="str">
        <f aca="false">IF(C1166="","",INDEX(Akaun!$F$5:$F$150,MATCH(C1166,Akaun!$A$5:$A$150,0)))</f>
        <v/>
      </c>
      <c r="H1166" s="1" t="str">
        <f aca="false">IF(C1166="","",INDEX(Akaun!$D$5:$D$150,MATCH(C1166,Akaun!$A$5:$A$150,0)))</f>
        <v/>
      </c>
    </row>
    <row r="1167" customFormat="false" ht="15" hidden="false" customHeight="true" outlineLevel="0" collapsed="false">
      <c r="G1167" s="1" t="str">
        <f aca="false">IF(C1167="","",INDEX(Akaun!$F$5:$F$150,MATCH(C1167,Akaun!$A$5:$A$150,0)))</f>
        <v/>
      </c>
      <c r="H1167" s="1" t="str">
        <f aca="false">IF(C1167="","",INDEX(Akaun!$D$5:$D$150,MATCH(C1167,Akaun!$A$5:$A$150,0)))</f>
        <v/>
      </c>
    </row>
    <row r="1168" customFormat="false" ht="15" hidden="false" customHeight="true" outlineLevel="0" collapsed="false">
      <c r="G1168" s="1" t="str">
        <f aca="false">IF(C1168="","",INDEX(Akaun!$F$5:$F$150,MATCH(C1168,Akaun!$A$5:$A$150,0)))</f>
        <v/>
      </c>
      <c r="H1168" s="1" t="str">
        <f aca="false">IF(C1168="","",INDEX(Akaun!$D$5:$D$150,MATCH(C1168,Akaun!$A$5:$A$150,0)))</f>
        <v/>
      </c>
    </row>
    <row r="1169" customFormat="false" ht="15" hidden="false" customHeight="true" outlineLevel="0" collapsed="false">
      <c r="G1169" s="1" t="str">
        <f aca="false">IF(C1169="","",INDEX(Akaun!$F$5:$F$150,MATCH(C1169,Akaun!$A$5:$A$150,0)))</f>
        <v/>
      </c>
      <c r="H1169" s="1" t="str">
        <f aca="false">IF(C1169="","",INDEX(Akaun!$D$5:$D$150,MATCH(C1169,Akaun!$A$5:$A$150,0)))</f>
        <v/>
      </c>
    </row>
    <row r="1170" customFormat="false" ht="15" hidden="false" customHeight="true" outlineLevel="0" collapsed="false">
      <c r="G1170" s="1" t="str">
        <f aca="false">IF(C1170="","",INDEX(Akaun!$F$5:$F$150,MATCH(C1170,Akaun!$A$5:$A$150,0)))</f>
        <v/>
      </c>
      <c r="H1170" s="1" t="str">
        <f aca="false">IF(C1170="","",INDEX(Akaun!$D$5:$D$150,MATCH(C1170,Akaun!$A$5:$A$150,0)))</f>
        <v/>
      </c>
    </row>
    <row r="1171" customFormat="false" ht="15" hidden="false" customHeight="true" outlineLevel="0" collapsed="false">
      <c r="G1171" s="1" t="str">
        <f aca="false">IF(C1171="","",INDEX(Akaun!$F$5:$F$150,MATCH(C1171,Akaun!$A$5:$A$150,0)))</f>
        <v/>
      </c>
      <c r="H1171" s="1" t="str">
        <f aca="false">IF(C1171="","",INDEX(Akaun!$D$5:$D$150,MATCH(C1171,Akaun!$A$5:$A$150,0)))</f>
        <v/>
      </c>
    </row>
    <row r="1172" customFormat="false" ht="15" hidden="false" customHeight="true" outlineLevel="0" collapsed="false">
      <c r="G1172" s="1" t="str">
        <f aca="false">IF(C1172="","",INDEX(Akaun!$F$5:$F$150,MATCH(C1172,Akaun!$A$5:$A$150,0)))</f>
        <v/>
      </c>
      <c r="H1172" s="1" t="str">
        <f aca="false">IF(C1172="","",INDEX(Akaun!$D$5:$D$150,MATCH(C1172,Akaun!$A$5:$A$150,0)))</f>
        <v/>
      </c>
    </row>
    <row r="1173" customFormat="false" ht="15" hidden="false" customHeight="true" outlineLevel="0" collapsed="false">
      <c r="G1173" s="1" t="str">
        <f aca="false">IF(C1173="","",INDEX(Akaun!$F$5:$F$150,MATCH(C1173,Akaun!$A$5:$A$150,0)))</f>
        <v/>
      </c>
      <c r="H1173" s="1" t="str">
        <f aca="false">IF(C1173="","",INDEX(Akaun!$D$5:$D$150,MATCH(C1173,Akaun!$A$5:$A$150,0)))</f>
        <v/>
      </c>
    </row>
    <row r="1174" customFormat="false" ht="15" hidden="false" customHeight="true" outlineLevel="0" collapsed="false">
      <c r="G1174" s="1" t="str">
        <f aca="false">IF(C1174="","",INDEX(Akaun!$F$5:$F$150,MATCH(C1174,Akaun!$A$5:$A$150,0)))</f>
        <v/>
      </c>
      <c r="H1174" s="1" t="str">
        <f aca="false">IF(C1174="","",INDEX(Akaun!$D$5:$D$150,MATCH(C1174,Akaun!$A$5:$A$150,0)))</f>
        <v/>
      </c>
    </row>
    <row r="1175" customFormat="false" ht="15" hidden="false" customHeight="true" outlineLevel="0" collapsed="false">
      <c r="G1175" s="1" t="str">
        <f aca="false">IF(C1175="","",INDEX(Akaun!$F$5:$F$150,MATCH(C1175,Akaun!$A$5:$A$150,0)))</f>
        <v/>
      </c>
      <c r="H1175" s="1" t="str">
        <f aca="false">IF(C1175="","",INDEX(Akaun!$D$5:$D$150,MATCH(C1175,Akaun!$A$5:$A$150,0)))</f>
        <v/>
      </c>
    </row>
    <row r="1176" customFormat="false" ht="15" hidden="false" customHeight="true" outlineLevel="0" collapsed="false">
      <c r="G1176" s="1" t="str">
        <f aca="false">IF(C1176="","",INDEX(Akaun!$F$5:$F$150,MATCH(C1176,Akaun!$A$5:$A$150,0)))</f>
        <v/>
      </c>
      <c r="H1176" s="1" t="str">
        <f aca="false">IF(C1176="","",INDEX(Akaun!$D$5:$D$150,MATCH(C1176,Akaun!$A$5:$A$150,0)))</f>
        <v/>
      </c>
    </row>
    <row r="1177" customFormat="false" ht="15" hidden="false" customHeight="true" outlineLevel="0" collapsed="false">
      <c r="G1177" s="1" t="str">
        <f aca="false">IF(C1177="","",INDEX(Akaun!$F$5:$F$150,MATCH(C1177,Akaun!$A$5:$A$150,0)))</f>
        <v/>
      </c>
      <c r="H1177" s="1" t="str">
        <f aca="false">IF(C1177="","",INDEX(Akaun!$D$5:$D$150,MATCH(C1177,Akaun!$A$5:$A$150,0)))</f>
        <v/>
      </c>
    </row>
    <row r="1178" customFormat="false" ht="15" hidden="false" customHeight="true" outlineLevel="0" collapsed="false">
      <c r="G1178" s="1" t="str">
        <f aca="false">IF(C1178="","",INDEX(Akaun!$F$5:$F$150,MATCH(C1178,Akaun!$A$5:$A$150,0)))</f>
        <v/>
      </c>
      <c r="H1178" s="1" t="str">
        <f aca="false">IF(C1178="","",INDEX(Akaun!$D$5:$D$150,MATCH(C1178,Akaun!$A$5:$A$150,0)))</f>
        <v/>
      </c>
    </row>
    <row r="1179" customFormat="false" ht="15" hidden="false" customHeight="true" outlineLevel="0" collapsed="false">
      <c r="G1179" s="1" t="str">
        <f aca="false">IF(C1179="","",INDEX(Akaun!$F$5:$F$150,MATCH(C1179,Akaun!$A$5:$A$150,0)))</f>
        <v/>
      </c>
      <c r="H1179" s="1" t="str">
        <f aca="false">IF(C1179="","",INDEX(Akaun!$D$5:$D$150,MATCH(C1179,Akaun!$A$5:$A$150,0)))</f>
        <v/>
      </c>
    </row>
    <row r="1180" customFormat="false" ht="15" hidden="false" customHeight="true" outlineLevel="0" collapsed="false">
      <c r="G1180" s="1" t="str">
        <f aca="false">IF(C1180="","",INDEX(Akaun!$F$5:$F$150,MATCH(C1180,Akaun!$A$5:$A$150,0)))</f>
        <v/>
      </c>
      <c r="H1180" s="1" t="str">
        <f aca="false">IF(C1180="","",INDEX(Akaun!$D$5:$D$150,MATCH(C1180,Akaun!$A$5:$A$150,0)))</f>
        <v/>
      </c>
    </row>
    <row r="1181" customFormat="false" ht="15" hidden="false" customHeight="true" outlineLevel="0" collapsed="false">
      <c r="G1181" s="1" t="str">
        <f aca="false">IF(C1181="","",INDEX(Akaun!$F$5:$F$150,MATCH(C1181,Akaun!$A$5:$A$150,0)))</f>
        <v/>
      </c>
      <c r="H1181" s="1" t="str">
        <f aca="false">IF(C1181="","",INDEX(Akaun!$D$5:$D$150,MATCH(C1181,Akaun!$A$5:$A$150,0)))</f>
        <v/>
      </c>
    </row>
    <row r="1182" customFormat="false" ht="15" hidden="false" customHeight="true" outlineLevel="0" collapsed="false">
      <c r="G1182" s="1" t="str">
        <f aca="false">IF(C1182="","",INDEX(Akaun!$F$5:$F$150,MATCH(C1182,Akaun!$A$5:$A$150,0)))</f>
        <v/>
      </c>
      <c r="H1182" s="1" t="str">
        <f aca="false">IF(C1182="","",INDEX(Akaun!$D$5:$D$150,MATCH(C1182,Akaun!$A$5:$A$150,0)))</f>
        <v/>
      </c>
    </row>
    <row r="1183" customFormat="false" ht="15" hidden="false" customHeight="true" outlineLevel="0" collapsed="false">
      <c r="G1183" s="1" t="str">
        <f aca="false">IF(C1183="","",INDEX(Akaun!$F$5:$F$150,MATCH(C1183,Akaun!$A$5:$A$150,0)))</f>
        <v/>
      </c>
      <c r="H1183" s="1" t="str">
        <f aca="false">IF(C1183="","",INDEX(Akaun!$D$5:$D$150,MATCH(C1183,Akaun!$A$5:$A$150,0)))</f>
        <v/>
      </c>
    </row>
    <row r="1184" customFormat="false" ht="15" hidden="false" customHeight="true" outlineLevel="0" collapsed="false">
      <c r="G1184" s="1" t="str">
        <f aca="false">IF(C1184="","",INDEX(Akaun!$F$5:$F$150,MATCH(C1184,Akaun!$A$5:$A$150,0)))</f>
        <v/>
      </c>
      <c r="H1184" s="1" t="str">
        <f aca="false">IF(C1184="","",INDEX(Akaun!$D$5:$D$150,MATCH(C1184,Akaun!$A$5:$A$150,0)))</f>
        <v/>
      </c>
    </row>
    <row r="1185" customFormat="false" ht="15" hidden="false" customHeight="true" outlineLevel="0" collapsed="false">
      <c r="G1185" s="1" t="str">
        <f aca="false">IF(C1185="","",INDEX(Akaun!$F$5:$F$150,MATCH(C1185,Akaun!$A$5:$A$150,0)))</f>
        <v/>
      </c>
      <c r="H1185" s="1" t="str">
        <f aca="false">IF(C1185="","",INDEX(Akaun!$D$5:$D$150,MATCH(C1185,Akaun!$A$5:$A$150,0)))</f>
        <v/>
      </c>
    </row>
    <row r="1186" customFormat="false" ht="15" hidden="false" customHeight="true" outlineLevel="0" collapsed="false">
      <c r="G1186" s="1" t="str">
        <f aca="false">IF(C1186="","",INDEX(Akaun!$F$5:$F$150,MATCH(C1186,Akaun!$A$5:$A$150,0)))</f>
        <v/>
      </c>
      <c r="H1186" s="1" t="str">
        <f aca="false">IF(C1186="","",INDEX(Akaun!$D$5:$D$150,MATCH(C1186,Akaun!$A$5:$A$150,0)))</f>
        <v/>
      </c>
    </row>
    <row r="1187" customFormat="false" ht="15" hidden="false" customHeight="true" outlineLevel="0" collapsed="false">
      <c r="G1187" s="1" t="str">
        <f aca="false">IF(C1187="","",INDEX(Akaun!$F$5:$F$150,MATCH(C1187,Akaun!$A$5:$A$150,0)))</f>
        <v/>
      </c>
      <c r="H1187" s="1" t="str">
        <f aca="false">IF(C1187="","",INDEX(Akaun!$D$5:$D$150,MATCH(C1187,Akaun!$A$5:$A$150,0)))</f>
        <v/>
      </c>
    </row>
    <row r="1188" customFormat="false" ht="15" hidden="false" customHeight="true" outlineLevel="0" collapsed="false">
      <c r="G1188" s="1" t="str">
        <f aca="false">IF(C1188="","",INDEX(Akaun!$F$5:$F$150,MATCH(C1188,Akaun!$A$5:$A$150,0)))</f>
        <v/>
      </c>
      <c r="H1188" s="1" t="str">
        <f aca="false">IF(C1188="","",INDEX(Akaun!$D$5:$D$150,MATCH(C1188,Akaun!$A$5:$A$150,0)))</f>
        <v/>
      </c>
    </row>
    <row r="1189" customFormat="false" ht="15" hidden="false" customHeight="true" outlineLevel="0" collapsed="false">
      <c r="G1189" s="1" t="str">
        <f aca="false">IF(C1189="","",INDEX(Akaun!$F$5:$F$150,MATCH(C1189,Akaun!$A$5:$A$150,0)))</f>
        <v/>
      </c>
      <c r="H1189" s="1" t="str">
        <f aca="false">IF(C1189="","",INDEX(Akaun!$D$5:$D$150,MATCH(C1189,Akaun!$A$5:$A$150,0)))</f>
        <v/>
      </c>
    </row>
    <row r="1190" customFormat="false" ht="15" hidden="false" customHeight="true" outlineLevel="0" collapsed="false">
      <c r="G1190" s="1" t="str">
        <f aca="false">IF(C1190="","",INDEX(Akaun!$F$5:$F$150,MATCH(C1190,Akaun!$A$5:$A$150,0)))</f>
        <v/>
      </c>
      <c r="H1190" s="1" t="str">
        <f aca="false">IF(C1190="","",INDEX(Akaun!$D$5:$D$150,MATCH(C1190,Akaun!$A$5:$A$150,0)))</f>
        <v/>
      </c>
    </row>
    <row r="1191" customFormat="false" ht="15" hidden="false" customHeight="true" outlineLevel="0" collapsed="false">
      <c r="G1191" s="1" t="str">
        <f aca="false">IF(C1191="","",INDEX(Akaun!$F$5:$F$150,MATCH(C1191,Akaun!$A$5:$A$150,0)))</f>
        <v/>
      </c>
      <c r="H1191" s="1" t="str">
        <f aca="false">IF(C1191="","",INDEX(Akaun!$D$5:$D$150,MATCH(C1191,Akaun!$A$5:$A$150,0)))</f>
        <v/>
      </c>
    </row>
    <row r="1192" customFormat="false" ht="15" hidden="false" customHeight="true" outlineLevel="0" collapsed="false">
      <c r="G1192" s="1" t="str">
        <f aca="false">IF(C1192="","",INDEX(Akaun!$F$5:$F$150,MATCH(C1192,Akaun!$A$5:$A$150,0)))</f>
        <v/>
      </c>
      <c r="H1192" s="1" t="str">
        <f aca="false">IF(C1192="","",INDEX(Akaun!$D$5:$D$150,MATCH(C1192,Akaun!$A$5:$A$150,0)))</f>
        <v/>
      </c>
    </row>
    <row r="1193" customFormat="false" ht="15" hidden="false" customHeight="true" outlineLevel="0" collapsed="false">
      <c r="G1193" s="1" t="str">
        <f aca="false">IF(C1193="","",INDEX(Akaun!$F$5:$F$150,MATCH(C1193,Akaun!$A$5:$A$150,0)))</f>
        <v/>
      </c>
      <c r="H1193" s="1" t="str">
        <f aca="false">IF(C1193="","",INDEX(Akaun!$D$5:$D$150,MATCH(C1193,Akaun!$A$5:$A$150,0)))</f>
        <v/>
      </c>
    </row>
    <row r="1194" customFormat="false" ht="15" hidden="false" customHeight="true" outlineLevel="0" collapsed="false">
      <c r="G1194" s="1" t="str">
        <f aca="false">IF(C1194="","",INDEX(Akaun!$F$5:$F$150,MATCH(C1194,Akaun!$A$5:$A$150,0)))</f>
        <v/>
      </c>
      <c r="H1194" s="1" t="str">
        <f aca="false">IF(C1194="","",INDEX(Akaun!$D$5:$D$150,MATCH(C1194,Akaun!$A$5:$A$150,0)))</f>
        <v/>
      </c>
    </row>
    <row r="1195" customFormat="false" ht="15" hidden="false" customHeight="true" outlineLevel="0" collapsed="false">
      <c r="G1195" s="1" t="str">
        <f aca="false">IF(C1195="","",INDEX(Akaun!$F$5:$F$150,MATCH(C1195,Akaun!$A$5:$A$150,0)))</f>
        <v/>
      </c>
      <c r="H1195" s="1" t="str">
        <f aca="false">IF(C1195="","",INDEX(Akaun!$D$5:$D$150,MATCH(C1195,Akaun!$A$5:$A$150,0)))</f>
        <v/>
      </c>
    </row>
    <row r="1196" customFormat="false" ht="15" hidden="false" customHeight="true" outlineLevel="0" collapsed="false">
      <c r="G1196" s="1" t="str">
        <f aca="false">IF(C1196="","",INDEX(Akaun!$F$5:$F$150,MATCH(C1196,Akaun!$A$5:$A$150,0)))</f>
        <v/>
      </c>
      <c r="H1196" s="1" t="str">
        <f aca="false">IF(C1196="","",INDEX(Akaun!$D$5:$D$150,MATCH(C1196,Akaun!$A$5:$A$150,0)))</f>
        <v/>
      </c>
    </row>
    <row r="1197" customFormat="false" ht="15" hidden="false" customHeight="true" outlineLevel="0" collapsed="false">
      <c r="G1197" s="1" t="str">
        <f aca="false">IF(C1197="","",INDEX(Akaun!$F$5:$F$150,MATCH(C1197,Akaun!$A$5:$A$150,0)))</f>
        <v/>
      </c>
      <c r="H1197" s="1" t="str">
        <f aca="false">IF(C1197="","",INDEX(Akaun!$D$5:$D$150,MATCH(C1197,Akaun!$A$5:$A$150,0)))</f>
        <v/>
      </c>
    </row>
    <row r="1198" customFormat="false" ht="15" hidden="false" customHeight="true" outlineLevel="0" collapsed="false">
      <c r="G1198" s="1" t="str">
        <f aca="false">IF(C1198="","",INDEX(Akaun!$F$5:$F$150,MATCH(C1198,Akaun!$A$5:$A$150,0)))</f>
        <v/>
      </c>
      <c r="H1198" s="1" t="str">
        <f aca="false">IF(C1198="","",INDEX(Akaun!$D$5:$D$150,MATCH(C1198,Akaun!$A$5:$A$150,0)))</f>
        <v/>
      </c>
    </row>
    <row r="1199" customFormat="false" ht="15" hidden="false" customHeight="true" outlineLevel="0" collapsed="false">
      <c r="G1199" s="1" t="str">
        <f aca="false">IF(C1199="","",INDEX(Akaun!$F$5:$F$150,MATCH(C1199,Akaun!$A$5:$A$150,0)))</f>
        <v/>
      </c>
      <c r="H1199" s="1" t="str">
        <f aca="false">IF(C1199="","",INDEX(Akaun!$D$5:$D$150,MATCH(C1199,Akaun!$A$5:$A$150,0)))</f>
        <v/>
      </c>
    </row>
    <row r="1200" customFormat="false" ht="15" hidden="false" customHeight="true" outlineLevel="0" collapsed="false">
      <c r="G1200" s="1" t="str">
        <f aca="false">IF(C1200="","",INDEX(Akaun!$F$5:$F$150,MATCH(C1200,Akaun!$A$5:$A$150,0)))</f>
        <v/>
      </c>
      <c r="H1200" s="1" t="str">
        <f aca="false">IF(C1200="","",INDEX(Akaun!$D$5:$D$150,MATCH(C1200,Akaun!$A$5:$A$150,0)))</f>
        <v/>
      </c>
    </row>
    <row r="1201" customFormat="false" ht="15" hidden="false" customHeight="true" outlineLevel="0" collapsed="false">
      <c r="G1201" s="1" t="str">
        <f aca="false">IF(C1201="","",INDEX(Akaun!$F$5:$F$150,MATCH(C1201,Akaun!$A$5:$A$150,0)))</f>
        <v/>
      </c>
      <c r="H1201" s="1" t="str">
        <f aca="false">IF(C1201="","",INDEX(Akaun!$D$5:$D$150,MATCH(C1201,Akaun!$A$5:$A$150,0)))</f>
        <v/>
      </c>
    </row>
    <row r="1202" customFormat="false" ht="15" hidden="false" customHeight="true" outlineLevel="0" collapsed="false">
      <c r="G1202" s="1" t="str">
        <f aca="false">IF(C1202="","",INDEX(Akaun!$F$5:$F$150,MATCH(C1202,Akaun!$A$5:$A$150,0)))</f>
        <v/>
      </c>
      <c r="H1202" s="1" t="str">
        <f aca="false">IF(C1202="","",INDEX(Akaun!$D$5:$D$150,MATCH(C1202,Akaun!$A$5:$A$150,0)))</f>
        <v/>
      </c>
    </row>
    <row r="1203" customFormat="false" ht="15" hidden="false" customHeight="true" outlineLevel="0" collapsed="false">
      <c r="G1203" s="1" t="str">
        <f aca="false">IF(C1203="","",INDEX(Akaun!$F$5:$F$150,MATCH(C1203,Akaun!$A$5:$A$150,0)))</f>
        <v/>
      </c>
      <c r="H1203" s="1" t="str">
        <f aca="false">IF(C1203="","",INDEX(Akaun!$D$5:$D$150,MATCH(C1203,Akaun!$A$5:$A$150,0)))</f>
        <v/>
      </c>
    </row>
    <row r="1204" customFormat="false" ht="15" hidden="false" customHeight="true" outlineLevel="0" collapsed="false">
      <c r="G1204" s="1" t="str">
        <f aca="false">IF(C1204="","",INDEX(Akaun!$F$5:$F$150,MATCH(C1204,Akaun!$A$5:$A$150,0)))</f>
        <v/>
      </c>
      <c r="H1204" s="1" t="str">
        <f aca="false">IF(C1204="","",INDEX(Akaun!$D$5:$D$150,MATCH(C1204,Akaun!$A$5:$A$150,0)))</f>
        <v/>
      </c>
    </row>
    <row r="1205" customFormat="false" ht="15" hidden="false" customHeight="true" outlineLevel="0" collapsed="false">
      <c r="G1205" s="1" t="str">
        <f aca="false">IF(C1205="","",INDEX(Akaun!$F$5:$F$150,MATCH(C1205,Akaun!$A$5:$A$150,0)))</f>
        <v/>
      </c>
      <c r="H1205" s="1" t="str">
        <f aca="false">IF(C1205="","",INDEX(Akaun!$D$5:$D$150,MATCH(C1205,Akaun!$A$5:$A$150,0)))</f>
        <v/>
      </c>
    </row>
    <row r="1206" customFormat="false" ht="15" hidden="false" customHeight="true" outlineLevel="0" collapsed="false">
      <c r="G1206" s="1" t="str">
        <f aca="false">IF(C1206="","",INDEX(Akaun!$F$5:$F$150,MATCH(C1206,Akaun!$A$5:$A$150,0)))</f>
        <v/>
      </c>
      <c r="H1206" s="1" t="str">
        <f aca="false">IF(C1206="","",INDEX(Akaun!$D$5:$D$150,MATCH(C1206,Akaun!$A$5:$A$150,0)))</f>
        <v/>
      </c>
    </row>
    <row r="1207" customFormat="false" ht="15" hidden="false" customHeight="true" outlineLevel="0" collapsed="false">
      <c r="G1207" s="1" t="str">
        <f aca="false">IF(C1207="","",INDEX(Akaun!$F$5:$F$150,MATCH(C1207,Akaun!$A$5:$A$150,0)))</f>
        <v/>
      </c>
      <c r="H1207" s="1" t="str">
        <f aca="false">IF(C1207="","",INDEX(Akaun!$D$5:$D$150,MATCH(C1207,Akaun!$A$5:$A$150,0)))</f>
        <v/>
      </c>
    </row>
    <row r="1208" customFormat="false" ht="15" hidden="false" customHeight="true" outlineLevel="0" collapsed="false">
      <c r="G1208" s="1" t="str">
        <f aca="false">IF(C1208="","",INDEX(Akaun!$F$5:$F$150,MATCH(C1208,Akaun!$A$5:$A$150,0)))</f>
        <v/>
      </c>
      <c r="H1208" s="1" t="str">
        <f aca="false">IF(C1208="","",INDEX(Akaun!$D$5:$D$150,MATCH(C1208,Akaun!$A$5:$A$150,0)))</f>
        <v/>
      </c>
    </row>
    <row r="1209" customFormat="false" ht="15" hidden="false" customHeight="true" outlineLevel="0" collapsed="false">
      <c r="G1209" s="1" t="str">
        <f aca="false">IF(C1209="","",INDEX(Akaun!$F$5:$F$150,MATCH(C1209,Akaun!$A$5:$A$150,0)))</f>
        <v/>
      </c>
      <c r="H1209" s="1" t="str">
        <f aca="false">IF(C1209="","",INDEX(Akaun!$D$5:$D$150,MATCH(C1209,Akaun!$A$5:$A$150,0)))</f>
        <v/>
      </c>
    </row>
    <row r="1210" customFormat="false" ht="15" hidden="false" customHeight="true" outlineLevel="0" collapsed="false">
      <c r="G1210" s="1" t="str">
        <f aca="false">IF(C1210="","",INDEX(Akaun!$F$5:$F$150,MATCH(C1210,Akaun!$A$5:$A$150,0)))</f>
        <v/>
      </c>
      <c r="H1210" s="1" t="str">
        <f aca="false">IF(C1210="","",INDEX(Akaun!$D$5:$D$150,MATCH(C1210,Akaun!$A$5:$A$150,0)))</f>
        <v/>
      </c>
    </row>
    <row r="1211" customFormat="false" ht="15" hidden="false" customHeight="true" outlineLevel="0" collapsed="false">
      <c r="G1211" s="1" t="str">
        <f aca="false">IF(C1211="","",INDEX(Akaun!$F$5:$F$150,MATCH(C1211,Akaun!$A$5:$A$150,0)))</f>
        <v/>
      </c>
      <c r="H1211" s="1" t="str">
        <f aca="false">IF(C1211="","",INDEX(Akaun!$D$5:$D$150,MATCH(C1211,Akaun!$A$5:$A$150,0)))</f>
        <v/>
      </c>
    </row>
    <row r="1212" customFormat="false" ht="15" hidden="false" customHeight="true" outlineLevel="0" collapsed="false">
      <c r="G1212" s="1" t="str">
        <f aca="false">IF(C1212="","",INDEX(Akaun!$F$5:$F$150,MATCH(C1212,Akaun!$A$5:$A$150,0)))</f>
        <v/>
      </c>
      <c r="H1212" s="1" t="str">
        <f aca="false">IF(C1212="","",INDEX(Akaun!$D$5:$D$150,MATCH(C1212,Akaun!$A$5:$A$150,0)))</f>
        <v/>
      </c>
    </row>
    <row r="1213" customFormat="false" ht="15" hidden="false" customHeight="true" outlineLevel="0" collapsed="false">
      <c r="G1213" s="1" t="str">
        <f aca="false">IF(C1213="","",INDEX(Akaun!$F$5:$F$150,MATCH(C1213,Akaun!$A$5:$A$150,0)))</f>
        <v/>
      </c>
      <c r="H1213" s="1" t="str">
        <f aca="false">IF(C1213="","",INDEX(Akaun!$D$5:$D$150,MATCH(C1213,Akaun!$A$5:$A$150,0)))</f>
        <v/>
      </c>
    </row>
    <row r="1214" customFormat="false" ht="15" hidden="false" customHeight="true" outlineLevel="0" collapsed="false">
      <c r="G1214" s="1" t="str">
        <f aca="false">IF(C1214="","",INDEX(Akaun!$F$5:$F$150,MATCH(C1214,Akaun!$A$5:$A$150,0)))</f>
        <v/>
      </c>
      <c r="H1214" s="1" t="str">
        <f aca="false">IF(C1214="","",INDEX(Akaun!$D$5:$D$150,MATCH(C1214,Akaun!$A$5:$A$150,0)))</f>
        <v/>
      </c>
    </row>
    <row r="1215" customFormat="false" ht="15" hidden="false" customHeight="true" outlineLevel="0" collapsed="false">
      <c r="G1215" s="1" t="str">
        <f aca="false">IF(C1215="","",INDEX(Akaun!$F$5:$F$150,MATCH(C1215,Akaun!$A$5:$A$150,0)))</f>
        <v/>
      </c>
      <c r="H1215" s="1" t="str">
        <f aca="false">IF(C1215="","",INDEX(Akaun!$D$5:$D$150,MATCH(C1215,Akaun!$A$5:$A$150,0)))</f>
        <v/>
      </c>
    </row>
    <row r="1216" customFormat="false" ht="15" hidden="false" customHeight="true" outlineLevel="0" collapsed="false">
      <c r="G1216" s="1" t="str">
        <f aca="false">IF(C1216="","",INDEX(Akaun!$F$5:$F$150,MATCH(C1216,Akaun!$A$5:$A$150,0)))</f>
        <v/>
      </c>
      <c r="H1216" s="1" t="str">
        <f aca="false">IF(C1216="","",INDEX(Akaun!$D$5:$D$150,MATCH(C1216,Akaun!$A$5:$A$150,0)))</f>
        <v/>
      </c>
    </row>
    <row r="1217" customFormat="false" ht="15" hidden="false" customHeight="true" outlineLevel="0" collapsed="false">
      <c r="G1217" s="1" t="str">
        <f aca="false">IF(C1217="","",INDEX(Akaun!$F$5:$F$150,MATCH(C1217,Akaun!$A$5:$A$150,0)))</f>
        <v/>
      </c>
      <c r="H1217" s="1" t="str">
        <f aca="false">IF(C1217="","",INDEX(Akaun!$D$5:$D$150,MATCH(C1217,Akaun!$A$5:$A$150,0)))</f>
        <v/>
      </c>
    </row>
    <row r="1218" customFormat="false" ht="15" hidden="false" customHeight="true" outlineLevel="0" collapsed="false">
      <c r="G1218" s="1" t="str">
        <f aca="false">IF(C1218="","",INDEX(Akaun!$F$5:$F$150,MATCH(C1218,Akaun!$A$5:$A$150,0)))</f>
        <v/>
      </c>
      <c r="H1218" s="1" t="str">
        <f aca="false">IF(C1218="","",INDEX(Akaun!$D$5:$D$150,MATCH(C1218,Akaun!$A$5:$A$150,0)))</f>
        <v/>
      </c>
    </row>
    <row r="1219" customFormat="false" ht="15" hidden="false" customHeight="true" outlineLevel="0" collapsed="false">
      <c r="G1219" s="1" t="str">
        <f aca="false">IF(C1219="","",INDEX(Akaun!$F$5:$F$150,MATCH(C1219,Akaun!$A$5:$A$150,0)))</f>
        <v/>
      </c>
      <c r="H1219" s="1" t="str">
        <f aca="false">IF(C1219="","",INDEX(Akaun!$D$5:$D$150,MATCH(C1219,Akaun!$A$5:$A$150,0)))</f>
        <v/>
      </c>
    </row>
    <row r="1220" customFormat="false" ht="15" hidden="false" customHeight="true" outlineLevel="0" collapsed="false">
      <c r="G1220" s="1" t="str">
        <f aca="false">IF(C1220="","",INDEX(Akaun!$F$5:$F$150,MATCH(C1220,Akaun!$A$5:$A$150,0)))</f>
        <v/>
      </c>
      <c r="H1220" s="1" t="str">
        <f aca="false">IF(C1220="","",INDEX(Akaun!$D$5:$D$150,MATCH(C1220,Akaun!$A$5:$A$150,0)))</f>
        <v/>
      </c>
    </row>
    <row r="1221" customFormat="false" ht="15" hidden="false" customHeight="true" outlineLevel="0" collapsed="false">
      <c r="G1221" s="1" t="str">
        <f aca="false">IF(C1221="","",INDEX(Akaun!$F$5:$F$150,MATCH(C1221,Akaun!$A$5:$A$150,0)))</f>
        <v/>
      </c>
      <c r="H1221" s="1" t="str">
        <f aca="false">IF(C1221="","",INDEX(Akaun!$D$5:$D$150,MATCH(C1221,Akaun!$A$5:$A$150,0)))</f>
        <v/>
      </c>
    </row>
    <row r="1222" customFormat="false" ht="15" hidden="false" customHeight="true" outlineLevel="0" collapsed="false">
      <c r="G1222" s="1" t="str">
        <f aca="false">IF(C1222="","",INDEX(Akaun!$F$5:$F$150,MATCH(C1222,Akaun!$A$5:$A$150,0)))</f>
        <v/>
      </c>
      <c r="H1222" s="1" t="str">
        <f aca="false">IF(C1222="","",INDEX(Akaun!$D$5:$D$150,MATCH(C1222,Akaun!$A$5:$A$150,0)))</f>
        <v/>
      </c>
    </row>
    <row r="1223" customFormat="false" ht="15" hidden="false" customHeight="true" outlineLevel="0" collapsed="false">
      <c r="G1223" s="1" t="str">
        <f aca="false">IF(C1223="","",INDEX(Akaun!$F$5:$F$150,MATCH(C1223,Akaun!$A$5:$A$150,0)))</f>
        <v/>
      </c>
      <c r="H1223" s="1" t="str">
        <f aca="false">IF(C1223="","",INDEX(Akaun!$D$5:$D$150,MATCH(C1223,Akaun!$A$5:$A$150,0)))</f>
        <v/>
      </c>
    </row>
    <row r="1224" customFormat="false" ht="15" hidden="false" customHeight="true" outlineLevel="0" collapsed="false">
      <c r="G1224" s="1" t="str">
        <f aca="false">IF(C1224="","",INDEX(Akaun!$F$5:$F$150,MATCH(C1224,Akaun!$A$5:$A$150,0)))</f>
        <v/>
      </c>
      <c r="H1224" s="1" t="str">
        <f aca="false">IF(C1224="","",INDEX(Akaun!$D$5:$D$150,MATCH(C1224,Akaun!$A$5:$A$150,0)))</f>
        <v/>
      </c>
    </row>
    <row r="1225" customFormat="false" ht="15" hidden="false" customHeight="true" outlineLevel="0" collapsed="false">
      <c r="G1225" s="1" t="str">
        <f aca="false">IF(C1225="","",INDEX(Akaun!$F$5:$F$150,MATCH(C1225,Akaun!$A$5:$A$150,0)))</f>
        <v/>
      </c>
      <c r="H1225" s="1" t="str">
        <f aca="false">IF(C1225="","",INDEX(Akaun!$D$5:$D$150,MATCH(C1225,Akaun!$A$5:$A$150,0)))</f>
        <v/>
      </c>
    </row>
    <row r="1226" customFormat="false" ht="15" hidden="false" customHeight="true" outlineLevel="0" collapsed="false">
      <c r="G1226" s="1" t="str">
        <f aca="false">IF(C1226="","",INDEX(Akaun!$F$5:$F$150,MATCH(C1226,Akaun!$A$5:$A$150,0)))</f>
        <v/>
      </c>
      <c r="H1226" s="1" t="str">
        <f aca="false">IF(C1226="","",INDEX(Akaun!$D$5:$D$150,MATCH(C1226,Akaun!$A$5:$A$150,0)))</f>
        <v/>
      </c>
    </row>
    <row r="1227" customFormat="false" ht="15" hidden="false" customHeight="true" outlineLevel="0" collapsed="false">
      <c r="G1227" s="1" t="str">
        <f aca="false">IF(C1227="","",INDEX(Akaun!$F$5:$F$150,MATCH(C1227,Akaun!$A$5:$A$150,0)))</f>
        <v/>
      </c>
      <c r="H1227" s="1" t="str">
        <f aca="false">IF(C1227="","",INDEX(Akaun!$D$5:$D$150,MATCH(C1227,Akaun!$A$5:$A$150,0)))</f>
        <v/>
      </c>
    </row>
    <row r="1228" customFormat="false" ht="15" hidden="false" customHeight="true" outlineLevel="0" collapsed="false">
      <c r="G1228" s="1" t="str">
        <f aca="false">IF(C1228="","",INDEX(Akaun!$F$5:$F$150,MATCH(C1228,Akaun!$A$5:$A$150,0)))</f>
        <v/>
      </c>
      <c r="H1228" s="1" t="str">
        <f aca="false">IF(C1228="","",INDEX(Akaun!$D$5:$D$150,MATCH(C1228,Akaun!$A$5:$A$150,0)))</f>
        <v/>
      </c>
    </row>
    <row r="1229" customFormat="false" ht="15" hidden="false" customHeight="true" outlineLevel="0" collapsed="false">
      <c r="G1229" s="1" t="str">
        <f aca="false">IF(C1229="","",INDEX(Akaun!$F$5:$F$150,MATCH(C1229,Akaun!$A$5:$A$150,0)))</f>
        <v/>
      </c>
      <c r="H1229" s="1" t="str">
        <f aca="false">IF(C1229="","",INDEX(Akaun!$D$5:$D$150,MATCH(C1229,Akaun!$A$5:$A$150,0)))</f>
        <v/>
      </c>
    </row>
    <row r="1230" customFormat="false" ht="15" hidden="false" customHeight="true" outlineLevel="0" collapsed="false">
      <c r="G1230" s="1" t="str">
        <f aca="false">IF(C1230="","",INDEX(Akaun!$F$5:$F$150,MATCH(C1230,Akaun!$A$5:$A$150,0)))</f>
        <v/>
      </c>
      <c r="H1230" s="1" t="str">
        <f aca="false">IF(C1230="","",INDEX(Akaun!$D$5:$D$150,MATCH(C1230,Akaun!$A$5:$A$150,0)))</f>
        <v/>
      </c>
    </row>
    <row r="1231" customFormat="false" ht="15" hidden="false" customHeight="true" outlineLevel="0" collapsed="false">
      <c r="G1231" s="1" t="str">
        <f aca="false">IF(C1231="","",INDEX(Akaun!$F$5:$F$150,MATCH(C1231,Akaun!$A$5:$A$150,0)))</f>
        <v/>
      </c>
      <c r="H1231" s="1" t="str">
        <f aca="false">IF(C1231="","",INDEX(Akaun!$D$5:$D$150,MATCH(C1231,Akaun!$A$5:$A$150,0)))</f>
        <v/>
      </c>
    </row>
    <row r="1232" customFormat="false" ht="15" hidden="false" customHeight="true" outlineLevel="0" collapsed="false">
      <c r="G1232" s="1" t="str">
        <f aca="false">IF(C1232="","",INDEX(Akaun!$F$5:$F$150,MATCH(C1232,Akaun!$A$5:$A$150,0)))</f>
        <v/>
      </c>
      <c r="H1232" s="1" t="str">
        <f aca="false">IF(C1232="","",INDEX(Akaun!$D$5:$D$150,MATCH(C1232,Akaun!$A$5:$A$150,0)))</f>
        <v/>
      </c>
    </row>
    <row r="1233" customFormat="false" ht="15" hidden="false" customHeight="true" outlineLevel="0" collapsed="false">
      <c r="G1233" s="1" t="str">
        <f aca="false">IF(C1233="","",INDEX(Akaun!$F$5:$F$150,MATCH(C1233,Akaun!$A$5:$A$150,0)))</f>
        <v/>
      </c>
      <c r="H1233" s="1" t="str">
        <f aca="false">IF(C1233="","",INDEX(Akaun!$D$5:$D$150,MATCH(C1233,Akaun!$A$5:$A$150,0)))</f>
        <v/>
      </c>
    </row>
    <row r="1234" customFormat="false" ht="15" hidden="false" customHeight="true" outlineLevel="0" collapsed="false">
      <c r="G1234" s="1" t="str">
        <f aca="false">IF(C1234="","",INDEX(Akaun!$F$5:$F$150,MATCH(C1234,Akaun!$A$5:$A$150,0)))</f>
        <v/>
      </c>
      <c r="H1234" s="1" t="str">
        <f aca="false">IF(C1234="","",INDEX(Akaun!$D$5:$D$150,MATCH(C1234,Akaun!$A$5:$A$150,0)))</f>
        <v/>
      </c>
    </row>
    <row r="1235" customFormat="false" ht="15" hidden="false" customHeight="true" outlineLevel="0" collapsed="false">
      <c r="G1235" s="1" t="str">
        <f aca="false">IF(C1235="","",INDEX(Akaun!$F$5:$F$150,MATCH(C1235,Akaun!$A$5:$A$150,0)))</f>
        <v/>
      </c>
      <c r="H1235" s="1" t="str">
        <f aca="false">IF(C1235="","",INDEX(Akaun!$D$5:$D$150,MATCH(C1235,Akaun!$A$5:$A$150,0)))</f>
        <v/>
      </c>
    </row>
    <row r="1236" customFormat="false" ht="15" hidden="false" customHeight="true" outlineLevel="0" collapsed="false">
      <c r="G1236" s="1" t="str">
        <f aca="false">IF(C1236="","",INDEX(Akaun!$F$5:$F$150,MATCH(C1236,Akaun!$A$5:$A$150,0)))</f>
        <v/>
      </c>
      <c r="H1236" s="1" t="str">
        <f aca="false">IF(C1236="","",INDEX(Akaun!$D$5:$D$150,MATCH(C1236,Akaun!$A$5:$A$150,0)))</f>
        <v/>
      </c>
    </row>
    <row r="1237" customFormat="false" ht="15" hidden="false" customHeight="true" outlineLevel="0" collapsed="false">
      <c r="G1237" s="1" t="str">
        <f aca="false">IF(C1237="","",INDEX(Akaun!$F$5:$F$150,MATCH(C1237,Akaun!$A$5:$A$150,0)))</f>
        <v/>
      </c>
      <c r="H1237" s="1" t="str">
        <f aca="false">IF(C1237="","",INDEX(Akaun!$D$5:$D$150,MATCH(C1237,Akaun!$A$5:$A$150,0)))</f>
        <v/>
      </c>
    </row>
    <row r="1238" customFormat="false" ht="15" hidden="false" customHeight="true" outlineLevel="0" collapsed="false">
      <c r="G1238" s="1" t="str">
        <f aca="false">IF(C1238="","",INDEX(Akaun!$F$5:$F$150,MATCH(C1238,Akaun!$A$5:$A$150,0)))</f>
        <v/>
      </c>
      <c r="H1238" s="1" t="str">
        <f aca="false">IF(C1238="","",INDEX(Akaun!$D$5:$D$150,MATCH(C1238,Akaun!$A$5:$A$150,0)))</f>
        <v/>
      </c>
    </row>
    <row r="1239" customFormat="false" ht="15" hidden="false" customHeight="true" outlineLevel="0" collapsed="false">
      <c r="G1239" s="1" t="str">
        <f aca="false">IF(C1239="","",INDEX(Akaun!$F$5:$F$150,MATCH(C1239,Akaun!$A$5:$A$150,0)))</f>
        <v/>
      </c>
      <c r="H1239" s="1" t="str">
        <f aca="false">IF(C1239="","",INDEX(Akaun!$D$5:$D$150,MATCH(C1239,Akaun!$A$5:$A$150,0)))</f>
        <v/>
      </c>
    </row>
    <row r="1240" customFormat="false" ht="15" hidden="false" customHeight="true" outlineLevel="0" collapsed="false">
      <c r="G1240" s="1" t="str">
        <f aca="false">IF(C1240="","",INDEX(Akaun!$F$5:$F$150,MATCH(C1240,Akaun!$A$5:$A$150,0)))</f>
        <v/>
      </c>
      <c r="H1240" s="1" t="str">
        <f aca="false">IF(C1240="","",INDEX(Akaun!$D$5:$D$150,MATCH(C1240,Akaun!$A$5:$A$150,0)))</f>
        <v/>
      </c>
    </row>
    <row r="1241" customFormat="false" ht="15" hidden="false" customHeight="true" outlineLevel="0" collapsed="false">
      <c r="G1241" s="1" t="str">
        <f aca="false">IF(C1241="","",INDEX(Akaun!$F$5:$F$150,MATCH(C1241,Akaun!$A$5:$A$150,0)))</f>
        <v/>
      </c>
      <c r="H1241" s="1" t="str">
        <f aca="false">IF(C1241="","",INDEX(Akaun!$D$5:$D$150,MATCH(C1241,Akaun!$A$5:$A$150,0)))</f>
        <v/>
      </c>
    </row>
    <row r="1242" customFormat="false" ht="15" hidden="false" customHeight="true" outlineLevel="0" collapsed="false">
      <c r="G1242" s="1" t="str">
        <f aca="false">IF(C1242="","",INDEX(Akaun!$F$5:$F$150,MATCH(C1242,Akaun!$A$5:$A$150,0)))</f>
        <v/>
      </c>
      <c r="H1242" s="1" t="str">
        <f aca="false">IF(C1242="","",INDEX(Akaun!$D$5:$D$150,MATCH(C1242,Akaun!$A$5:$A$150,0)))</f>
        <v/>
      </c>
    </row>
    <row r="1243" customFormat="false" ht="15" hidden="false" customHeight="true" outlineLevel="0" collapsed="false">
      <c r="G1243" s="1" t="str">
        <f aca="false">IF(C1243="","",INDEX(Akaun!$F$5:$F$150,MATCH(C1243,Akaun!$A$5:$A$150,0)))</f>
        <v/>
      </c>
      <c r="H1243" s="1" t="str">
        <f aca="false">IF(C1243="","",INDEX(Akaun!$D$5:$D$150,MATCH(C1243,Akaun!$A$5:$A$150,0)))</f>
        <v/>
      </c>
    </row>
    <row r="1244" customFormat="false" ht="15" hidden="false" customHeight="true" outlineLevel="0" collapsed="false">
      <c r="G1244" s="1" t="str">
        <f aca="false">IF(C1244="","",INDEX(Akaun!$F$5:$F$150,MATCH(C1244,Akaun!$A$5:$A$150,0)))</f>
        <v/>
      </c>
      <c r="H1244" s="1" t="str">
        <f aca="false">IF(C1244="","",INDEX(Akaun!$D$5:$D$150,MATCH(C1244,Akaun!$A$5:$A$150,0)))</f>
        <v/>
      </c>
    </row>
    <row r="1245" customFormat="false" ht="15" hidden="false" customHeight="true" outlineLevel="0" collapsed="false">
      <c r="G1245" s="1" t="str">
        <f aca="false">IF(C1245="","",INDEX(Akaun!$F$5:$F$150,MATCH(C1245,Akaun!$A$5:$A$150,0)))</f>
        <v/>
      </c>
      <c r="H1245" s="1" t="str">
        <f aca="false">IF(C1245="","",INDEX(Akaun!$D$5:$D$150,MATCH(C1245,Akaun!$A$5:$A$150,0)))</f>
        <v/>
      </c>
    </row>
    <row r="1246" customFormat="false" ht="15" hidden="false" customHeight="true" outlineLevel="0" collapsed="false">
      <c r="G1246" s="1" t="str">
        <f aca="false">IF(C1246="","",INDEX(Akaun!$F$5:$F$150,MATCH(C1246,Akaun!$A$5:$A$150,0)))</f>
        <v/>
      </c>
      <c r="H1246" s="1" t="str">
        <f aca="false">IF(C1246="","",INDEX(Akaun!$D$5:$D$150,MATCH(C1246,Akaun!$A$5:$A$150,0)))</f>
        <v/>
      </c>
    </row>
    <row r="1247" customFormat="false" ht="15" hidden="false" customHeight="true" outlineLevel="0" collapsed="false">
      <c r="G1247" s="1" t="str">
        <f aca="false">IF(C1247="","",INDEX(Akaun!$F$5:$F$150,MATCH(C1247,Akaun!$A$5:$A$150,0)))</f>
        <v/>
      </c>
      <c r="H1247" s="1" t="str">
        <f aca="false">IF(C1247="","",INDEX(Akaun!$D$5:$D$150,MATCH(C1247,Akaun!$A$5:$A$150,0)))</f>
        <v/>
      </c>
    </row>
    <row r="1248" customFormat="false" ht="15" hidden="false" customHeight="true" outlineLevel="0" collapsed="false">
      <c r="G1248" s="1" t="str">
        <f aca="false">IF(C1248="","",INDEX(Akaun!$F$5:$F$150,MATCH(C1248,Akaun!$A$5:$A$150,0)))</f>
        <v/>
      </c>
      <c r="H1248" s="1" t="str">
        <f aca="false">IF(C1248="","",INDEX(Akaun!$D$5:$D$150,MATCH(C1248,Akaun!$A$5:$A$150,0)))</f>
        <v/>
      </c>
    </row>
    <row r="1249" customFormat="false" ht="15" hidden="false" customHeight="true" outlineLevel="0" collapsed="false">
      <c r="G1249" s="1" t="str">
        <f aca="false">IF(C1249="","",INDEX(Akaun!$F$5:$F$150,MATCH(C1249,Akaun!$A$5:$A$150,0)))</f>
        <v/>
      </c>
      <c r="H1249" s="1" t="str">
        <f aca="false">IF(C1249="","",INDEX(Akaun!$D$5:$D$150,MATCH(C1249,Akaun!$A$5:$A$150,0)))</f>
        <v/>
      </c>
    </row>
    <row r="1250" customFormat="false" ht="15" hidden="false" customHeight="true" outlineLevel="0" collapsed="false">
      <c r="G1250" s="1" t="str">
        <f aca="false">IF(C1250="","",INDEX(Akaun!$F$5:$F$150,MATCH(C1250,Akaun!$A$5:$A$150,0)))</f>
        <v/>
      </c>
      <c r="H1250" s="1" t="str">
        <f aca="false">IF(C1250="","",INDEX(Akaun!$D$5:$D$150,MATCH(C1250,Akaun!$A$5:$A$150,0)))</f>
        <v/>
      </c>
    </row>
    <row r="1251" customFormat="false" ht="15" hidden="false" customHeight="true" outlineLevel="0" collapsed="false">
      <c r="G1251" s="1" t="str">
        <f aca="false">IF(C1251="","",INDEX(Akaun!$F$5:$F$150,MATCH(C1251,Akaun!$A$5:$A$150,0)))</f>
        <v/>
      </c>
      <c r="H1251" s="1" t="str">
        <f aca="false">IF(C1251="","",INDEX(Akaun!$D$5:$D$150,MATCH(C1251,Akaun!$A$5:$A$150,0)))</f>
        <v/>
      </c>
    </row>
    <row r="1252" customFormat="false" ht="15" hidden="false" customHeight="true" outlineLevel="0" collapsed="false">
      <c r="G1252" s="1" t="str">
        <f aca="false">IF(C1252="","",INDEX(Akaun!$F$5:$F$150,MATCH(C1252,Akaun!$A$5:$A$150,0)))</f>
        <v/>
      </c>
      <c r="H1252" s="1" t="str">
        <f aca="false">IF(C1252="","",INDEX(Akaun!$D$5:$D$150,MATCH(C1252,Akaun!$A$5:$A$150,0)))</f>
        <v/>
      </c>
    </row>
    <row r="1253" customFormat="false" ht="15" hidden="false" customHeight="true" outlineLevel="0" collapsed="false">
      <c r="G1253" s="1" t="str">
        <f aca="false">IF(C1253="","",INDEX(Akaun!$F$5:$F$150,MATCH(C1253,Akaun!$A$5:$A$150,0)))</f>
        <v/>
      </c>
      <c r="H1253" s="1" t="str">
        <f aca="false">IF(C1253="","",INDEX(Akaun!$D$5:$D$150,MATCH(C1253,Akaun!$A$5:$A$150,0)))</f>
        <v/>
      </c>
    </row>
    <row r="1254" customFormat="false" ht="15" hidden="false" customHeight="true" outlineLevel="0" collapsed="false">
      <c r="G1254" s="1" t="str">
        <f aca="false">IF(C1254="","",INDEX(Akaun!$F$5:$F$150,MATCH(C1254,Akaun!$A$5:$A$150,0)))</f>
        <v/>
      </c>
      <c r="H1254" s="1" t="str">
        <f aca="false">IF(C1254="","",INDEX(Akaun!$D$5:$D$150,MATCH(C1254,Akaun!$A$5:$A$150,0)))</f>
        <v/>
      </c>
    </row>
    <row r="1255" customFormat="false" ht="15" hidden="false" customHeight="true" outlineLevel="0" collapsed="false">
      <c r="G1255" s="1" t="str">
        <f aca="false">IF(C1255="","",INDEX(Akaun!$F$5:$F$150,MATCH(C1255,Akaun!$A$5:$A$150,0)))</f>
        <v/>
      </c>
      <c r="H1255" s="1" t="str">
        <f aca="false">IF(C1255="","",INDEX(Akaun!$D$5:$D$150,MATCH(C1255,Akaun!$A$5:$A$150,0)))</f>
        <v/>
      </c>
    </row>
    <row r="1256" customFormat="false" ht="15" hidden="false" customHeight="true" outlineLevel="0" collapsed="false">
      <c r="G1256" s="1" t="str">
        <f aca="false">IF(C1256="","",INDEX(Akaun!$F$5:$F$150,MATCH(C1256,Akaun!$A$5:$A$150,0)))</f>
        <v/>
      </c>
      <c r="H1256" s="1" t="str">
        <f aca="false">IF(C1256="","",INDEX(Akaun!$D$5:$D$150,MATCH(C1256,Akaun!$A$5:$A$150,0)))</f>
        <v/>
      </c>
    </row>
    <row r="1257" customFormat="false" ht="15" hidden="false" customHeight="true" outlineLevel="0" collapsed="false">
      <c r="G1257" s="1" t="str">
        <f aca="false">IF(C1257="","",INDEX(Akaun!$F$5:$F$150,MATCH(C1257,Akaun!$A$5:$A$150,0)))</f>
        <v/>
      </c>
      <c r="H1257" s="1" t="str">
        <f aca="false">IF(C1257="","",INDEX(Akaun!$D$5:$D$150,MATCH(C1257,Akaun!$A$5:$A$150,0)))</f>
        <v/>
      </c>
    </row>
    <row r="1258" customFormat="false" ht="15" hidden="false" customHeight="true" outlineLevel="0" collapsed="false">
      <c r="G1258" s="1" t="str">
        <f aca="false">IF(C1258="","",INDEX(Akaun!$F$5:$F$150,MATCH(C1258,Akaun!$A$5:$A$150,0)))</f>
        <v/>
      </c>
      <c r="H1258" s="1" t="str">
        <f aca="false">IF(C1258="","",INDEX(Akaun!$D$5:$D$150,MATCH(C1258,Akaun!$A$5:$A$150,0)))</f>
        <v/>
      </c>
    </row>
    <row r="1259" customFormat="false" ht="15" hidden="false" customHeight="true" outlineLevel="0" collapsed="false">
      <c r="G1259" s="1" t="str">
        <f aca="false">IF(C1259="","",INDEX(Akaun!$F$5:$F$150,MATCH(C1259,Akaun!$A$5:$A$150,0)))</f>
        <v/>
      </c>
      <c r="H1259" s="1" t="str">
        <f aca="false">IF(C1259="","",INDEX(Akaun!$D$5:$D$150,MATCH(C1259,Akaun!$A$5:$A$150,0)))</f>
        <v/>
      </c>
    </row>
    <row r="1260" customFormat="false" ht="15" hidden="false" customHeight="true" outlineLevel="0" collapsed="false">
      <c r="G1260" s="1" t="str">
        <f aca="false">IF(C1260="","",INDEX(Akaun!$F$5:$F$150,MATCH(C1260,Akaun!$A$5:$A$150,0)))</f>
        <v/>
      </c>
      <c r="H1260" s="1" t="str">
        <f aca="false">IF(C1260="","",INDEX(Akaun!$D$5:$D$150,MATCH(C1260,Akaun!$A$5:$A$150,0)))</f>
        <v/>
      </c>
    </row>
    <row r="1261" customFormat="false" ht="15" hidden="false" customHeight="true" outlineLevel="0" collapsed="false">
      <c r="G1261" s="1" t="str">
        <f aca="false">IF(C1261="","",INDEX(Akaun!$F$5:$F$150,MATCH(C1261,Akaun!$A$5:$A$150,0)))</f>
        <v/>
      </c>
      <c r="H1261" s="1" t="str">
        <f aca="false">IF(C1261="","",INDEX(Akaun!$D$5:$D$150,MATCH(C1261,Akaun!$A$5:$A$150,0)))</f>
        <v/>
      </c>
    </row>
    <row r="1262" customFormat="false" ht="15" hidden="false" customHeight="true" outlineLevel="0" collapsed="false">
      <c r="G1262" s="1" t="str">
        <f aca="false">IF(C1262="","",INDEX(Akaun!$F$5:$F$150,MATCH(C1262,Akaun!$A$5:$A$150,0)))</f>
        <v/>
      </c>
      <c r="H1262" s="1" t="str">
        <f aca="false">IF(C1262="","",INDEX(Akaun!$D$5:$D$150,MATCH(C1262,Akaun!$A$5:$A$150,0)))</f>
        <v/>
      </c>
    </row>
    <row r="1263" customFormat="false" ht="15" hidden="false" customHeight="true" outlineLevel="0" collapsed="false">
      <c r="G1263" s="1" t="str">
        <f aca="false">IF(C1263="","",INDEX(Akaun!$F$5:$F$150,MATCH(C1263,Akaun!$A$5:$A$150,0)))</f>
        <v/>
      </c>
      <c r="H1263" s="1" t="str">
        <f aca="false">IF(C1263="","",INDEX(Akaun!$D$5:$D$150,MATCH(C1263,Akaun!$A$5:$A$150,0)))</f>
        <v/>
      </c>
    </row>
    <row r="1264" customFormat="false" ht="15" hidden="false" customHeight="true" outlineLevel="0" collapsed="false">
      <c r="G1264" s="1" t="str">
        <f aca="false">IF(C1264="","",INDEX(Akaun!$F$5:$F$150,MATCH(C1264,Akaun!$A$5:$A$150,0)))</f>
        <v/>
      </c>
      <c r="H1264" s="1" t="str">
        <f aca="false">IF(C1264="","",INDEX(Akaun!$D$5:$D$150,MATCH(C1264,Akaun!$A$5:$A$150,0)))</f>
        <v/>
      </c>
    </row>
    <row r="1265" customFormat="false" ht="15" hidden="false" customHeight="true" outlineLevel="0" collapsed="false">
      <c r="G1265" s="1" t="str">
        <f aca="false">IF(C1265="","",INDEX(Akaun!$F$5:$F$150,MATCH(C1265,Akaun!$A$5:$A$150,0)))</f>
        <v/>
      </c>
      <c r="H1265" s="1" t="str">
        <f aca="false">IF(C1265="","",INDEX(Akaun!$D$5:$D$150,MATCH(C1265,Akaun!$A$5:$A$150,0)))</f>
        <v/>
      </c>
    </row>
    <row r="1266" customFormat="false" ht="15" hidden="false" customHeight="true" outlineLevel="0" collapsed="false">
      <c r="G1266" s="1" t="str">
        <f aca="false">IF(C1266="","",INDEX(Akaun!$F$5:$F$150,MATCH(C1266,Akaun!$A$5:$A$150,0)))</f>
        <v/>
      </c>
      <c r="H1266" s="1" t="str">
        <f aca="false">IF(C1266="","",INDEX(Akaun!$D$5:$D$150,MATCH(C1266,Akaun!$A$5:$A$150,0)))</f>
        <v/>
      </c>
    </row>
    <row r="1267" customFormat="false" ht="15" hidden="false" customHeight="true" outlineLevel="0" collapsed="false">
      <c r="G1267" s="1" t="str">
        <f aca="false">IF(C1267="","",INDEX(Akaun!$F$5:$F$150,MATCH(C1267,Akaun!$A$5:$A$150,0)))</f>
        <v/>
      </c>
      <c r="H1267" s="1" t="str">
        <f aca="false">IF(C1267="","",INDEX(Akaun!$D$5:$D$150,MATCH(C1267,Akaun!$A$5:$A$150,0)))</f>
        <v/>
      </c>
    </row>
    <row r="1268" customFormat="false" ht="15" hidden="false" customHeight="true" outlineLevel="0" collapsed="false">
      <c r="G1268" s="1" t="str">
        <f aca="false">IF(C1268="","",INDEX(Akaun!$F$5:$F$150,MATCH(C1268,Akaun!$A$5:$A$150,0)))</f>
        <v/>
      </c>
      <c r="H1268" s="1" t="str">
        <f aca="false">IF(C1268="","",INDEX(Akaun!$D$5:$D$150,MATCH(C1268,Akaun!$A$5:$A$150,0)))</f>
        <v/>
      </c>
    </row>
    <row r="1269" customFormat="false" ht="15" hidden="false" customHeight="true" outlineLevel="0" collapsed="false">
      <c r="G1269" s="1" t="str">
        <f aca="false">IF(C1269="","",INDEX(Akaun!$F$5:$F$150,MATCH(C1269,Akaun!$A$5:$A$150,0)))</f>
        <v/>
      </c>
      <c r="H1269" s="1" t="str">
        <f aca="false">IF(C1269="","",INDEX(Akaun!$D$5:$D$150,MATCH(C1269,Akaun!$A$5:$A$150,0)))</f>
        <v/>
      </c>
    </row>
    <row r="1270" customFormat="false" ht="15" hidden="false" customHeight="true" outlineLevel="0" collapsed="false">
      <c r="G1270" s="1" t="str">
        <f aca="false">IF(C1270="","",INDEX(Akaun!$F$5:$F$150,MATCH(C1270,Akaun!$A$5:$A$150,0)))</f>
        <v/>
      </c>
      <c r="H1270" s="1" t="str">
        <f aca="false">IF(C1270="","",INDEX(Akaun!$D$5:$D$150,MATCH(C1270,Akaun!$A$5:$A$150,0)))</f>
        <v/>
      </c>
    </row>
    <row r="1271" customFormat="false" ht="15" hidden="false" customHeight="true" outlineLevel="0" collapsed="false">
      <c r="G1271" s="1" t="str">
        <f aca="false">IF(C1271="","",INDEX(Akaun!$F$5:$F$150,MATCH(C1271,Akaun!$A$5:$A$150,0)))</f>
        <v/>
      </c>
      <c r="H1271" s="1" t="str">
        <f aca="false">IF(C1271="","",INDEX(Akaun!$D$5:$D$150,MATCH(C1271,Akaun!$A$5:$A$150,0)))</f>
        <v/>
      </c>
    </row>
    <row r="1272" customFormat="false" ht="15" hidden="false" customHeight="true" outlineLevel="0" collapsed="false">
      <c r="G1272" s="1" t="str">
        <f aca="false">IF(C1272="","",INDEX(Akaun!$F$5:$F$150,MATCH(C1272,Akaun!$A$5:$A$150,0)))</f>
        <v/>
      </c>
      <c r="H1272" s="1" t="str">
        <f aca="false">IF(C1272="","",INDEX(Akaun!$D$5:$D$150,MATCH(C1272,Akaun!$A$5:$A$150,0)))</f>
        <v/>
      </c>
    </row>
    <row r="1273" customFormat="false" ht="15" hidden="false" customHeight="true" outlineLevel="0" collapsed="false">
      <c r="G1273" s="1" t="str">
        <f aca="false">IF(C1273="","",INDEX(Akaun!$F$5:$F$150,MATCH(C1273,Akaun!$A$5:$A$150,0)))</f>
        <v/>
      </c>
      <c r="H1273" s="1" t="str">
        <f aca="false">IF(C1273="","",INDEX(Akaun!$D$5:$D$150,MATCH(C1273,Akaun!$A$5:$A$150,0)))</f>
        <v/>
      </c>
    </row>
    <row r="1274" customFormat="false" ht="15" hidden="false" customHeight="true" outlineLevel="0" collapsed="false">
      <c r="G1274" s="1" t="str">
        <f aca="false">IF(C1274="","",INDEX(Akaun!$F$5:$F$150,MATCH(C1274,Akaun!$A$5:$A$150,0)))</f>
        <v/>
      </c>
      <c r="H1274" s="1" t="str">
        <f aca="false">IF(C1274="","",INDEX(Akaun!$D$5:$D$150,MATCH(C1274,Akaun!$A$5:$A$150,0)))</f>
        <v/>
      </c>
    </row>
    <row r="1275" customFormat="false" ht="15" hidden="false" customHeight="true" outlineLevel="0" collapsed="false">
      <c r="G1275" s="1" t="str">
        <f aca="false">IF(C1275="","",INDEX(Akaun!$F$5:$F$150,MATCH(C1275,Akaun!$A$5:$A$150,0)))</f>
        <v/>
      </c>
      <c r="H1275" s="1" t="str">
        <f aca="false">IF(C1275="","",INDEX(Akaun!$D$5:$D$150,MATCH(C1275,Akaun!$A$5:$A$150,0)))</f>
        <v/>
      </c>
    </row>
    <row r="1276" customFormat="false" ht="15" hidden="false" customHeight="true" outlineLevel="0" collapsed="false">
      <c r="G1276" s="1" t="str">
        <f aca="false">IF(C1276="","",INDEX(Akaun!$F$5:$F$150,MATCH(C1276,Akaun!$A$5:$A$150,0)))</f>
        <v/>
      </c>
      <c r="H1276" s="1" t="str">
        <f aca="false">IF(C1276="","",INDEX(Akaun!$D$5:$D$150,MATCH(C1276,Akaun!$A$5:$A$150,0)))</f>
        <v/>
      </c>
    </row>
    <row r="1277" customFormat="false" ht="15" hidden="false" customHeight="true" outlineLevel="0" collapsed="false">
      <c r="G1277" s="1" t="str">
        <f aca="false">IF(C1277="","",INDEX(Akaun!$F$5:$F$150,MATCH(C1277,Akaun!$A$5:$A$150,0)))</f>
        <v/>
      </c>
      <c r="H1277" s="1" t="str">
        <f aca="false">IF(C1277="","",INDEX(Akaun!$D$5:$D$150,MATCH(C1277,Akaun!$A$5:$A$150,0)))</f>
        <v/>
      </c>
    </row>
    <row r="1278" customFormat="false" ht="15" hidden="false" customHeight="true" outlineLevel="0" collapsed="false">
      <c r="G1278" s="1" t="str">
        <f aca="false">IF(C1278="","",INDEX(Akaun!$F$5:$F$150,MATCH(C1278,Akaun!$A$5:$A$150,0)))</f>
        <v/>
      </c>
      <c r="H1278" s="1" t="str">
        <f aca="false">IF(C1278="","",INDEX(Akaun!$D$5:$D$150,MATCH(C1278,Akaun!$A$5:$A$150,0)))</f>
        <v/>
      </c>
    </row>
    <row r="1279" customFormat="false" ht="15" hidden="false" customHeight="true" outlineLevel="0" collapsed="false">
      <c r="G1279" s="1" t="str">
        <f aca="false">IF(C1279="","",INDEX(Akaun!$F$5:$F$150,MATCH(C1279,Akaun!$A$5:$A$150,0)))</f>
        <v/>
      </c>
      <c r="H1279" s="1" t="str">
        <f aca="false">IF(C1279="","",INDEX(Akaun!$D$5:$D$150,MATCH(C1279,Akaun!$A$5:$A$150,0)))</f>
        <v/>
      </c>
    </row>
    <row r="1280" customFormat="false" ht="15" hidden="false" customHeight="true" outlineLevel="0" collapsed="false">
      <c r="G1280" s="1" t="str">
        <f aca="false">IF(C1280="","",INDEX(Akaun!$F$5:$F$150,MATCH(C1280,Akaun!$A$5:$A$150,0)))</f>
        <v/>
      </c>
      <c r="H1280" s="1" t="str">
        <f aca="false">IF(C1280="","",INDEX(Akaun!$D$5:$D$150,MATCH(C1280,Akaun!$A$5:$A$150,0)))</f>
        <v/>
      </c>
    </row>
    <row r="1281" customFormat="false" ht="15" hidden="false" customHeight="true" outlineLevel="0" collapsed="false">
      <c r="G1281" s="1" t="str">
        <f aca="false">IF(C1281="","",INDEX(Akaun!$F$5:$F$150,MATCH(C1281,Akaun!$A$5:$A$150,0)))</f>
        <v/>
      </c>
      <c r="H1281" s="1" t="str">
        <f aca="false">IF(C1281="","",INDEX(Akaun!$D$5:$D$150,MATCH(C1281,Akaun!$A$5:$A$150,0)))</f>
        <v/>
      </c>
    </row>
    <row r="1282" customFormat="false" ht="15" hidden="false" customHeight="true" outlineLevel="0" collapsed="false">
      <c r="G1282" s="1" t="str">
        <f aca="false">IF(C1282="","",INDEX(Akaun!$F$5:$F$150,MATCH(C1282,Akaun!$A$5:$A$150,0)))</f>
        <v/>
      </c>
      <c r="H1282" s="1" t="str">
        <f aca="false">IF(C1282="","",INDEX(Akaun!$D$5:$D$150,MATCH(C1282,Akaun!$A$5:$A$150,0)))</f>
        <v/>
      </c>
    </row>
    <row r="1283" customFormat="false" ht="15" hidden="false" customHeight="true" outlineLevel="0" collapsed="false">
      <c r="G1283" s="1" t="str">
        <f aca="false">IF(C1283="","",INDEX(Akaun!$F$5:$F$150,MATCH(C1283,Akaun!$A$5:$A$150,0)))</f>
        <v/>
      </c>
      <c r="H1283" s="1" t="str">
        <f aca="false">IF(C1283="","",INDEX(Akaun!$D$5:$D$150,MATCH(C1283,Akaun!$A$5:$A$150,0)))</f>
        <v/>
      </c>
    </row>
    <row r="1284" customFormat="false" ht="15" hidden="false" customHeight="true" outlineLevel="0" collapsed="false">
      <c r="G1284" s="1" t="str">
        <f aca="false">IF(C1284="","",INDEX(Akaun!$F$5:$F$150,MATCH(C1284,Akaun!$A$5:$A$150,0)))</f>
        <v/>
      </c>
      <c r="H1284" s="1" t="str">
        <f aca="false">IF(C1284="","",INDEX(Akaun!$D$5:$D$150,MATCH(C1284,Akaun!$A$5:$A$150,0)))</f>
        <v/>
      </c>
    </row>
    <row r="1285" customFormat="false" ht="15" hidden="false" customHeight="true" outlineLevel="0" collapsed="false">
      <c r="G1285" s="1" t="str">
        <f aca="false">IF(C1285="","",INDEX(Akaun!$F$5:$F$150,MATCH(C1285,Akaun!$A$5:$A$150,0)))</f>
        <v/>
      </c>
      <c r="H1285" s="1" t="str">
        <f aca="false">IF(C1285="","",INDEX(Akaun!$D$5:$D$150,MATCH(C1285,Akaun!$A$5:$A$150,0)))</f>
        <v/>
      </c>
    </row>
    <row r="1286" customFormat="false" ht="15" hidden="false" customHeight="true" outlineLevel="0" collapsed="false">
      <c r="G1286" s="1" t="str">
        <f aca="false">IF(C1286="","",INDEX(Akaun!$F$5:$F$150,MATCH(C1286,Akaun!$A$5:$A$150,0)))</f>
        <v/>
      </c>
      <c r="H1286" s="1" t="str">
        <f aca="false">IF(C1286="","",INDEX(Akaun!$D$5:$D$150,MATCH(C1286,Akaun!$A$5:$A$150,0)))</f>
        <v/>
      </c>
    </row>
    <row r="1287" customFormat="false" ht="15" hidden="false" customHeight="true" outlineLevel="0" collapsed="false">
      <c r="G1287" s="1" t="str">
        <f aca="false">IF(C1287="","",INDEX(Akaun!$F$5:$F$150,MATCH(C1287,Akaun!$A$5:$A$150,0)))</f>
        <v/>
      </c>
      <c r="H1287" s="1" t="str">
        <f aca="false">IF(C1287="","",INDEX(Akaun!$D$5:$D$150,MATCH(C1287,Akaun!$A$5:$A$150,0)))</f>
        <v/>
      </c>
    </row>
    <row r="1288" customFormat="false" ht="15" hidden="false" customHeight="true" outlineLevel="0" collapsed="false">
      <c r="G1288" s="1" t="str">
        <f aca="false">IF(C1288="","",INDEX(Akaun!$F$5:$F$150,MATCH(C1288,Akaun!$A$5:$A$150,0)))</f>
        <v/>
      </c>
      <c r="H1288" s="1" t="str">
        <f aca="false">IF(C1288="","",INDEX(Akaun!$D$5:$D$150,MATCH(C1288,Akaun!$A$5:$A$150,0)))</f>
        <v/>
      </c>
    </row>
    <row r="1289" customFormat="false" ht="15" hidden="false" customHeight="true" outlineLevel="0" collapsed="false">
      <c r="G1289" s="1" t="str">
        <f aca="false">IF(C1289="","",INDEX(Akaun!$F$5:$F$150,MATCH(C1289,Akaun!$A$5:$A$150,0)))</f>
        <v/>
      </c>
      <c r="H1289" s="1" t="str">
        <f aca="false">IF(C1289="","",INDEX(Akaun!$D$5:$D$150,MATCH(C1289,Akaun!$A$5:$A$150,0)))</f>
        <v/>
      </c>
    </row>
    <row r="1290" customFormat="false" ht="15" hidden="false" customHeight="true" outlineLevel="0" collapsed="false">
      <c r="G1290" s="1" t="str">
        <f aca="false">IF(C1290="","",INDEX(Akaun!$F$5:$F$150,MATCH(C1290,Akaun!$A$5:$A$150,0)))</f>
        <v/>
      </c>
      <c r="H1290" s="1" t="str">
        <f aca="false">IF(C1290="","",INDEX(Akaun!$D$5:$D$150,MATCH(C1290,Akaun!$A$5:$A$150,0)))</f>
        <v/>
      </c>
    </row>
    <row r="1291" customFormat="false" ht="15" hidden="false" customHeight="true" outlineLevel="0" collapsed="false">
      <c r="G1291" s="1" t="str">
        <f aca="false">IF(C1291="","",INDEX(Akaun!$F$5:$F$150,MATCH(C1291,Akaun!$A$5:$A$150,0)))</f>
        <v/>
      </c>
      <c r="H1291" s="1" t="str">
        <f aca="false">IF(C1291="","",INDEX(Akaun!$D$5:$D$150,MATCH(C1291,Akaun!$A$5:$A$150,0)))</f>
        <v/>
      </c>
    </row>
    <row r="1292" customFormat="false" ht="15" hidden="false" customHeight="true" outlineLevel="0" collapsed="false">
      <c r="G1292" s="1" t="str">
        <f aca="false">IF(C1292="","",INDEX(Akaun!$F$5:$F$150,MATCH(C1292,Akaun!$A$5:$A$150,0)))</f>
        <v/>
      </c>
      <c r="H1292" s="1" t="str">
        <f aca="false">IF(C1292="","",INDEX(Akaun!$D$5:$D$150,MATCH(C1292,Akaun!$A$5:$A$150,0)))</f>
        <v/>
      </c>
    </row>
    <row r="1293" customFormat="false" ht="15" hidden="false" customHeight="true" outlineLevel="0" collapsed="false">
      <c r="G1293" s="1" t="str">
        <f aca="false">IF(C1293="","",INDEX(Akaun!$F$5:$F$150,MATCH(C1293,Akaun!$A$5:$A$150,0)))</f>
        <v/>
      </c>
      <c r="H1293" s="1" t="str">
        <f aca="false">IF(C1293="","",INDEX(Akaun!$D$5:$D$150,MATCH(C1293,Akaun!$A$5:$A$150,0)))</f>
        <v/>
      </c>
    </row>
    <row r="1294" customFormat="false" ht="15" hidden="false" customHeight="true" outlineLevel="0" collapsed="false">
      <c r="G1294" s="1" t="str">
        <f aca="false">IF(C1294="","",INDEX(Akaun!$F$5:$F$150,MATCH(C1294,Akaun!$A$5:$A$150,0)))</f>
        <v/>
      </c>
      <c r="H1294" s="1" t="str">
        <f aca="false">IF(C1294="","",INDEX(Akaun!$D$5:$D$150,MATCH(C1294,Akaun!$A$5:$A$150,0)))</f>
        <v/>
      </c>
    </row>
    <row r="1295" customFormat="false" ht="15" hidden="false" customHeight="true" outlineLevel="0" collapsed="false">
      <c r="G1295" s="1" t="str">
        <f aca="false">IF(C1295="","",INDEX(Akaun!$F$5:$F$150,MATCH(C1295,Akaun!$A$5:$A$150,0)))</f>
        <v/>
      </c>
      <c r="H1295" s="1" t="str">
        <f aca="false">IF(C1295="","",INDEX(Akaun!$D$5:$D$150,MATCH(C1295,Akaun!$A$5:$A$150,0)))</f>
        <v/>
      </c>
    </row>
    <row r="1296" customFormat="false" ht="15" hidden="false" customHeight="true" outlineLevel="0" collapsed="false">
      <c r="G1296" s="1" t="str">
        <f aca="false">IF(C1296="","",INDEX(Akaun!$F$5:$F$150,MATCH(C1296,Akaun!$A$5:$A$150,0)))</f>
        <v/>
      </c>
      <c r="H1296" s="1" t="str">
        <f aca="false">IF(C1296="","",INDEX(Akaun!$D$5:$D$150,MATCH(C1296,Akaun!$A$5:$A$150,0)))</f>
        <v/>
      </c>
    </row>
    <row r="1297" customFormat="false" ht="15" hidden="false" customHeight="true" outlineLevel="0" collapsed="false">
      <c r="G1297" s="1" t="str">
        <f aca="false">IF(C1297="","",INDEX(Akaun!$F$5:$F$150,MATCH(C1297,Akaun!$A$5:$A$150,0)))</f>
        <v/>
      </c>
      <c r="H1297" s="1" t="str">
        <f aca="false">IF(C1297="","",INDEX(Akaun!$D$5:$D$150,MATCH(C1297,Akaun!$A$5:$A$150,0)))</f>
        <v/>
      </c>
    </row>
    <row r="1298" customFormat="false" ht="15" hidden="false" customHeight="true" outlineLevel="0" collapsed="false">
      <c r="G1298" s="1" t="str">
        <f aca="false">IF(C1298="","",INDEX(Akaun!$F$5:$F$150,MATCH(C1298,Akaun!$A$5:$A$150,0)))</f>
        <v/>
      </c>
      <c r="H1298" s="1" t="str">
        <f aca="false">IF(C1298="","",INDEX(Akaun!$D$5:$D$150,MATCH(C1298,Akaun!$A$5:$A$150,0)))</f>
        <v/>
      </c>
    </row>
    <row r="1299" customFormat="false" ht="15" hidden="false" customHeight="true" outlineLevel="0" collapsed="false">
      <c r="G1299" s="1" t="str">
        <f aca="false">IF(C1299="","",INDEX(Akaun!$F$5:$F$150,MATCH(C1299,Akaun!$A$5:$A$150,0)))</f>
        <v/>
      </c>
      <c r="H1299" s="1" t="str">
        <f aca="false">IF(C1299="","",INDEX(Akaun!$D$5:$D$150,MATCH(C1299,Akaun!$A$5:$A$150,0)))</f>
        <v/>
      </c>
    </row>
    <row r="1300" customFormat="false" ht="15" hidden="false" customHeight="true" outlineLevel="0" collapsed="false">
      <c r="G1300" s="1" t="str">
        <f aca="false">IF(C1300="","",INDEX(Akaun!$F$5:$F$150,MATCH(C1300,Akaun!$A$5:$A$150,0)))</f>
        <v/>
      </c>
      <c r="H1300" s="1" t="str">
        <f aca="false">IF(C1300="","",INDEX(Akaun!$D$5:$D$150,MATCH(C1300,Akaun!$A$5:$A$150,0)))</f>
        <v/>
      </c>
    </row>
    <row r="1301" customFormat="false" ht="15" hidden="false" customHeight="true" outlineLevel="0" collapsed="false">
      <c r="G1301" s="1" t="str">
        <f aca="false">IF(C1301="","",INDEX(Akaun!$F$5:$F$150,MATCH(C1301,Akaun!$A$5:$A$150,0)))</f>
        <v/>
      </c>
      <c r="H1301" s="1" t="str">
        <f aca="false">IF(C1301="","",INDEX(Akaun!$D$5:$D$150,MATCH(C1301,Akaun!$A$5:$A$150,0)))</f>
        <v/>
      </c>
    </row>
    <row r="1302" customFormat="false" ht="15" hidden="false" customHeight="true" outlineLevel="0" collapsed="false">
      <c r="G1302" s="1" t="str">
        <f aca="false">IF(C1302="","",INDEX(Akaun!$F$5:$F$150,MATCH(C1302,Akaun!$A$5:$A$150,0)))</f>
        <v/>
      </c>
      <c r="H1302" s="1" t="str">
        <f aca="false">IF(C1302="","",INDEX(Akaun!$D$5:$D$150,MATCH(C1302,Akaun!$A$5:$A$150,0)))</f>
        <v/>
      </c>
    </row>
    <row r="1303" customFormat="false" ht="15" hidden="false" customHeight="true" outlineLevel="0" collapsed="false">
      <c r="G1303" s="1" t="str">
        <f aca="false">IF(C1303="","",INDEX(Akaun!$F$5:$F$150,MATCH(C1303,Akaun!$A$5:$A$150,0)))</f>
        <v/>
      </c>
      <c r="H1303" s="1" t="str">
        <f aca="false">IF(C1303="","",INDEX(Akaun!$D$5:$D$150,MATCH(C1303,Akaun!$A$5:$A$150,0)))</f>
        <v/>
      </c>
    </row>
    <row r="1304" customFormat="false" ht="15" hidden="false" customHeight="true" outlineLevel="0" collapsed="false">
      <c r="G1304" s="1" t="str">
        <f aca="false">IF(C1304="","",INDEX(Akaun!$F$5:$F$150,MATCH(C1304,Akaun!$A$5:$A$150,0)))</f>
        <v/>
      </c>
      <c r="H1304" s="1" t="str">
        <f aca="false">IF(C1304="","",INDEX(Akaun!$D$5:$D$150,MATCH(C1304,Akaun!$A$5:$A$150,0)))</f>
        <v/>
      </c>
    </row>
    <row r="1305" customFormat="false" ht="15" hidden="false" customHeight="true" outlineLevel="0" collapsed="false">
      <c r="G1305" s="1" t="str">
        <f aca="false">IF(C1305="","",INDEX(Akaun!$F$5:$F$150,MATCH(C1305,Akaun!$A$5:$A$150,0)))</f>
        <v/>
      </c>
      <c r="H1305" s="1" t="str">
        <f aca="false">IF(C1305="","",INDEX(Akaun!$D$5:$D$150,MATCH(C1305,Akaun!$A$5:$A$150,0)))</f>
        <v/>
      </c>
    </row>
    <row r="1306" customFormat="false" ht="15" hidden="false" customHeight="true" outlineLevel="0" collapsed="false">
      <c r="G1306" s="1" t="str">
        <f aca="false">IF(C1306="","",INDEX(Akaun!$F$5:$F$150,MATCH(C1306,Akaun!$A$5:$A$150,0)))</f>
        <v/>
      </c>
      <c r="H1306" s="1" t="str">
        <f aca="false">IF(C1306="","",INDEX(Akaun!$D$5:$D$150,MATCH(C1306,Akaun!$A$5:$A$150,0)))</f>
        <v/>
      </c>
    </row>
    <row r="1307" customFormat="false" ht="15" hidden="false" customHeight="true" outlineLevel="0" collapsed="false">
      <c r="G1307" s="1" t="str">
        <f aca="false">IF(C1307="","",INDEX(Akaun!$F$5:$F$150,MATCH(C1307,Akaun!$A$5:$A$150,0)))</f>
        <v/>
      </c>
      <c r="H1307" s="1" t="str">
        <f aca="false">IF(C1307="","",INDEX(Akaun!$D$5:$D$150,MATCH(C1307,Akaun!$A$5:$A$150,0)))</f>
        <v/>
      </c>
    </row>
    <row r="1308" customFormat="false" ht="15" hidden="false" customHeight="true" outlineLevel="0" collapsed="false">
      <c r="G1308" s="1" t="str">
        <f aca="false">IF(C1308="","",INDEX(Akaun!$F$5:$F$150,MATCH(C1308,Akaun!$A$5:$A$150,0)))</f>
        <v/>
      </c>
      <c r="H1308" s="1" t="str">
        <f aca="false">IF(C1308="","",INDEX(Akaun!$D$5:$D$150,MATCH(C1308,Akaun!$A$5:$A$150,0)))</f>
        <v/>
      </c>
    </row>
    <row r="1309" customFormat="false" ht="15" hidden="false" customHeight="true" outlineLevel="0" collapsed="false">
      <c r="G1309" s="1" t="str">
        <f aca="false">IF(C1309="","",INDEX(Akaun!$F$5:$F$150,MATCH(C1309,Akaun!$A$5:$A$150,0)))</f>
        <v/>
      </c>
      <c r="H1309" s="1" t="str">
        <f aca="false">IF(C1309="","",INDEX(Akaun!$D$5:$D$150,MATCH(C1309,Akaun!$A$5:$A$150,0)))</f>
        <v/>
      </c>
    </row>
    <row r="1310" customFormat="false" ht="15" hidden="false" customHeight="true" outlineLevel="0" collapsed="false">
      <c r="G1310" s="1" t="str">
        <f aca="false">IF(C1310="","",INDEX(Akaun!$F$5:$F$150,MATCH(C1310,Akaun!$A$5:$A$150,0)))</f>
        <v/>
      </c>
      <c r="H1310" s="1" t="str">
        <f aca="false">IF(C1310="","",INDEX(Akaun!$D$5:$D$150,MATCH(C1310,Akaun!$A$5:$A$150,0)))</f>
        <v/>
      </c>
    </row>
    <row r="1311" customFormat="false" ht="15" hidden="false" customHeight="true" outlineLevel="0" collapsed="false">
      <c r="G1311" s="1" t="str">
        <f aca="false">IF(C1311="","",INDEX(Akaun!$F$5:$F$150,MATCH(C1311,Akaun!$A$5:$A$150,0)))</f>
        <v/>
      </c>
      <c r="H1311" s="1" t="str">
        <f aca="false">IF(C1311="","",INDEX(Akaun!$D$5:$D$150,MATCH(C1311,Akaun!$A$5:$A$150,0)))</f>
        <v/>
      </c>
    </row>
    <row r="1312" customFormat="false" ht="15" hidden="false" customHeight="true" outlineLevel="0" collapsed="false">
      <c r="G1312" s="1" t="str">
        <f aca="false">IF(C1312="","",INDEX(Akaun!$F$5:$F$150,MATCH(C1312,Akaun!$A$5:$A$150,0)))</f>
        <v/>
      </c>
      <c r="H1312" s="1" t="str">
        <f aca="false">IF(C1312="","",INDEX(Akaun!$D$5:$D$150,MATCH(C1312,Akaun!$A$5:$A$150,0)))</f>
        <v/>
      </c>
    </row>
    <row r="1313" customFormat="false" ht="15" hidden="false" customHeight="true" outlineLevel="0" collapsed="false">
      <c r="G1313" s="1" t="str">
        <f aca="false">IF(C1313="","",INDEX(Akaun!$F$5:$F$150,MATCH(C1313,Akaun!$A$5:$A$150,0)))</f>
        <v/>
      </c>
      <c r="H1313" s="1" t="str">
        <f aca="false">IF(C1313="","",INDEX(Akaun!$D$5:$D$150,MATCH(C1313,Akaun!$A$5:$A$150,0)))</f>
        <v/>
      </c>
    </row>
    <row r="1314" customFormat="false" ht="15" hidden="false" customHeight="true" outlineLevel="0" collapsed="false">
      <c r="G1314" s="1" t="str">
        <f aca="false">IF(C1314="","",INDEX(Akaun!$F$5:$F$150,MATCH(C1314,Akaun!$A$5:$A$150,0)))</f>
        <v/>
      </c>
      <c r="H1314" s="1" t="str">
        <f aca="false">IF(C1314="","",INDEX(Akaun!$D$5:$D$150,MATCH(C1314,Akaun!$A$5:$A$150,0)))</f>
        <v/>
      </c>
    </row>
    <row r="1315" customFormat="false" ht="15" hidden="false" customHeight="true" outlineLevel="0" collapsed="false">
      <c r="G1315" s="1" t="str">
        <f aca="false">IF(C1315="","",INDEX(Akaun!$F$5:$F$150,MATCH(C1315,Akaun!$A$5:$A$150,0)))</f>
        <v/>
      </c>
      <c r="H1315" s="1" t="str">
        <f aca="false">IF(C1315="","",INDEX(Akaun!$D$5:$D$150,MATCH(C1315,Akaun!$A$5:$A$150,0)))</f>
        <v/>
      </c>
    </row>
    <row r="1316" customFormat="false" ht="15" hidden="false" customHeight="true" outlineLevel="0" collapsed="false">
      <c r="G1316" s="1" t="str">
        <f aca="false">IF(C1316="","",INDEX(Akaun!$F$5:$F$150,MATCH(C1316,Akaun!$A$5:$A$150,0)))</f>
        <v/>
      </c>
      <c r="H1316" s="1" t="str">
        <f aca="false">IF(C1316="","",INDEX(Akaun!$D$5:$D$150,MATCH(C1316,Akaun!$A$5:$A$150,0)))</f>
        <v/>
      </c>
    </row>
    <row r="1317" customFormat="false" ht="15" hidden="false" customHeight="true" outlineLevel="0" collapsed="false">
      <c r="G1317" s="1" t="str">
        <f aca="false">IF(C1317="","",INDEX(Akaun!$F$5:$F$150,MATCH(C1317,Akaun!$A$5:$A$150,0)))</f>
        <v/>
      </c>
      <c r="H1317" s="1" t="str">
        <f aca="false">IF(C1317="","",INDEX(Akaun!$D$5:$D$150,MATCH(C1317,Akaun!$A$5:$A$150,0)))</f>
        <v/>
      </c>
    </row>
    <row r="1318" customFormat="false" ht="15" hidden="false" customHeight="true" outlineLevel="0" collapsed="false">
      <c r="G1318" s="1" t="str">
        <f aca="false">IF(C1318="","",INDEX(Akaun!$F$5:$F$150,MATCH(C1318,Akaun!$A$5:$A$150,0)))</f>
        <v/>
      </c>
      <c r="H1318" s="1" t="str">
        <f aca="false">IF(C1318="","",INDEX(Akaun!$D$5:$D$150,MATCH(C1318,Akaun!$A$5:$A$150,0)))</f>
        <v/>
      </c>
    </row>
    <row r="1319" customFormat="false" ht="15" hidden="false" customHeight="true" outlineLevel="0" collapsed="false">
      <c r="G1319" s="1" t="str">
        <f aca="false">IF(C1319="","",INDEX(Akaun!$F$5:$F$150,MATCH(C1319,Akaun!$A$5:$A$150,0)))</f>
        <v/>
      </c>
      <c r="H1319" s="1" t="str">
        <f aca="false">IF(C1319="","",INDEX(Akaun!$D$5:$D$150,MATCH(C1319,Akaun!$A$5:$A$150,0)))</f>
        <v/>
      </c>
    </row>
    <row r="1320" customFormat="false" ht="15" hidden="false" customHeight="true" outlineLevel="0" collapsed="false">
      <c r="G1320" s="1" t="str">
        <f aca="false">IF(C1320="","",INDEX(Akaun!$F$5:$F$150,MATCH(C1320,Akaun!$A$5:$A$150,0)))</f>
        <v/>
      </c>
      <c r="H1320" s="1" t="str">
        <f aca="false">IF(C1320="","",INDEX(Akaun!$D$5:$D$150,MATCH(C1320,Akaun!$A$5:$A$150,0)))</f>
        <v/>
      </c>
    </row>
    <row r="1321" customFormat="false" ht="15" hidden="false" customHeight="true" outlineLevel="0" collapsed="false">
      <c r="G1321" s="1" t="str">
        <f aca="false">IF(C1321="","",INDEX(Akaun!$F$5:$F$150,MATCH(C1321,Akaun!$A$5:$A$150,0)))</f>
        <v/>
      </c>
      <c r="H1321" s="1" t="str">
        <f aca="false">IF(C1321="","",INDEX(Akaun!$D$5:$D$150,MATCH(C1321,Akaun!$A$5:$A$150,0)))</f>
        <v/>
      </c>
    </row>
    <row r="1322" customFormat="false" ht="15" hidden="false" customHeight="true" outlineLevel="0" collapsed="false">
      <c r="G1322" s="1" t="str">
        <f aca="false">IF(C1322="","",INDEX(Akaun!$F$5:$F$150,MATCH(C1322,Akaun!$A$5:$A$150,0)))</f>
        <v/>
      </c>
      <c r="H1322" s="1" t="str">
        <f aca="false">IF(C1322="","",INDEX(Akaun!$D$5:$D$150,MATCH(C1322,Akaun!$A$5:$A$150,0)))</f>
        <v/>
      </c>
    </row>
    <row r="1323" customFormat="false" ht="15" hidden="false" customHeight="true" outlineLevel="0" collapsed="false">
      <c r="G1323" s="1" t="str">
        <f aca="false">IF(C1323="","",INDEX(Akaun!$F$5:$F$150,MATCH(C1323,Akaun!$A$5:$A$150,0)))</f>
        <v/>
      </c>
      <c r="H1323" s="1" t="str">
        <f aca="false">IF(C1323="","",INDEX(Akaun!$D$5:$D$150,MATCH(C1323,Akaun!$A$5:$A$150,0)))</f>
        <v/>
      </c>
    </row>
    <row r="1324" customFormat="false" ht="15" hidden="false" customHeight="true" outlineLevel="0" collapsed="false">
      <c r="G1324" s="1" t="str">
        <f aca="false">IF(C1324="","",INDEX(Akaun!$F$5:$F$150,MATCH(C1324,Akaun!$A$5:$A$150,0)))</f>
        <v/>
      </c>
      <c r="H1324" s="1" t="str">
        <f aca="false">IF(C1324="","",INDEX(Akaun!$D$5:$D$150,MATCH(C1324,Akaun!$A$5:$A$150,0)))</f>
        <v/>
      </c>
    </row>
    <row r="1325" customFormat="false" ht="15" hidden="false" customHeight="true" outlineLevel="0" collapsed="false">
      <c r="G1325" s="1" t="str">
        <f aca="false">IF(C1325="","",INDEX(Akaun!$F$5:$F$150,MATCH(C1325,Akaun!$A$5:$A$150,0)))</f>
        <v/>
      </c>
      <c r="H1325" s="1" t="str">
        <f aca="false">IF(C1325="","",INDEX(Akaun!$D$5:$D$150,MATCH(C1325,Akaun!$A$5:$A$150,0)))</f>
        <v/>
      </c>
    </row>
    <row r="1326" customFormat="false" ht="15" hidden="false" customHeight="true" outlineLevel="0" collapsed="false">
      <c r="G1326" s="1" t="str">
        <f aca="false">IF(C1326="","",INDEX(Akaun!$F$5:$F$150,MATCH(C1326,Akaun!$A$5:$A$150,0)))</f>
        <v/>
      </c>
      <c r="H1326" s="1" t="str">
        <f aca="false">IF(C1326="","",INDEX(Akaun!$D$5:$D$150,MATCH(C1326,Akaun!$A$5:$A$150,0)))</f>
        <v/>
      </c>
    </row>
    <row r="1327" customFormat="false" ht="15" hidden="false" customHeight="true" outlineLevel="0" collapsed="false">
      <c r="G1327" s="1" t="str">
        <f aca="false">IF(C1327="","",INDEX(Akaun!$F$5:$F$150,MATCH(C1327,Akaun!$A$5:$A$150,0)))</f>
        <v/>
      </c>
      <c r="H1327" s="1" t="str">
        <f aca="false">IF(C1327="","",INDEX(Akaun!$D$5:$D$150,MATCH(C1327,Akaun!$A$5:$A$150,0)))</f>
        <v/>
      </c>
    </row>
    <row r="1328" customFormat="false" ht="15" hidden="false" customHeight="true" outlineLevel="0" collapsed="false">
      <c r="G1328" s="1" t="str">
        <f aca="false">IF(C1328="","",INDEX(Akaun!$F$5:$F$150,MATCH(C1328,Akaun!$A$5:$A$150,0)))</f>
        <v/>
      </c>
      <c r="H1328" s="1" t="str">
        <f aca="false">IF(C1328="","",INDEX(Akaun!$D$5:$D$150,MATCH(C1328,Akaun!$A$5:$A$150,0)))</f>
        <v/>
      </c>
    </row>
    <row r="1329" customFormat="false" ht="15" hidden="false" customHeight="true" outlineLevel="0" collapsed="false">
      <c r="G1329" s="1" t="str">
        <f aca="false">IF(C1329="","",INDEX(Akaun!$F$5:$F$150,MATCH(C1329,Akaun!$A$5:$A$150,0)))</f>
        <v/>
      </c>
      <c r="H1329" s="1" t="str">
        <f aca="false">IF(C1329="","",INDEX(Akaun!$D$5:$D$150,MATCH(C1329,Akaun!$A$5:$A$150,0)))</f>
        <v/>
      </c>
    </row>
    <row r="1330" customFormat="false" ht="15" hidden="false" customHeight="true" outlineLevel="0" collapsed="false">
      <c r="G1330" s="1" t="str">
        <f aca="false">IF(C1330="","",INDEX(Akaun!$F$5:$F$150,MATCH(C1330,Akaun!$A$5:$A$150,0)))</f>
        <v/>
      </c>
      <c r="H1330" s="1" t="str">
        <f aca="false">IF(C1330="","",INDEX(Akaun!$D$5:$D$150,MATCH(C1330,Akaun!$A$5:$A$150,0)))</f>
        <v/>
      </c>
    </row>
    <row r="1331" customFormat="false" ht="15" hidden="false" customHeight="true" outlineLevel="0" collapsed="false">
      <c r="G1331" s="1" t="str">
        <f aca="false">IF(C1331="","",INDEX(Akaun!$F$5:$F$150,MATCH(C1331,Akaun!$A$5:$A$150,0)))</f>
        <v/>
      </c>
      <c r="H1331" s="1" t="str">
        <f aca="false">IF(C1331="","",INDEX(Akaun!$D$5:$D$150,MATCH(C1331,Akaun!$A$5:$A$150,0)))</f>
        <v/>
      </c>
    </row>
    <row r="1332" customFormat="false" ht="15" hidden="false" customHeight="true" outlineLevel="0" collapsed="false">
      <c r="G1332" s="1" t="str">
        <f aca="false">IF(C1332="","",INDEX(Akaun!$F$5:$F$150,MATCH(C1332,Akaun!$A$5:$A$150,0)))</f>
        <v/>
      </c>
      <c r="H1332" s="1" t="str">
        <f aca="false">IF(C1332="","",INDEX(Akaun!$D$5:$D$150,MATCH(C1332,Akaun!$A$5:$A$150,0)))</f>
        <v/>
      </c>
    </row>
    <row r="1333" customFormat="false" ht="15" hidden="false" customHeight="true" outlineLevel="0" collapsed="false">
      <c r="G1333" s="1" t="str">
        <f aca="false">IF(C1333="","",INDEX(Akaun!$F$5:$F$150,MATCH(C1333,Akaun!$A$5:$A$150,0)))</f>
        <v/>
      </c>
      <c r="H1333" s="1" t="str">
        <f aca="false">IF(C1333="","",INDEX(Akaun!$D$5:$D$150,MATCH(C1333,Akaun!$A$5:$A$150,0)))</f>
        <v/>
      </c>
    </row>
    <row r="1334" customFormat="false" ht="15" hidden="false" customHeight="true" outlineLevel="0" collapsed="false">
      <c r="G1334" s="1" t="str">
        <f aca="false">IF(C1334="","",INDEX(Akaun!$F$5:$F$150,MATCH(C1334,Akaun!$A$5:$A$150,0)))</f>
        <v/>
      </c>
      <c r="H1334" s="1" t="str">
        <f aca="false">IF(C1334="","",INDEX(Akaun!$D$5:$D$150,MATCH(C1334,Akaun!$A$5:$A$150,0)))</f>
        <v/>
      </c>
    </row>
    <row r="1335" customFormat="false" ht="15" hidden="false" customHeight="true" outlineLevel="0" collapsed="false">
      <c r="G1335" s="1" t="str">
        <f aca="false">IF(C1335="","",INDEX(Akaun!$F$5:$F$150,MATCH(C1335,Akaun!$A$5:$A$150,0)))</f>
        <v/>
      </c>
      <c r="H1335" s="1" t="str">
        <f aca="false">IF(C1335="","",INDEX(Akaun!$D$5:$D$150,MATCH(C1335,Akaun!$A$5:$A$150,0)))</f>
        <v/>
      </c>
    </row>
    <row r="1336" customFormat="false" ht="15" hidden="false" customHeight="true" outlineLevel="0" collapsed="false">
      <c r="G1336" s="1" t="str">
        <f aca="false">IF(C1336="","",INDEX(Akaun!$F$5:$F$150,MATCH(C1336,Akaun!$A$5:$A$150,0)))</f>
        <v/>
      </c>
      <c r="H1336" s="1" t="str">
        <f aca="false">IF(C1336="","",INDEX(Akaun!$D$5:$D$150,MATCH(C1336,Akaun!$A$5:$A$150,0)))</f>
        <v/>
      </c>
    </row>
    <row r="1337" customFormat="false" ht="15" hidden="false" customHeight="true" outlineLevel="0" collapsed="false">
      <c r="G1337" s="1" t="str">
        <f aca="false">IF(C1337="","",INDEX(Akaun!$F$5:$F$150,MATCH(C1337,Akaun!$A$5:$A$150,0)))</f>
        <v/>
      </c>
      <c r="H1337" s="1" t="str">
        <f aca="false">IF(C1337="","",INDEX(Akaun!$D$5:$D$150,MATCH(C1337,Akaun!$A$5:$A$150,0)))</f>
        <v/>
      </c>
    </row>
    <row r="1338" customFormat="false" ht="15" hidden="false" customHeight="true" outlineLevel="0" collapsed="false">
      <c r="G1338" s="1" t="str">
        <f aca="false">IF(C1338="","",INDEX(Akaun!$F$5:$F$150,MATCH(C1338,Akaun!$A$5:$A$150,0)))</f>
        <v/>
      </c>
      <c r="H1338" s="1" t="str">
        <f aca="false">IF(C1338="","",INDEX(Akaun!$D$5:$D$150,MATCH(C1338,Akaun!$A$5:$A$150,0)))</f>
        <v/>
      </c>
    </row>
    <row r="1339" customFormat="false" ht="15" hidden="false" customHeight="true" outlineLevel="0" collapsed="false">
      <c r="G1339" s="1" t="str">
        <f aca="false">IF(C1339="","",INDEX(Akaun!$F$5:$F$150,MATCH(C1339,Akaun!$A$5:$A$150,0)))</f>
        <v/>
      </c>
      <c r="H1339" s="1" t="str">
        <f aca="false">IF(C1339="","",INDEX(Akaun!$D$5:$D$150,MATCH(C1339,Akaun!$A$5:$A$150,0)))</f>
        <v/>
      </c>
    </row>
    <row r="1340" customFormat="false" ht="15" hidden="false" customHeight="true" outlineLevel="0" collapsed="false">
      <c r="G1340" s="1" t="str">
        <f aca="false">IF(C1340="","",INDEX(Akaun!$F$5:$F$150,MATCH(C1340,Akaun!$A$5:$A$150,0)))</f>
        <v/>
      </c>
      <c r="H1340" s="1" t="str">
        <f aca="false">IF(C1340="","",INDEX(Akaun!$D$5:$D$150,MATCH(C1340,Akaun!$A$5:$A$150,0)))</f>
        <v/>
      </c>
    </row>
    <row r="1341" customFormat="false" ht="15" hidden="false" customHeight="true" outlineLevel="0" collapsed="false">
      <c r="G1341" s="1" t="str">
        <f aca="false">IF(C1341="","",INDEX(Akaun!$F$5:$F$150,MATCH(C1341,Akaun!$A$5:$A$150,0)))</f>
        <v/>
      </c>
      <c r="H1341" s="1" t="str">
        <f aca="false">IF(C1341="","",INDEX(Akaun!$D$5:$D$150,MATCH(C1341,Akaun!$A$5:$A$150,0)))</f>
        <v/>
      </c>
    </row>
    <row r="1342" customFormat="false" ht="15" hidden="false" customHeight="true" outlineLevel="0" collapsed="false">
      <c r="G1342" s="1" t="str">
        <f aca="false">IF(C1342="","",INDEX(Akaun!$F$5:$F$150,MATCH(C1342,Akaun!$A$5:$A$150,0)))</f>
        <v/>
      </c>
      <c r="H1342" s="1" t="str">
        <f aca="false">IF(C1342="","",INDEX(Akaun!$D$5:$D$150,MATCH(C1342,Akaun!$A$5:$A$150,0)))</f>
        <v/>
      </c>
    </row>
    <row r="1343" customFormat="false" ht="15" hidden="false" customHeight="true" outlineLevel="0" collapsed="false">
      <c r="G1343" s="1" t="str">
        <f aca="false">IF(C1343="","",INDEX(Akaun!$F$5:$F$150,MATCH(C1343,Akaun!$A$5:$A$150,0)))</f>
        <v/>
      </c>
      <c r="H1343" s="1" t="str">
        <f aca="false">IF(C1343="","",INDEX(Akaun!$D$5:$D$150,MATCH(C1343,Akaun!$A$5:$A$150,0)))</f>
        <v/>
      </c>
    </row>
    <row r="1344" customFormat="false" ht="15" hidden="false" customHeight="true" outlineLevel="0" collapsed="false">
      <c r="G1344" s="1" t="str">
        <f aca="false">IF(C1344="","",INDEX(Akaun!$F$5:$F$150,MATCH(C1344,Akaun!$A$5:$A$150,0)))</f>
        <v/>
      </c>
      <c r="H1344" s="1" t="str">
        <f aca="false">IF(C1344="","",INDEX(Akaun!$D$5:$D$150,MATCH(C1344,Akaun!$A$5:$A$150,0)))</f>
        <v/>
      </c>
    </row>
    <row r="1345" customFormat="false" ht="15" hidden="false" customHeight="true" outlineLevel="0" collapsed="false">
      <c r="G1345" s="1" t="str">
        <f aca="false">IF(C1345="","",INDEX(Akaun!$F$5:$F$150,MATCH(C1345,Akaun!$A$5:$A$150,0)))</f>
        <v/>
      </c>
      <c r="H1345" s="1" t="str">
        <f aca="false">IF(C1345="","",INDEX(Akaun!$D$5:$D$150,MATCH(C1345,Akaun!$A$5:$A$150,0)))</f>
        <v/>
      </c>
    </row>
    <row r="1346" customFormat="false" ht="15" hidden="false" customHeight="true" outlineLevel="0" collapsed="false">
      <c r="G1346" s="1" t="str">
        <f aca="false">IF(C1346="","",INDEX(Akaun!$F$5:$F$150,MATCH(C1346,Akaun!$A$5:$A$150,0)))</f>
        <v/>
      </c>
      <c r="H1346" s="1" t="str">
        <f aca="false">IF(C1346="","",INDEX(Akaun!$D$5:$D$150,MATCH(C1346,Akaun!$A$5:$A$150,0)))</f>
        <v/>
      </c>
    </row>
    <row r="1347" customFormat="false" ht="15" hidden="false" customHeight="true" outlineLevel="0" collapsed="false">
      <c r="G1347" s="1" t="str">
        <f aca="false">IF(C1347="","",INDEX(Akaun!$F$5:$F$150,MATCH(C1347,Akaun!$A$5:$A$150,0)))</f>
        <v/>
      </c>
      <c r="H1347" s="1" t="str">
        <f aca="false">IF(C1347="","",INDEX(Akaun!$D$5:$D$150,MATCH(C1347,Akaun!$A$5:$A$150,0)))</f>
        <v/>
      </c>
    </row>
    <row r="1348" customFormat="false" ht="15" hidden="false" customHeight="true" outlineLevel="0" collapsed="false">
      <c r="G1348" s="1" t="str">
        <f aca="false">IF(C1348="","",INDEX(Akaun!$F$5:$F$150,MATCH(C1348,Akaun!$A$5:$A$150,0)))</f>
        <v/>
      </c>
      <c r="H1348" s="1" t="str">
        <f aca="false">IF(C1348="","",INDEX(Akaun!$D$5:$D$150,MATCH(C1348,Akaun!$A$5:$A$150,0)))</f>
        <v/>
      </c>
    </row>
    <row r="1349" customFormat="false" ht="15" hidden="false" customHeight="true" outlineLevel="0" collapsed="false">
      <c r="G1349" s="1" t="str">
        <f aca="false">IF(C1349="","",INDEX(Akaun!$F$5:$F$150,MATCH(C1349,Akaun!$A$5:$A$150,0)))</f>
        <v/>
      </c>
      <c r="H1349" s="1" t="str">
        <f aca="false">IF(C1349="","",INDEX(Akaun!$D$5:$D$150,MATCH(C1349,Akaun!$A$5:$A$150,0)))</f>
        <v/>
      </c>
    </row>
    <row r="1350" customFormat="false" ht="15" hidden="false" customHeight="true" outlineLevel="0" collapsed="false">
      <c r="G1350" s="1" t="str">
        <f aca="false">IF(C1350="","",INDEX(Akaun!$F$5:$F$150,MATCH(C1350,Akaun!$A$5:$A$150,0)))</f>
        <v/>
      </c>
      <c r="H1350" s="1" t="str">
        <f aca="false">IF(C1350="","",INDEX(Akaun!$D$5:$D$150,MATCH(C1350,Akaun!$A$5:$A$150,0)))</f>
        <v/>
      </c>
    </row>
    <row r="1351" customFormat="false" ht="15" hidden="false" customHeight="true" outlineLevel="0" collapsed="false">
      <c r="G1351" s="1" t="str">
        <f aca="false">IF(C1351="","",INDEX(Akaun!$F$5:$F$150,MATCH(C1351,Akaun!$A$5:$A$150,0)))</f>
        <v/>
      </c>
      <c r="H1351" s="1" t="str">
        <f aca="false">IF(C1351="","",INDEX(Akaun!$D$5:$D$150,MATCH(C1351,Akaun!$A$5:$A$150,0)))</f>
        <v/>
      </c>
    </row>
    <row r="1352" customFormat="false" ht="15" hidden="false" customHeight="true" outlineLevel="0" collapsed="false">
      <c r="G1352" s="1" t="str">
        <f aca="false">IF(C1352="","",INDEX(Akaun!$F$5:$F$150,MATCH(C1352,Akaun!$A$5:$A$150,0)))</f>
        <v/>
      </c>
      <c r="H1352" s="1" t="str">
        <f aca="false">IF(C1352="","",INDEX(Akaun!$D$5:$D$150,MATCH(C1352,Akaun!$A$5:$A$150,0)))</f>
        <v/>
      </c>
    </row>
    <row r="1353" customFormat="false" ht="15" hidden="false" customHeight="true" outlineLevel="0" collapsed="false">
      <c r="G1353" s="1" t="str">
        <f aca="false">IF(C1353="","",INDEX(Akaun!$F$5:$F$150,MATCH(C1353,Akaun!$A$5:$A$150,0)))</f>
        <v/>
      </c>
      <c r="H1353" s="1" t="str">
        <f aca="false">IF(C1353="","",INDEX(Akaun!$D$5:$D$150,MATCH(C1353,Akaun!$A$5:$A$150,0)))</f>
        <v/>
      </c>
    </row>
    <row r="1354" customFormat="false" ht="15" hidden="false" customHeight="true" outlineLevel="0" collapsed="false">
      <c r="G1354" s="1" t="str">
        <f aca="false">IF(C1354="","",INDEX(Akaun!$F$5:$F$150,MATCH(C1354,Akaun!$A$5:$A$150,0)))</f>
        <v/>
      </c>
      <c r="H1354" s="1" t="str">
        <f aca="false">IF(C1354="","",INDEX(Akaun!$D$5:$D$150,MATCH(C1354,Akaun!$A$5:$A$150,0)))</f>
        <v/>
      </c>
    </row>
    <row r="1355" customFormat="false" ht="15" hidden="false" customHeight="true" outlineLevel="0" collapsed="false">
      <c r="G1355" s="1" t="str">
        <f aca="false">IF(C1355="","",INDEX(Akaun!$F$5:$F$150,MATCH(C1355,Akaun!$A$5:$A$150,0)))</f>
        <v/>
      </c>
      <c r="H1355" s="1" t="str">
        <f aca="false">IF(C1355="","",INDEX(Akaun!$D$5:$D$150,MATCH(C1355,Akaun!$A$5:$A$150,0)))</f>
        <v/>
      </c>
    </row>
    <row r="1356" customFormat="false" ht="15" hidden="false" customHeight="true" outlineLevel="0" collapsed="false">
      <c r="G1356" s="1" t="str">
        <f aca="false">IF(C1356="","",INDEX(Akaun!$F$5:$F$150,MATCH(C1356,Akaun!$A$5:$A$150,0)))</f>
        <v/>
      </c>
      <c r="H1356" s="1" t="str">
        <f aca="false">IF(C1356="","",INDEX(Akaun!$D$5:$D$150,MATCH(C1356,Akaun!$A$5:$A$150,0)))</f>
        <v/>
      </c>
    </row>
    <row r="1357" customFormat="false" ht="15" hidden="false" customHeight="true" outlineLevel="0" collapsed="false">
      <c r="G1357" s="1" t="str">
        <f aca="false">IF(C1357="","",INDEX(Akaun!$F$5:$F$150,MATCH(C1357,Akaun!$A$5:$A$150,0)))</f>
        <v/>
      </c>
      <c r="H1357" s="1" t="str">
        <f aca="false">IF(C1357="","",INDEX(Akaun!$D$5:$D$150,MATCH(C1357,Akaun!$A$5:$A$150,0)))</f>
        <v/>
      </c>
    </row>
    <row r="1358" customFormat="false" ht="15" hidden="false" customHeight="true" outlineLevel="0" collapsed="false">
      <c r="G1358" s="1" t="str">
        <f aca="false">IF(C1358="","",INDEX(Akaun!$F$5:$F$150,MATCH(C1358,Akaun!$A$5:$A$150,0)))</f>
        <v/>
      </c>
      <c r="H1358" s="1" t="str">
        <f aca="false">IF(C1358="","",INDEX(Akaun!$D$5:$D$150,MATCH(C1358,Akaun!$A$5:$A$150,0)))</f>
        <v/>
      </c>
    </row>
    <row r="1359" customFormat="false" ht="15" hidden="false" customHeight="true" outlineLevel="0" collapsed="false">
      <c r="G1359" s="1" t="str">
        <f aca="false">IF(C1359="","",INDEX(Akaun!$F$5:$F$150,MATCH(C1359,Akaun!$A$5:$A$150,0)))</f>
        <v/>
      </c>
      <c r="H1359" s="1" t="str">
        <f aca="false">IF(C1359="","",INDEX(Akaun!$D$5:$D$150,MATCH(C1359,Akaun!$A$5:$A$150,0)))</f>
        <v/>
      </c>
    </row>
    <row r="1360" customFormat="false" ht="15" hidden="false" customHeight="true" outlineLevel="0" collapsed="false">
      <c r="G1360" s="1" t="str">
        <f aca="false">IF(C1360="","",INDEX(Akaun!$F$5:$F$150,MATCH(C1360,Akaun!$A$5:$A$150,0)))</f>
        <v/>
      </c>
      <c r="H1360" s="1" t="str">
        <f aca="false">IF(C1360="","",INDEX(Akaun!$D$5:$D$150,MATCH(C1360,Akaun!$A$5:$A$150,0)))</f>
        <v/>
      </c>
    </row>
    <row r="1361" customFormat="false" ht="15" hidden="false" customHeight="true" outlineLevel="0" collapsed="false">
      <c r="G1361" s="1" t="str">
        <f aca="false">IF(C1361="","",INDEX(Akaun!$F$5:$F$150,MATCH(C1361,Akaun!$A$5:$A$150,0)))</f>
        <v/>
      </c>
      <c r="H1361" s="1" t="str">
        <f aca="false">IF(C1361="","",INDEX(Akaun!$D$5:$D$150,MATCH(C1361,Akaun!$A$5:$A$150,0)))</f>
        <v/>
      </c>
    </row>
    <row r="1362" customFormat="false" ht="15" hidden="false" customHeight="true" outlineLevel="0" collapsed="false">
      <c r="G1362" s="1" t="str">
        <f aca="false">IF(C1362="","",INDEX(Akaun!$F$5:$F$150,MATCH(C1362,Akaun!$A$5:$A$150,0)))</f>
        <v/>
      </c>
      <c r="H1362" s="1" t="str">
        <f aca="false">IF(C1362="","",INDEX(Akaun!$D$5:$D$150,MATCH(C1362,Akaun!$A$5:$A$150,0)))</f>
        <v/>
      </c>
    </row>
    <row r="1363" customFormat="false" ht="15" hidden="false" customHeight="true" outlineLevel="0" collapsed="false">
      <c r="G1363" s="1" t="str">
        <f aca="false">IF(C1363="","",INDEX(Akaun!$F$5:$F$150,MATCH(C1363,Akaun!$A$5:$A$150,0)))</f>
        <v/>
      </c>
      <c r="H1363" s="1" t="str">
        <f aca="false">IF(C1363="","",INDEX(Akaun!$D$5:$D$150,MATCH(C1363,Akaun!$A$5:$A$150,0)))</f>
        <v/>
      </c>
    </row>
    <row r="1364" customFormat="false" ht="15" hidden="false" customHeight="true" outlineLevel="0" collapsed="false">
      <c r="G1364" s="1" t="str">
        <f aca="false">IF(C1364="","",INDEX(Akaun!$F$5:$F$150,MATCH(C1364,Akaun!$A$5:$A$150,0)))</f>
        <v/>
      </c>
      <c r="H1364" s="1" t="str">
        <f aca="false">IF(C1364="","",INDEX(Akaun!$D$5:$D$150,MATCH(C1364,Akaun!$A$5:$A$150,0)))</f>
        <v/>
      </c>
    </row>
    <row r="1365" customFormat="false" ht="15" hidden="false" customHeight="true" outlineLevel="0" collapsed="false">
      <c r="G1365" s="1" t="str">
        <f aca="false">IF(C1365="","",INDEX(Akaun!$F$5:$F$150,MATCH(C1365,Akaun!$A$5:$A$150,0)))</f>
        <v/>
      </c>
      <c r="H1365" s="1" t="str">
        <f aca="false">IF(C1365="","",INDEX(Akaun!$D$5:$D$150,MATCH(C1365,Akaun!$A$5:$A$150,0)))</f>
        <v/>
      </c>
    </row>
    <row r="1366" customFormat="false" ht="15" hidden="false" customHeight="true" outlineLevel="0" collapsed="false">
      <c r="G1366" s="1" t="str">
        <f aca="false">IF(C1366="","",INDEX(Akaun!$F$5:$F$150,MATCH(C1366,Akaun!$A$5:$A$150,0)))</f>
        <v/>
      </c>
      <c r="H1366" s="1" t="str">
        <f aca="false">IF(C1366="","",INDEX(Akaun!$D$5:$D$150,MATCH(C1366,Akaun!$A$5:$A$150,0)))</f>
        <v/>
      </c>
    </row>
    <row r="1367" customFormat="false" ht="15" hidden="false" customHeight="true" outlineLevel="0" collapsed="false">
      <c r="G1367" s="1" t="str">
        <f aca="false">IF(C1367="","",INDEX(Akaun!$F$5:$F$150,MATCH(C1367,Akaun!$A$5:$A$150,0)))</f>
        <v/>
      </c>
      <c r="H1367" s="1" t="str">
        <f aca="false">IF(C1367="","",INDEX(Akaun!$D$5:$D$150,MATCH(C1367,Akaun!$A$5:$A$150,0)))</f>
        <v/>
      </c>
    </row>
    <row r="1368" customFormat="false" ht="15" hidden="false" customHeight="true" outlineLevel="0" collapsed="false">
      <c r="G1368" s="1" t="str">
        <f aca="false">IF(C1368="","",INDEX(Akaun!$F$5:$F$150,MATCH(C1368,Akaun!$A$5:$A$150,0)))</f>
        <v/>
      </c>
      <c r="H1368" s="1" t="str">
        <f aca="false">IF(C1368="","",INDEX(Akaun!$D$5:$D$150,MATCH(C1368,Akaun!$A$5:$A$150,0)))</f>
        <v/>
      </c>
    </row>
    <row r="1369" customFormat="false" ht="15" hidden="false" customHeight="true" outlineLevel="0" collapsed="false">
      <c r="G1369" s="1" t="str">
        <f aca="false">IF(C1369="","",INDEX(Akaun!$F$5:$F$150,MATCH(C1369,Akaun!$A$5:$A$150,0)))</f>
        <v/>
      </c>
      <c r="H1369" s="1" t="str">
        <f aca="false">IF(C1369="","",INDEX(Akaun!$D$5:$D$150,MATCH(C1369,Akaun!$A$5:$A$150,0)))</f>
        <v/>
      </c>
    </row>
    <row r="1370" customFormat="false" ht="15" hidden="false" customHeight="true" outlineLevel="0" collapsed="false">
      <c r="G1370" s="1" t="str">
        <f aca="false">IF(C1370="","",INDEX(Akaun!$F$5:$F$150,MATCH(C1370,Akaun!$A$5:$A$150,0)))</f>
        <v/>
      </c>
      <c r="H1370" s="1" t="str">
        <f aca="false">IF(C1370="","",INDEX(Akaun!$D$5:$D$150,MATCH(C1370,Akaun!$A$5:$A$150,0)))</f>
        <v/>
      </c>
    </row>
    <row r="1371" customFormat="false" ht="15" hidden="false" customHeight="true" outlineLevel="0" collapsed="false">
      <c r="G1371" s="1" t="str">
        <f aca="false">IF(C1371="","",INDEX(Akaun!$F$5:$F$150,MATCH(C1371,Akaun!$A$5:$A$150,0)))</f>
        <v/>
      </c>
      <c r="H1371" s="1" t="str">
        <f aca="false">IF(C1371="","",INDEX(Akaun!$D$5:$D$150,MATCH(C1371,Akaun!$A$5:$A$150,0)))</f>
        <v/>
      </c>
    </row>
    <row r="1372" customFormat="false" ht="15" hidden="false" customHeight="true" outlineLevel="0" collapsed="false">
      <c r="G1372" s="1" t="str">
        <f aca="false">IF(C1372="","",INDEX(Akaun!$F$5:$F$150,MATCH(C1372,Akaun!$A$5:$A$150,0)))</f>
        <v/>
      </c>
      <c r="H1372" s="1" t="str">
        <f aca="false">IF(C1372="","",INDEX(Akaun!$D$5:$D$150,MATCH(C1372,Akaun!$A$5:$A$150,0)))</f>
        <v/>
      </c>
    </row>
    <row r="1373" customFormat="false" ht="15" hidden="false" customHeight="true" outlineLevel="0" collapsed="false">
      <c r="G1373" s="1" t="str">
        <f aca="false">IF(C1373="","",INDEX(Akaun!$F$5:$F$150,MATCH(C1373,Akaun!$A$5:$A$150,0)))</f>
        <v/>
      </c>
      <c r="H1373" s="1" t="str">
        <f aca="false">IF(C1373="","",INDEX(Akaun!$D$5:$D$150,MATCH(C1373,Akaun!$A$5:$A$150,0)))</f>
        <v/>
      </c>
    </row>
    <row r="1374" customFormat="false" ht="15" hidden="false" customHeight="true" outlineLevel="0" collapsed="false">
      <c r="G1374" s="1" t="str">
        <f aca="false">IF(C1374="","",INDEX(Akaun!$F$5:$F$150,MATCH(C1374,Akaun!$A$5:$A$150,0)))</f>
        <v/>
      </c>
      <c r="H1374" s="1" t="str">
        <f aca="false">IF(C1374="","",INDEX(Akaun!$D$5:$D$150,MATCH(C1374,Akaun!$A$5:$A$150,0)))</f>
        <v/>
      </c>
    </row>
    <row r="1375" customFormat="false" ht="15" hidden="false" customHeight="true" outlineLevel="0" collapsed="false">
      <c r="G1375" s="1" t="str">
        <f aca="false">IF(C1375="","",INDEX(Akaun!$F$5:$F$150,MATCH(C1375,Akaun!$A$5:$A$150,0)))</f>
        <v/>
      </c>
      <c r="H1375" s="1" t="str">
        <f aca="false">IF(C1375="","",INDEX(Akaun!$D$5:$D$150,MATCH(C1375,Akaun!$A$5:$A$150,0)))</f>
        <v/>
      </c>
    </row>
    <row r="1376" customFormat="false" ht="15" hidden="false" customHeight="true" outlineLevel="0" collapsed="false">
      <c r="G1376" s="1" t="str">
        <f aca="false">IF(C1376="","",INDEX(Akaun!$F$5:$F$150,MATCH(C1376,Akaun!$A$5:$A$150,0)))</f>
        <v/>
      </c>
      <c r="H1376" s="1" t="str">
        <f aca="false">IF(C1376="","",INDEX(Akaun!$D$5:$D$150,MATCH(C1376,Akaun!$A$5:$A$150,0)))</f>
        <v/>
      </c>
    </row>
    <row r="1377" customFormat="false" ht="15" hidden="false" customHeight="true" outlineLevel="0" collapsed="false">
      <c r="G1377" s="1" t="str">
        <f aca="false">IF(C1377="","",INDEX(Akaun!$F$5:$F$150,MATCH(C1377,Akaun!$A$5:$A$150,0)))</f>
        <v/>
      </c>
      <c r="H1377" s="1" t="str">
        <f aca="false">IF(C1377="","",INDEX(Akaun!$D$5:$D$150,MATCH(C1377,Akaun!$A$5:$A$150,0)))</f>
        <v/>
      </c>
    </row>
    <row r="1378" customFormat="false" ht="15" hidden="false" customHeight="true" outlineLevel="0" collapsed="false">
      <c r="G1378" s="1" t="str">
        <f aca="false">IF(C1378="","",INDEX(Akaun!$F$5:$F$150,MATCH(C1378,Akaun!$A$5:$A$150,0)))</f>
        <v/>
      </c>
      <c r="H1378" s="1" t="str">
        <f aca="false">IF(C1378="","",INDEX(Akaun!$D$5:$D$150,MATCH(C1378,Akaun!$A$5:$A$150,0)))</f>
        <v/>
      </c>
    </row>
    <row r="1379" customFormat="false" ht="15" hidden="false" customHeight="true" outlineLevel="0" collapsed="false">
      <c r="G1379" s="1" t="str">
        <f aca="false">IF(C1379="","",INDEX(Akaun!$F$5:$F$150,MATCH(C1379,Akaun!$A$5:$A$150,0)))</f>
        <v/>
      </c>
      <c r="H1379" s="1" t="str">
        <f aca="false">IF(C1379="","",INDEX(Akaun!$D$5:$D$150,MATCH(C1379,Akaun!$A$5:$A$150,0)))</f>
        <v/>
      </c>
    </row>
    <row r="1380" customFormat="false" ht="15" hidden="false" customHeight="true" outlineLevel="0" collapsed="false">
      <c r="G1380" s="1" t="str">
        <f aca="false">IF(C1380="","",INDEX(Akaun!$F$5:$F$150,MATCH(C1380,Akaun!$A$5:$A$150,0)))</f>
        <v/>
      </c>
      <c r="H1380" s="1" t="str">
        <f aca="false">IF(C1380="","",INDEX(Akaun!$D$5:$D$150,MATCH(C1380,Akaun!$A$5:$A$150,0)))</f>
        <v/>
      </c>
    </row>
    <row r="1381" customFormat="false" ht="15" hidden="false" customHeight="true" outlineLevel="0" collapsed="false">
      <c r="G1381" s="1" t="str">
        <f aca="false">IF(C1381="","",INDEX(Akaun!$F$5:$F$150,MATCH(C1381,Akaun!$A$5:$A$150,0)))</f>
        <v/>
      </c>
      <c r="H1381" s="1" t="str">
        <f aca="false">IF(C1381="","",INDEX(Akaun!$D$5:$D$150,MATCH(C1381,Akaun!$A$5:$A$150,0)))</f>
        <v/>
      </c>
    </row>
    <row r="1382" customFormat="false" ht="15" hidden="false" customHeight="true" outlineLevel="0" collapsed="false">
      <c r="G1382" s="1" t="str">
        <f aca="false">IF(C1382="","",INDEX(Akaun!$F$5:$F$150,MATCH(C1382,Akaun!$A$5:$A$150,0)))</f>
        <v/>
      </c>
      <c r="H1382" s="1" t="str">
        <f aca="false">IF(C1382="","",INDEX(Akaun!$D$5:$D$150,MATCH(C1382,Akaun!$A$5:$A$150,0)))</f>
        <v/>
      </c>
    </row>
    <row r="1383" customFormat="false" ht="15" hidden="false" customHeight="true" outlineLevel="0" collapsed="false">
      <c r="G1383" s="1" t="str">
        <f aca="false">IF(C1383="","",INDEX(Akaun!$F$5:$F$150,MATCH(C1383,Akaun!$A$5:$A$150,0)))</f>
        <v/>
      </c>
      <c r="H1383" s="1" t="str">
        <f aca="false">IF(C1383="","",INDEX(Akaun!$D$5:$D$150,MATCH(C1383,Akaun!$A$5:$A$150,0)))</f>
        <v/>
      </c>
    </row>
    <row r="1384" customFormat="false" ht="15" hidden="false" customHeight="true" outlineLevel="0" collapsed="false">
      <c r="G1384" s="1" t="str">
        <f aca="false">IF(C1384="","",INDEX(Akaun!$F$5:$F$150,MATCH(C1384,Akaun!$A$5:$A$150,0)))</f>
        <v/>
      </c>
      <c r="H1384" s="1" t="str">
        <f aca="false">IF(C1384="","",INDEX(Akaun!$D$5:$D$150,MATCH(C1384,Akaun!$A$5:$A$150,0)))</f>
        <v/>
      </c>
    </row>
    <row r="1385" customFormat="false" ht="15" hidden="false" customHeight="true" outlineLevel="0" collapsed="false">
      <c r="G1385" s="1" t="str">
        <f aca="false">IF(C1385="","",INDEX(Akaun!$F$5:$F$150,MATCH(C1385,Akaun!$A$5:$A$150,0)))</f>
        <v/>
      </c>
      <c r="H1385" s="1" t="str">
        <f aca="false">IF(C1385="","",INDEX(Akaun!$D$5:$D$150,MATCH(C1385,Akaun!$A$5:$A$150,0)))</f>
        <v/>
      </c>
    </row>
    <row r="1386" customFormat="false" ht="15" hidden="false" customHeight="true" outlineLevel="0" collapsed="false">
      <c r="G1386" s="1" t="str">
        <f aca="false">IF(C1386="","",INDEX(Akaun!$F$5:$F$150,MATCH(C1386,Akaun!$A$5:$A$150,0)))</f>
        <v/>
      </c>
      <c r="H1386" s="1" t="str">
        <f aca="false">IF(C1386="","",INDEX(Akaun!$D$5:$D$150,MATCH(C1386,Akaun!$A$5:$A$150,0)))</f>
        <v/>
      </c>
    </row>
    <row r="1387" customFormat="false" ht="15" hidden="false" customHeight="true" outlineLevel="0" collapsed="false">
      <c r="G1387" s="1" t="str">
        <f aca="false">IF(C1387="","",INDEX(Akaun!$F$5:$F$150,MATCH(C1387,Akaun!$A$5:$A$150,0)))</f>
        <v/>
      </c>
      <c r="H1387" s="1" t="str">
        <f aca="false">IF(C1387="","",INDEX(Akaun!$D$5:$D$150,MATCH(C1387,Akaun!$A$5:$A$150,0)))</f>
        <v/>
      </c>
    </row>
    <row r="1388" customFormat="false" ht="15" hidden="false" customHeight="true" outlineLevel="0" collapsed="false">
      <c r="G1388" s="1" t="str">
        <f aca="false">IF(C1388="","",INDEX(Akaun!$F$5:$F$150,MATCH(C1388,Akaun!$A$5:$A$150,0)))</f>
        <v/>
      </c>
      <c r="H1388" s="1" t="str">
        <f aca="false">IF(C1388="","",INDEX(Akaun!$D$5:$D$150,MATCH(C1388,Akaun!$A$5:$A$150,0)))</f>
        <v/>
      </c>
    </row>
    <row r="1389" customFormat="false" ht="15" hidden="false" customHeight="true" outlineLevel="0" collapsed="false">
      <c r="G1389" s="1" t="str">
        <f aca="false">IF(C1389="","",INDEX(Akaun!$F$5:$F$150,MATCH(C1389,Akaun!$A$5:$A$150,0)))</f>
        <v/>
      </c>
      <c r="H1389" s="1" t="str">
        <f aca="false">IF(C1389="","",INDEX(Akaun!$D$5:$D$150,MATCH(C1389,Akaun!$A$5:$A$150,0)))</f>
        <v/>
      </c>
    </row>
    <row r="1390" customFormat="false" ht="15" hidden="false" customHeight="true" outlineLevel="0" collapsed="false">
      <c r="G1390" s="1" t="str">
        <f aca="false">IF(C1390="","",INDEX(Akaun!$F$5:$F$150,MATCH(C1390,Akaun!$A$5:$A$150,0)))</f>
        <v/>
      </c>
      <c r="H1390" s="1" t="str">
        <f aca="false">IF(C1390="","",INDEX(Akaun!$D$5:$D$150,MATCH(C1390,Akaun!$A$5:$A$150,0)))</f>
        <v/>
      </c>
    </row>
    <row r="1391" customFormat="false" ht="15" hidden="false" customHeight="true" outlineLevel="0" collapsed="false">
      <c r="G1391" s="1" t="str">
        <f aca="false">IF(C1391="","",INDEX(Akaun!$F$5:$F$150,MATCH(C1391,Akaun!$A$5:$A$150,0)))</f>
        <v/>
      </c>
      <c r="H1391" s="1" t="str">
        <f aca="false">IF(C1391="","",INDEX(Akaun!$D$5:$D$150,MATCH(C1391,Akaun!$A$5:$A$150,0)))</f>
        <v/>
      </c>
    </row>
    <row r="1392" customFormat="false" ht="15" hidden="false" customHeight="true" outlineLevel="0" collapsed="false">
      <c r="G1392" s="1" t="str">
        <f aca="false">IF(C1392="","",INDEX(Akaun!$F$5:$F$150,MATCH(C1392,Akaun!$A$5:$A$150,0)))</f>
        <v/>
      </c>
      <c r="H1392" s="1" t="str">
        <f aca="false">IF(C1392="","",INDEX(Akaun!$D$5:$D$150,MATCH(C1392,Akaun!$A$5:$A$150,0)))</f>
        <v/>
      </c>
    </row>
    <row r="1393" customFormat="false" ht="15" hidden="false" customHeight="true" outlineLevel="0" collapsed="false">
      <c r="G1393" s="1" t="str">
        <f aca="false">IF(C1393="","",INDEX(Akaun!$F$5:$F$150,MATCH(C1393,Akaun!$A$5:$A$150,0)))</f>
        <v/>
      </c>
      <c r="H1393" s="1" t="str">
        <f aca="false">IF(C1393="","",INDEX(Akaun!$D$5:$D$150,MATCH(C1393,Akaun!$A$5:$A$150,0)))</f>
        <v/>
      </c>
    </row>
    <row r="1394" customFormat="false" ht="15" hidden="false" customHeight="true" outlineLevel="0" collapsed="false">
      <c r="G1394" s="1" t="str">
        <f aca="false">IF(C1394="","",INDEX(Akaun!$F$5:$F$150,MATCH(C1394,Akaun!$A$5:$A$150,0)))</f>
        <v/>
      </c>
      <c r="H1394" s="1" t="str">
        <f aca="false">IF(C1394="","",INDEX(Akaun!$D$5:$D$150,MATCH(C1394,Akaun!$A$5:$A$150,0)))</f>
        <v/>
      </c>
    </row>
    <row r="1395" customFormat="false" ht="15" hidden="false" customHeight="true" outlineLevel="0" collapsed="false">
      <c r="G1395" s="1" t="str">
        <f aca="false">IF(C1395="","",INDEX(Akaun!$F$5:$F$150,MATCH(C1395,Akaun!$A$5:$A$150,0)))</f>
        <v/>
      </c>
      <c r="H1395" s="1" t="str">
        <f aca="false">IF(C1395="","",INDEX(Akaun!$D$5:$D$150,MATCH(C1395,Akaun!$A$5:$A$150,0)))</f>
        <v/>
      </c>
    </row>
    <row r="1396" customFormat="false" ht="15" hidden="false" customHeight="true" outlineLevel="0" collapsed="false">
      <c r="G1396" s="1" t="str">
        <f aca="false">IF(C1396="","",INDEX(Akaun!$F$5:$F$150,MATCH(C1396,Akaun!$A$5:$A$150,0)))</f>
        <v/>
      </c>
      <c r="H1396" s="1" t="str">
        <f aca="false">IF(C1396="","",INDEX(Akaun!$D$5:$D$150,MATCH(C1396,Akaun!$A$5:$A$150,0)))</f>
        <v/>
      </c>
    </row>
    <row r="1397" customFormat="false" ht="15" hidden="false" customHeight="true" outlineLevel="0" collapsed="false">
      <c r="G1397" s="1" t="str">
        <f aca="false">IF(C1397="","",INDEX(Akaun!$F$5:$F$150,MATCH(C1397,Akaun!$A$5:$A$150,0)))</f>
        <v/>
      </c>
      <c r="H1397" s="1" t="str">
        <f aca="false">IF(C1397="","",INDEX(Akaun!$D$5:$D$150,MATCH(C1397,Akaun!$A$5:$A$150,0)))</f>
        <v/>
      </c>
    </row>
    <row r="1398" customFormat="false" ht="15" hidden="false" customHeight="true" outlineLevel="0" collapsed="false">
      <c r="G1398" s="1" t="str">
        <f aca="false">IF(C1398="","",INDEX(Akaun!$F$5:$F$150,MATCH(C1398,Akaun!$A$5:$A$150,0)))</f>
        <v/>
      </c>
      <c r="H1398" s="1" t="str">
        <f aca="false">IF(C1398="","",INDEX(Akaun!$D$5:$D$150,MATCH(C1398,Akaun!$A$5:$A$150,0)))</f>
        <v/>
      </c>
    </row>
    <row r="1399" customFormat="false" ht="15" hidden="false" customHeight="true" outlineLevel="0" collapsed="false">
      <c r="G1399" s="1" t="str">
        <f aca="false">IF(C1399="","",INDEX(Akaun!$F$5:$F$150,MATCH(C1399,Akaun!$A$5:$A$150,0)))</f>
        <v/>
      </c>
      <c r="H1399" s="1" t="str">
        <f aca="false">IF(C1399="","",INDEX(Akaun!$D$5:$D$150,MATCH(C1399,Akaun!$A$5:$A$150,0)))</f>
        <v/>
      </c>
    </row>
    <row r="1400" customFormat="false" ht="15" hidden="false" customHeight="true" outlineLevel="0" collapsed="false">
      <c r="G1400" s="1" t="str">
        <f aca="false">IF(C1400="","",INDEX(Akaun!$F$5:$F$150,MATCH(C1400,Akaun!$A$5:$A$150,0)))</f>
        <v/>
      </c>
      <c r="H1400" s="1" t="str">
        <f aca="false">IF(C1400="","",INDEX(Akaun!$D$5:$D$150,MATCH(C1400,Akaun!$A$5:$A$150,0)))</f>
        <v/>
      </c>
    </row>
    <row r="1401" customFormat="false" ht="15" hidden="false" customHeight="true" outlineLevel="0" collapsed="false">
      <c r="G1401" s="1" t="str">
        <f aca="false">IF(C1401="","",INDEX(Akaun!$F$5:$F$150,MATCH(C1401,Akaun!$A$5:$A$150,0)))</f>
        <v/>
      </c>
      <c r="H1401" s="1" t="str">
        <f aca="false">IF(C1401="","",INDEX(Akaun!$D$5:$D$150,MATCH(C1401,Akaun!$A$5:$A$150,0)))</f>
        <v/>
      </c>
    </row>
    <row r="1402" customFormat="false" ht="15" hidden="false" customHeight="true" outlineLevel="0" collapsed="false">
      <c r="G1402" s="1" t="str">
        <f aca="false">IF(C1402="","",INDEX(Akaun!$F$5:$F$150,MATCH(C1402,Akaun!$A$5:$A$150,0)))</f>
        <v/>
      </c>
      <c r="H1402" s="1" t="str">
        <f aca="false">IF(C1402="","",INDEX(Akaun!$D$5:$D$150,MATCH(C1402,Akaun!$A$5:$A$150,0)))</f>
        <v/>
      </c>
    </row>
    <row r="1403" customFormat="false" ht="15" hidden="false" customHeight="true" outlineLevel="0" collapsed="false">
      <c r="G1403" s="1" t="str">
        <f aca="false">IF(C1403="","",INDEX(Akaun!$F$5:$F$150,MATCH(C1403,Akaun!$A$5:$A$150,0)))</f>
        <v/>
      </c>
      <c r="H1403" s="1" t="str">
        <f aca="false">IF(C1403="","",INDEX(Akaun!$D$5:$D$150,MATCH(C1403,Akaun!$A$5:$A$150,0)))</f>
        <v/>
      </c>
    </row>
    <row r="1404" customFormat="false" ht="15" hidden="false" customHeight="true" outlineLevel="0" collapsed="false">
      <c r="G1404" s="1" t="str">
        <f aca="false">IF(C1404="","",INDEX(Akaun!$F$5:$F$150,MATCH(C1404,Akaun!$A$5:$A$150,0)))</f>
        <v/>
      </c>
      <c r="H1404" s="1" t="str">
        <f aca="false">IF(C1404="","",INDEX(Akaun!$D$5:$D$150,MATCH(C1404,Akaun!$A$5:$A$150,0)))</f>
        <v/>
      </c>
    </row>
    <row r="1405" customFormat="false" ht="15" hidden="false" customHeight="true" outlineLevel="0" collapsed="false">
      <c r="G1405" s="1" t="str">
        <f aca="false">IF(C1405="","",INDEX(Akaun!$F$5:$F$150,MATCH(C1405,Akaun!$A$5:$A$150,0)))</f>
        <v/>
      </c>
      <c r="H1405" s="1" t="str">
        <f aca="false">IF(C1405="","",INDEX(Akaun!$D$5:$D$150,MATCH(C1405,Akaun!$A$5:$A$150,0)))</f>
        <v/>
      </c>
    </row>
    <row r="1406" customFormat="false" ht="15" hidden="false" customHeight="true" outlineLevel="0" collapsed="false">
      <c r="G1406" s="1" t="str">
        <f aca="false">IF(C1406="","",INDEX(Akaun!$F$5:$F$150,MATCH(C1406,Akaun!$A$5:$A$150,0)))</f>
        <v/>
      </c>
      <c r="H1406" s="1" t="str">
        <f aca="false">IF(C1406="","",INDEX(Akaun!$D$5:$D$150,MATCH(C1406,Akaun!$A$5:$A$150,0)))</f>
        <v/>
      </c>
    </row>
    <row r="1407" customFormat="false" ht="15" hidden="false" customHeight="true" outlineLevel="0" collapsed="false">
      <c r="G1407" s="1" t="str">
        <f aca="false">IF(C1407="","",INDEX(Akaun!$F$5:$F$150,MATCH(C1407,Akaun!$A$5:$A$150,0)))</f>
        <v/>
      </c>
      <c r="H1407" s="1" t="str">
        <f aca="false">IF(C1407="","",INDEX(Akaun!$D$5:$D$150,MATCH(C1407,Akaun!$A$5:$A$150,0)))</f>
        <v/>
      </c>
    </row>
    <row r="1408" customFormat="false" ht="15" hidden="false" customHeight="true" outlineLevel="0" collapsed="false">
      <c r="G1408" s="1" t="str">
        <f aca="false">IF(C1408="","",INDEX(Akaun!$F$5:$F$150,MATCH(C1408,Akaun!$A$5:$A$150,0)))</f>
        <v/>
      </c>
      <c r="H1408" s="1" t="str">
        <f aca="false">IF(C1408="","",INDEX(Akaun!$D$5:$D$150,MATCH(C1408,Akaun!$A$5:$A$150,0)))</f>
        <v/>
      </c>
    </row>
    <row r="1409" customFormat="false" ht="15" hidden="false" customHeight="true" outlineLevel="0" collapsed="false">
      <c r="G1409" s="1" t="str">
        <f aca="false">IF(C1409="","",INDEX(Akaun!$F$5:$F$150,MATCH(C1409,Akaun!$A$5:$A$150,0)))</f>
        <v/>
      </c>
      <c r="H1409" s="1" t="str">
        <f aca="false">IF(C1409="","",INDEX(Akaun!$D$5:$D$150,MATCH(C1409,Akaun!$A$5:$A$150,0)))</f>
        <v/>
      </c>
    </row>
    <row r="1410" customFormat="false" ht="15" hidden="false" customHeight="true" outlineLevel="0" collapsed="false">
      <c r="G1410" s="1" t="str">
        <f aca="false">IF(C1410="","",INDEX(Akaun!$F$5:$F$150,MATCH(C1410,Akaun!$A$5:$A$150,0)))</f>
        <v/>
      </c>
      <c r="H1410" s="1" t="str">
        <f aca="false">IF(C1410="","",INDEX(Akaun!$D$5:$D$150,MATCH(C1410,Akaun!$A$5:$A$150,0)))</f>
        <v/>
      </c>
    </row>
    <row r="1411" customFormat="false" ht="15" hidden="false" customHeight="true" outlineLevel="0" collapsed="false">
      <c r="G1411" s="1" t="str">
        <f aca="false">IF(C1411="","",INDEX(Akaun!$F$5:$F$150,MATCH(C1411,Akaun!$A$5:$A$150,0)))</f>
        <v/>
      </c>
      <c r="H1411" s="1" t="str">
        <f aca="false">IF(C1411="","",INDEX(Akaun!$D$5:$D$150,MATCH(C1411,Akaun!$A$5:$A$150,0)))</f>
        <v/>
      </c>
    </row>
    <row r="1412" customFormat="false" ht="15" hidden="false" customHeight="true" outlineLevel="0" collapsed="false">
      <c r="G1412" s="1" t="str">
        <f aca="false">IF(C1412="","",INDEX(Akaun!$F$5:$F$150,MATCH(C1412,Akaun!$A$5:$A$150,0)))</f>
        <v/>
      </c>
      <c r="H1412" s="1" t="str">
        <f aca="false">IF(C1412="","",INDEX(Akaun!$D$5:$D$150,MATCH(C1412,Akaun!$A$5:$A$150,0)))</f>
        <v/>
      </c>
    </row>
    <row r="1413" customFormat="false" ht="15" hidden="false" customHeight="true" outlineLevel="0" collapsed="false">
      <c r="G1413" s="1" t="str">
        <f aca="false">IF(C1413="","",INDEX(Akaun!$F$5:$F$150,MATCH(C1413,Akaun!$A$5:$A$150,0)))</f>
        <v/>
      </c>
      <c r="H1413" s="1" t="str">
        <f aca="false">IF(C1413="","",INDEX(Akaun!$D$5:$D$150,MATCH(C1413,Akaun!$A$5:$A$150,0)))</f>
        <v/>
      </c>
    </row>
    <row r="1414" customFormat="false" ht="15" hidden="false" customHeight="true" outlineLevel="0" collapsed="false">
      <c r="G1414" s="1" t="str">
        <f aca="false">IF(C1414="","",INDEX(Akaun!$F$5:$F$150,MATCH(C1414,Akaun!$A$5:$A$150,0)))</f>
        <v/>
      </c>
      <c r="H1414" s="1" t="str">
        <f aca="false">IF(C1414="","",INDEX(Akaun!$D$5:$D$150,MATCH(C1414,Akaun!$A$5:$A$150,0)))</f>
        <v/>
      </c>
    </row>
    <row r="1415" customFormat="false" ht="15" hidden="false" customHeight="true" outlineLevel="0" collapsed="false">
      <c r="G1415" s="1" t="str">
        <f aca="false">IF(C1415="","",INDEX(Akaun!$F$5:$F$150,MATCH(C1415,Akaun!$A$5:$A$150,0)))</f>
        <v/>
      </c>
      <c r="H1415" s="1" t="str">
        <f aca="false">IF(C1415="","",INDEX(Akaun!$D$5:$D$150,MATCH(C1415,Akaun!$A$5:$A$150,0)))</f>
        <v/>
      </c>
    </row>
    <row r="1416" customFormat="false" ht="15" hidden="false" customHeight="true" outlineLevel="0" collapsed="false">
      <c r="G1416" s="1" t="str">
        <f aca="false">IF(C1416="","",INDEX(Akaun!$F$5:$F$150,MATCH(C1416,Akaun!$A$5:$A$150,0)))</f>
        <v/>
      </c>
      <c r="H1416" s="1" t="str">
        <f aca="false">IF(C1416="","",INDEX(Akaun!$D$5:$D$150,MATCH(C1416,Akaun!$A$5:$A$150,0)))</f>
        <v/>
      </c>
    </row>
    <row r="1417" customFormat="false" ht="15" hidden="false" customHeight="true" outlineLevel="0" collapsed="false">
      <c r="G1417" s="1" t="str">
        <f aca="false">IF(C1417="","",INDEX(Akaun!$F$5:$F$150,MATCH(C1417,Akaun!$A$5:$A$150,0)))</f>
        <v/>
      </c>
      <c r="H1417" s="1" t="str">
        <f aca="false">IF(C1417="","",INDEX(Akaun!$D$5:$D$150,MATCH(C1417,Akaun!$A$5:$A$150,0)))</f>
        <v/>
      </c>
    </row>
    <row r="1418" customFormat="false" ht="15" hidden="false" customHeight="true" outlineLevel="0" collapsed="false">
      <c r="G1418" s="1" t="str">
        <f aca="false">IF(C1418="","",INDEX(Akaun!$F$5:$F$150,MATCH(C1418,Akaun!$A$5:$A$150,0)))</f>
        <v/>
      </c>
      <c r="H1418" s="1" t="str">
        <f aca="false">IF(C1418="","",INDEX(Akaun!$D$5:$D$150,MATCH(C1418,Akaun!$A$5:$A$150,0)))</f>
        <v/>
      </c>
    </row>
    <row r="1419" customFormat="false" ht="15" hidden="false" customHeight="true" outlineLevel="0" collapsed="false">
      <c r="G1419" s="1" t="str">
        <f aca="false">IF(C1419="","",INDEX(Akaun!$F$5:$F$150,MATCH(C1419,Akaun!$A$5:$A$150,0)))</f>
        <v/>
      </c>
      <c r="H1419" s="1" t="str">
        <f aca="false">IF(C1419="","",INDEX(Akaun!$D$5:$D$150,MATCH(C1419,Akaun!$A$5:$A$150,0)))</f>
        <v/>
      </c>
    </row>
    <row r="1420" customFormat="false" ht="15" hidden="false" customHeight="true" outlineLevel="0" collapsed="false">
      <c r="G1420" s="1" t="str">
        <f aca="false">IF(C1420="","",INDEX(Akaun!$F$5:$F$150,MATCH(C1420,Akaun!$A$5:$A$150,0)))</f>
        <v/>
      </c>
      <c r="H1420" s="1" t="str">
        <f aca="false">IF(C1420="","",INDEX(Akaun!$D$5:$D$150,MATCH(C1420,Akaun!$A$5:$A$150,0)))</f>
        <v/>
      </c>
    </row>
    <row r="1421" customFormat="false" ht="15" hidden="false" customHeight="true" outlineLevel="0" collapsed="false">
      <c r="G1421" s="1" t="str">
        <f aca="false">IF(C1421="","",INDEX(Akaun!$F$5:$F$150,MATCH(C1421,Akaun!$A$5:$A$150,0)))</f>
        <v/>
      </c>
      <c r="H1421" s="1" t="str">
        <f aca="false">IF(C1421="","",INDEX(Akaun!$D$5:$D$150,MATCH(C1421,Akaun!$A$5:$A$150,0)))</f>
        <v/>
      </c>
    </row>
    <row r="1422" customFormat="false" ht="15" hidden="false" customHeight="true" outlineLevel="0" collapsed="false">
      <c r="G1422" s="1" t="str">
        <f aca="false">IF(C1422="","",INDEX(Akaun!$F$5:$F$150,MATCH(C1422,Akaun!$A$5:$A$150,0)))</f>
        <v/>
      </c>
      <c r="H1422" s="1" t="str">
        <f aca="false">IF(C1422="","",INDEX(Akaun!$D$5:$D$150,MATCH(C1422,Akaun!$A$5:$A$150,0)))</f>
        <v/>
      </c>
    </row>
    <row r="1423" customFormat="false" ht="15" hidden="false" customHeight="true" outlineLevel="0" collapsed="false">
      <c r="G1423" s="1" t="str">
        <f aca="false">IF(C1423="","",INDEX(Akaun!$F$5:$F$150,MATCH(C1423,Akaun!$A$5:$A$150,0)))</f>
        <v/>
      </c>
      <c r="H1423" s="1" t="str">
        <f aca="false">IF(C1423="","",INDEX(Akaun!$D$5:$D$150,MATCH(C1423,Akaun!$A$5:$A$150,0)))</f>
        <v/>
      </c>
    </row>
    <row r="1424" customFormat="false" ht="15" hidden="false" customHeight="true" outlineLevel="0" collapsed="false">
      <c r="G1424" s="1" t="str">
        <f aca="false">IF(C1424="","",INDEX(Akaun!$F$5:$F$150,MATCH(C1424,Akaun!$A$5:$A$150,0)))</f>
        <v/>
      </c>
      <c r="H1424" s="1" t="str">
        <f aca="false">IF(C1424="","",INDEX(Akaun!$D$5:$D$150,MATCH(C1424,Akaun!$A$5:$A$150,0)))</f>
        <v/>
      </c>
    </row>
    <row r="1425" customFormat="false" ht="15" hidden="false" customHeight="true" outlineLevel="0" collapsed="false">
      <c r="G1425" s="1" t="str">
        <f aca="false">IF(C1425="","",INDEX(Akaun!$F$5:$F$150,MATCH(C1425,Akaun!$A$5:$A$150,0)))</f>
        <v/>
      </c>
      <c r="H1425" s="1" t="str">
        <f aca="false">IF(C1425="","",INDEX(Akaun!$D$5:$D$150,MATCH(C1425,Akaun!$A$5:$A$150,0)))</f>
        <v/>
      </c>
    </row>
    <row r="1426" customFormat="false" ht="15" hidden="false" customHeight="true" outlineLevel="0" collapsed="false">
      <c r="G1426" s="1" t="str">
        <f aca="false">IF(C1426="","",INDEX(Akaun!$F$5:$F$150,MATCH(C1426,Akaun!$A$5:$A$150,0)))</f>
        <v/>
      </c>
      <c r="H1426" s="1" t="str">
        <f aca="false">IF(C1426="","",INDEX(Akaun!$D$5:$D$150,MATCH(C1426,Akaun!$A$5:$A$150,0)))</f>
        <v/>
      </c>
    </row>
    <row r="1427" customFormat="false" ht="15" hidden="false" customHeight="true" outlineLevel="0" collapsed="false">
      <c r="G1427" s="1" t="str">
        <f aca="false">IF(C1427="","",INDEX(Akaun!$F$5:$F$150,MATCH(C1427,Akaun!$A$5:$A$150,0)))</f>
        <v/>
      </c>
      <c r="H1427" s="1" t="str">
        <f aca="false">IF(C1427="","",INDEX(Akaun!$D$5:$D$150,MATCH(C1427,Akaun!$A$5:$A$150,0)))</f>
        <v/>
      </c>
    </row>
    <row r="1428" customFormat="false" ht="15" hidden="false" customHeight="true" outlineLevel="0" collapsed="false">
      <c r="G1428" s="1" t="str">
        <f aca="false">IF(C1428="","",INDEX(Akaun!$F$5:$F$150,MATCH(C1428,Akaun!$A$5:$A$150,0)))</f>
        <v/>
      </c>
      <c r="H1428" s="1" t="str">
        <f aca="false">IF(C1428="","",INDEX(Akaun!$D$5:$D$150,MATCH(C1428,Akaun!$A$5:$A$150,0)))</f>
        <v/>
      </c>
    </row>
    <row r="1429" customFormat="false" ht="15" hidden="false" customHeight="true" outlineLevel="0" collapsed="false">
      <c r="G1429" s="1" t="str">
        <f aca="false">IF(C1429="","",INDEX(Akaun!$F$5:$F$150,MATCH(C1429,Akaun!$A$5:$A$150,0)))</f>
        <v/>
      </c>
      <c r="H1429" s="1" t="str">
        <f aca="false">IF(C1429="","",INDEX(Akaun!$D$5:$D$150,MATCH(C1429,Akaun!$A$5:$A$150,0)))</f>
        <v/>
      </c>
    </row>
    <row r="1430" customFormat="false" ht="15" hidden="false" customHeight="true" outlineLevel="0" collapsed="false">
      <c r="G1430" s="1" t="str">
        <f aca="false">IF(C1430="","",INDEX(Akaun!$F$5:$F$150,MATCH(C1430,Akaun!$A$5:$A$150,0)))</f>
        <v/>
      </c>
      <c r="H1430" s="1" t="str">
        <f aca="false">IF(C1430="","",INDEX(Akaun!$D$5:$D$150,MATCH(C1430,Akaun!$A$5:$A$150,0)))</f>
        <v/>
      </c>
    </row>
    <row r="1431" customFormat="false" ht="15" hidden="false" customHeight="true" outlineLevel="0" collapsed="false">
      <c r="G1431" s="1" t="str">
        <f aca="false">IF(C1431="","",INDEX(Akaun!$F$5:$F$150,MATCH(C1431,Akaun!$A$5:$A$150,0)))</f>
        <v/>
      </c>
      <c r="H1431" s="1" t="str">
        <f aca="false">IF(C1431="","",INDEX(Akaun!$D$5:$D$150,MATCH(C1431,Akaun!$A$5:$A$150,0)))</f>
        <v/>
      </c>
    </row>
    <row r="1432" customFormat="false" ht="15" hidden="false" customHeight="true" outlineLevel="0" collapsed="false">
      <c r="G1432" s="1" t="str">
        <f aca="false">IF(C1432="","",INDEX(Akaun!$F$5:$F$150,MATCH(C1432,Akaun!$A$5:$A$150,0)))</f>
        <v/>
      </c>
      <c r="H1432" s="1" t="str">
        <f aca="false">IF(C1432="","",INDEX(Akaun!$D$5:$D$150,MATCH(C1432,Akaun!$A$5:$A$150,0)))</f>
        <v/>
      </c>
    </row>
    <row r="1433" customFormat="false" ht="15" hidden="false" customHeight="true" outlineLevel="0" collapsed="false">
      <c r="G1433" s="1" t="str">
        <f aca="false">IF(C1433="","",INDEX(Akaun!$F$5:$F$150,MATCH(C1433,Akaun!$A$5:$A$150,0)))</f>
        <v/>
      </c>
      <c r="H1433" s="1" t="str">
        <f aca="false">IF(C1433="","",INDEX(Akaun!$D$5:$D$150,MATCH(C1433,Akaun!$A$5:$A$150,0)))</f>
        <v/>
      </c>
    </row>
    <row r="1434" customFormat="false" ht="15" hidden="false" customHeight="true" outlineLevel="0" collapsed="false">
      <c r="G1434" s="1" t="str">
        <f aca="false">IF(C1434="","",INDEX(Akaun!$F$5:$F$150,MATCH(C1434,Akaun!$A$5:$A$150,0)))</f>
        <v/>
      </c>
      <c r="H1434" s="1" t="str">
        <f aca="false">IF(C1434="","",INDEX(Akaun!$D$5:$D$150,MATCH(C1434,Akaun!$A$5:$A$150,0)))</f>
        <v/>
      </c>
    </row>
    <row r="1435" customFormat="false" ht="15" hidden="false" customHeight="true" outlineLevel="0" collapsed="false">
      <c r="G1435" s="1" t="str">
        <f aca="false">IF(C1435="","",INDEX(Akaun!$F$5:$F$150,MATCH(C1435,Akaun!$A$5:$A$150,0)))</f>
        <v/>
      </c>
      <c r="H1435" s="1" t="str">
        <f aca="false">IF(C1435="","",INDEX(Akaun!$D$5:$D$150,MATCH(C1435,Akaun!$A$5:$A$150,0)))</f>
        <v/>
      </c>
    </row>
    <row r="1436" customFormat="false" ht="15" hidden="false" customHeight="true" outlineLevel="0" collapsed="false">
      <c r="G1436" s="1" t="str">
        <f aca="false">IF(C1436="","",INDEX(Akaun!$F$5:$F$150,MATCH(C1436,Akaun!$A$5:$A$150,0)))</f>
        <v/>
      </c>
      <c r="H1436" s="1" t="str">
        <f aca="false">IF(C1436="","",INDEX(Akaun!$D$5:$D$150,MATCH(C1436,Akaun!$A$5:$A$150,0)))</f>
        <v/>
      </c>
    </row>
    <row r="1437" customFormat="false" ht="15" hidden="false" customHeight="true" outlineLevel="0" collapsed="false">
      <c r="G1437" s="1" t="str">
        <f aca="false">IF(C1437="","",INDEX(Akaun!$F$5:$F$150,MATCH(C1437,Akaun!$A$5:$A$150,0)))</f>
        <v/>
      </c>
      <c r="H1437" s="1" t="str">
        <f aca="false">IF(C1437="","",INDEX(Akaun!$D$5:$D$150,MATCH(C1437,Akaun!$A$5:$A$150,0)))</f>
        <v/>
      </c>
    </row>
    <row r="1438" customFormat="false" ht="15" hidden="false" customHeight="true" outlineLevel="0" collapsed="false">
      <c r="G1438" s="1" t="str">
        <f aca="false">IF(C1438="","",INDEX(Akaun!$F$5:$F$150,MATCH(C1438,Akaun!$A$5:$A$150,0)))</f>
        <v/>
      </c>
      <c r="H1438" s="1" t="str">
        <f aca="false">IF(C1438="","",INDEX(Akaun!$D$5:$D$150,MATCH(C1438,Akaun!$A$5:$A$150,0)))</f>
        <v/>
      </c>
    </row>
    <row r="1439" customFormat="false" ht="15" hidden="false" customHeight="true" outlineLevel="0" collapsed="false">
      <c r="G1439" s="1" t="str">
        <f aca="false">IF(C1439="","",INDEX(Akaun!$F$5:$F$150,MATCH(C1439,Akaun!$A$5:$A$150,0)))</f>
        <v/>
      </c>
      <c r="H1439" s="1" t="str">
        <f aca="false">IF(C1439="","",INDEX(Akaun!$D$5:$D$150,MATCH(C1439,Akaun!$A$5:$A$150,0)))</f>
        <v/>
      </c>
    </row>
    <row r="1440" customFormat="false" ht="15" hidden="false" customHeight="true" outlineLevel="0" collapsed="false">
      <c r="G1440" s="1" t="str">
        <f aca="false">IF(C1440="","",INDEX(Akaun!$F$5:$F$150,MATCH(C1440,Akaun!$A$5:$A$150,0)))</f>
        <v/>
      </c>
      <c r="H1440" s="1" t="str">
        <f aca="false">IF(C1440="","",INDEX(Akaun!$D$5:$D$150,MATCH(C1440,Akaun!$A$5:$A$150,0)))</f>
        <v/>
      </c>
    </row>
    <row r="1441" customFormat="false" ht="15" hidden="false" customHeight="true" outlineLevel="0" collapsed="false">
      <c r="G1441" s="1" t="str">
        <f aca="false">IF(C1441="","",INDEX(Akaun!$F$5:$F$150,MATCH(C1441,Akaun!$A$5:$A$150,0)))</f>
        <v/>
      </c>
      <c r="H1441" s="1" t="str">
        <f aca="false">IF(C1441="","",INDEX(Akaun!$D$5:$D$150,MATCH(C1441,Akaun!$A$5:$A$150,0)))</f>
        <v/>
      </c>
    </row>
    <row r="1442" customFormat="false" ht="15" hidden="false" customHeight="true" outlineLevel="0" collapsed="false">
      <c r="G1442" s="1" t="str">
        <f aca="false">IF(C1442="","",INDEX(Akaun!$F$5:$F$150,MATCH(C1442,Akaun!$A$5:$A$150,0)))</f>
        <v/>
      </c>
      <c r="H1442" s="1" t="str">
        <f aca="false">IF(C1442="","",INDEX(Akaun!$D$5:$D$150,MATCH(C1442,Akaun!$A$5:$A$150,0)))</f>
        <v/>
      </c>
    </row>
    <row r="1443" customFormat="false" ht="15" hidden="false" customHeight="true" outlineLevel="0" collapsed="false">
      <c r="G1443" s="1" t="str">
        <f aca="false">IF(C1443="","",INDEX(Akaun!$F$5:$F$150,MATCH(C1443,Akaun!$A$5:$A$150,0)))</f>
        <v/>
      </c>
      <c r="H1443" s="1" t="str">
        <f aca="false">IF(C1443="","",INDEX(Akaun!$D$5:$D$150,MATCH(C1443,Akaun!$A$5:$A$150,0)))</f>
        <v/>
      </c>
    </row>
    <row r="1444" customFormat="false" ht="15" hidden="false" customHeight="true" outlineLevel="0" collapsed="false">
      <c r="G1444" s="1" t="str">
        <f aca="false">IF(C1444="","",INDEX(Akaun!$F$5:$F$150,MATCH(C1444,Akaun!$A$5:$A$150,0)))</f>
        <v/>
      </c>
      <c r="H1444" s="1" t="str">
        <f aca="false">IF(C1444="","",INDEX(Akaun!$D$5:$D$150,MATCH(C1444,Akaun!$A$5:$A$150,0)))</f>
        <v/>
      </c>
    </row>
    <row r="1445" customFormat="false" ht="15" hidden="false" customHeight="true" outlineLevel="0" collapsed="false">
      <c r="G1445" s="1" t="str">
        <f aca="false">IF(C1445="","",INDEX(Akaun!$F$5:$F$150,MATCH(C1445,Akaun!$A$5:$A$150,0)))</f>
        <v/>
      </c>
      <c r="H1445" s="1" t="str">
        <f aca="false">IF(C1445="","",INDEX(Akaun!$D$5:$D$150,MATCH(C1445,Akaun!$A$5:$A$150,0)))</f>
        <v/>
      </c>
    </row>
    <row r="1446" customFormat="false" ht="15" hidden="false" customHeight="true" outlineLevel="0" collapsed="false">
      <c r="G1446" s="1" t="str">
        <f aca="false">IF(C1446="","",INDEX(Akaun!$F$5:$F$150,MATCH(C1446,Akaun!$A$5:$A$150,0)))</f>
        <v/>
      </c>
      <c r="H1446" s="1" t="str">
        <f aca="false">IF(C1446="","",INDEX(Akaun!$D$5:$D$150,MATCH(C1446,Akaun!$A$5:$A$150,0)))</f>
        <v/>
      </c>
    </row>
    <row r="1447" customFormat="false" ht="15" hidden="false" customHeight="true" outlineLevel="0" collapsed="false">
      <c r="G1447" s="1" t="str">
        <f aca="false">IF(C1447="","",INDEX(Akaun!$F$5:$F$150,MATCH(C1447,Akaun!$A$5:$A$150,0)))</f>
        <v/>
      </c>
      <c r="H1447" s="1" t="str">
        <f aca="false">IF(C1447="","",INDEX(Akaun!$D$5:$D$150,MATCH(C1447,Akaun!$A$5:$A$150,0)))</f>
        <v/>
      </c>
    </row>
    <row r="1448" customFormat="false" ht="15" hidden="false" customHeight="true" outlineLevel="0" collapsed="false">
      <c r="G1448" s="1" t="str">
        <f aca="false">IF(C1448="","",INDEX(Akaun!$F$5:$F$150,MATCH(C1448,Akaun!$A$5:$A$150,0)))</f>
        <v/>
      </c>
      <c r="H1448" s="1" t="str">
        <f aca="false">IF(C1448="","",INDEX(Akaun!$D$5:$D$150,MATCH(C1448,Akaun!$A$5:$A$150,0)))</f>
        <v/>
      </c>
    </row>
    <row r="1449" customFormat="false" ht="15" hidden="false" customHeight="true" outlineLevel="0" collapsed="false">
      <c r="G1449" s="1" t="str">
        <f aca="false">IF(C1449="","",INDEX(Akaun!$F$5:$F$150,MATCH(C1449,Akaun!$A$5:$A$150,0)))</f>
        <v/>
      </c>
      <c r="H1449" s="1" t="str">
        <f aca="false">IF(C1449="","",INDEX(Akaun!$D$5:$D$150,MATCH(C1449,Akaun!$A$5:$A$150,0)))</f>
        <v/>
      </c>
    </row>
    <row r="1450" customFormat="false" ht="15" hidden="false" customHeight="true" outlineLevel="0" collapsed="false">
      <c r="G1450" s="1" t="str">
        <f aca="false">IF(C1450="","",INDEX(Akaun!$F$5:$F$150,MATCH(C1450,Akaun!$A$5:$A$150,0)))</f>
        <v/>
      </c>
      <c r="H1450" s="1" t="str">
        <f aca="false">IF(C1450="","",INDEX(Akaun!$D$5:$D$150,MATCH(C1450,Akaun!$A$5:$A$150,0)))</f>
        <v/>
      </c>
    </row>
    <row r="1451" customFormat="false" ht="15" hidden="false" customHeight="true" outlineLevel="0" collapsed="false">
      <c r="G1451" s="1" t="str">
        <f aca="false">IF(C1451="","",INDEX(Akaun!$F$5:$F$150,MATCH(C1451,Akaun!$A$5:$A$150,0)))</f>
        <v/>
      </c>
      <c r="H1451" s="1" t="str">
        <f aca="false">IF(C1451="","",INDEX(Akaun!$D$5:$D$150,MATCH(C1451,Akaun!$A$5:$A$150,0)))</f>
        <v/>
      </c>
    </row>
    <row r="1452" customFormat="false" ht="15" hidden="false" customHeight="true" outlineLevel="0" collapsed="false">
      <c r="G1452" s="1" t="str">
        <f aca="false">IF(C1452="","",INDEX(Akaun!$F$5:$F$150,MATCH(C1452,Akaun!$A$5:$A$150,0)))</f>
        <v/>
      </c>
      <c r="H1452" s="1" t="str">
        <f aca="false">IF(C1452="","",INDEX(Akaun!$D$5:$D$150,MATCH(C1452,Akaun!$A$5:$A$150,0)))</f>
        <v/>
      </c>
    </row>
    <row r="1453" customFormat="false" ht="15" hidden="false" customHeight="true" outlineLevel="0" collapsed="false">
      <c r="G1453" s="1" t="str">
        <f aca="false">IF(C1453="","",INDEX(Akaun!$F$5:$F$150,MATCH(C1453,Akaun!$A$5:$A$150,0)))</f>
        <v/>
      </c>
      <c r="H1453" s="1" t="str">
        <f aca="false">IF(C1453="","",INDEX(Akaun!$D$5:$D$150,MATCH(C1453,Akaun!$A$5:$A$150,0)))</f>
        <v/>
      </c>
    </row>
    <row r="1454" customFormat="false" ht="15" hidden="false" customHeight="true" outlineLevel="0" collapsed="false">
      <c r="G1454" s="1" t="str">
        <f aca="false">IF(C1454="","",INDEX(Akaun!$F$5:$F$150,MATCH(C1454,Akaun!$A$5:$A$150,0)))</f>
        <v/>
      </c>
      <c r="H1454" s="1" t="str">
        <f aca="false">IF(C1454="","",INDEX(Akaun!$D$5:$D$150,MATCH(C1454,Akaun!$A$5:$A$150,0)))</f>
        <v/>
      </c>
    </row>
    <row r="1455" customFormat="false" ht="15" hidden="false" customHeight="true" outlineLevel="0" collapsed="false">
      <c r="G1455" s="1" t="str">
        <f aca="false">IF(C1455="","",INDEX(Akaun!$F$5:$F$150,MATCH(C1455,Akaun!$A$5:$A$150,0)))</f>
        <v/>
      </c>
      <c r="H1455" s="1" t="str">
        <f aca="false">IF(C1455="","",INDEX(Akaun!$D$5:$D$150,MATCH(C1455,Akaun!$A$5:$A$150,0)))</f>
        <v/>
      </c>
    </row>
    <row r="1456" customFormat="false" ht="15" hidden="false" customHeight="true" outlineLevel="0" collapsed="false">
      <c r="G1456" s="1" t="str">
        <f aca="false">IF(C1456="","",INDEX(Akaun!$F$5:$F$150,MATCH(C1456,Akaun!$A$5:$A$150,0)))</f>
        <v/>
      </c>
      <c r="H1456" s="1" t="str">
        <f aca="false">IF(C1456="","",INDEX(Akaun!$D$5:$D$150,MATCH(C1456,Akaun!$A$5:$A$150,0)))</f>
        <v/>
      </c>
    </row>
    <row r="1457" customFormat="false" ht="15" hidden="false" customHeight="true" outlineLevel="0" collapsed="false">
      <c r="G1457" s="1" t="str">
        <f aca="false">IF(C1457="","",INDEX(Akaun!$F$5:$F$150,MATCH(C1457,Akaun!$A$5:$A$150,0)))</f>
        <v/>
      </c>
      <c r="H1457" s="1" t="str">
        <f aca="false">IF(C1457="","",INDEX(Akaun!$D$5:$D$150,MATCH(C1457,Akaun!$A$5:$A$150,0)))</f>
        <v/>
      </c>
    </row>
    <row r="1458" customFormat="false" ht="15" hidden="false" customHeight="true" outlineLevel="0" collapsed="false">
      <c r="G1458" s="1" t="str">
        <f aca="false">IF(C1458="","",INDEX(Akaun!$F$5:$F$150,MATCH(C1458,Akaun!$A$5:$A$150,0)))</f>
        <v/>
      </c>
      <c r="H1458" s="1" t="str">
        <f aca="false">IF(C1458="","",INDEX(Akaun!$D$5:$D$150,MATCH(C1458,Akaun!$A$5:$A$150,0)))</f>
        <v/>
      </c>
    </row>
    <row r="1459" customFormat="false" ht="15" hidden="false" customHeight="true" outlineLevel="0" collapsed="false">
      <c r="G1459" s="1" t="str">
        <f aca="false">IF(C1459="","",INDEX(Akaun!$F$5:$F$150,MATCH(C1459,Akaun!$A$5:$A$150,0)))</f>
        <v/>
      </c>
      <c r="H1459" s="1" t="str">
        <f aca="false">IF(C1459="","",INDEX(Akaun!$D$5:$D$150,MATCH(C1459,Akaun!$A$5:$A$150,0)))</f>
        <v/>
      </c>
    </row>
    <row r="1460" customFormat="false" ht="15" hidden="false" customHeight="true" outlineLevel="0" collapsed="false">
      <c r="G1460" s="1" t="str">
        <f aca="false">IF(C1460="","",INDEX(Akaun!$F$5:$F$150,MATCH(C1460,Akaun!$A$5:$A$150,0)))</f>
        <v/>
      </c>
      <c r="H1460" s="1" t="str">
        <f aca="false">IF(C1460="","",INDEX(Akaun!$D$5:$D$150,MATCH(C1460,Akaun!$A$5:$A$150,0)))</f>
        <v/>
      </c>
    </row>
    <row r="1461" customFormat="false" ht="15" hidden="false" customHeight="true" outlineLevel="0" collapsed="false">
      <c r="G1461" s="1" t="str">
        <f aca="false">IF(C1461="","",INDEX(Akaun!$F$5:$F$150,MATCH(C1461,Akaun!$A$5:$A$150,0)))</f>
        <v/>
      </c>
      <c r="H1461" s="1" t="str">
        <f aca="false">IF(C1461="","",INDEX(Akaun!$D$5:$D$150,MATCH(C1461,Akaun!$A$5:$A$150,0)))</f>
        <v/>
      </c>
    </row>
    <row r="1462" customFormat="false" ht="15" hidden="false" customHeight="true" outlineLevel="0" collapsed="false">
      <c r="G1462" s="1" t="str">
        <f aca="false">IF(C1462="","",INDEX(Akaun!$F$5:$F$150,MATCH(C1462,Akaun!$A$5:$A$150,0)))</f>
        <v/>
      </c>
      <c r="H1462" s="1" t="str">
        <f aca="false">IF(C1462="","",INDEX(Akaun!$D$5:$D$150,MATCH(C1462,Akaun!$A$5:$A$150,0)))</f>
        <v/>
      </c>
    </row>
    <row r="1463" customFormat="false" ht="15" hidden="false" customHeight="true" outlineLevel="0" collapsed="false">
      <c r="G1463" s="1" t="str">
        <f aca="false">IF(C1463="","",INDEX(Akaun!$F$5:$F$150,MATCH(C1463,Akaun!$A$5:$A$150,0)))</f>
        <v/>
      </c>
      <c r="H1463" s="1" t="str">
        <f aca="false">IF(C1463="","",INDEX(Akaun!$D$5:$D$150,MATCH(C1463,Akaun!$A$5:$A$150,0)))</f>
        <v/>
      </c>
    </row>
    <row r="1464" customFormat="false" ht="15" hidden="false" customHeight="true" outlineLevel="0" collapsed="false">
      <c r="G1464" s="1" t="str">
        <f aca="false">IF(C1464="","",INDEX(Akaun!$F$5:$F$150,MATCH(C1464,Akaun!$A$5:$A$150,0)))</f>
        <v/>
      </c>
      <c r="H1464" s="1" t="str">
        <f aca="false">IF(C1464="","",INDEX(Akaun!$D$5:$D$150,MATCH(C1464,Akaun!$A$5:$A$150,0)))</f>
        <v/>
      </c>
    </row>
    <row r="1465" customFormat="false" ht="15" hidden="false" customHeight="true" outlineLevel="0" collapsed="false">
      <c r="G1465" s="1" t="str">
        <f aca="false">IF(C1465="","",INDEX(Akaun!$F$5:$F$150,MATCH(C1465,Akaun!$A$5:$A$150,0)))</f>
        <v/>
      </c>
      <c r="H1465" s="1" t="str">
        <f aca="false">IF(C1465="","",INDEX(Akaun!$D$5:$D$150,MATCH(C1465,Akaun!$A$5:$A$150,0)))</f>
        <v/>
      </c>
    </row>
    <row r="1466" customFormat="false" ht="15" hidden="false" customHeight="true" outlineLevel="0" collapsed="false">
      <c r="G1466" s="1" t="str">
        <f aca="false">IF(C1466="","",INDEX(Akaun!$F$5:$F$150,MATCH(C1466,Akaun!$A$5:$A$150,0)))</f>
        <v/>
      </c>
      <c r="H1466" s="1" t="str">
        <f aca="false">IF(C1466="","",INDEX(Akaun!$D$5:$D$150,MATCH(C1466,Akaun!$A$5:$A$150,0)))</f>
        <v/>
      </c>
    </row>
    <row r="1467" customFormat="false" ht="15" hidden="false" customHeight="true" outlineLevel="0" collapsed="false">
      <c r="G1467" s="1" t="str">
        <f aca="false">IF(C1467="","",INDEX(Akaun!$F$5:$F$150,MATCH(C1467,Akaun!$A$5:$A$150,0)))</f>
        <v/>
      </c>
      <c r="H1467" s="1" t="str">
        <f aca="false">IF(C1467="","",INDEX(Akaun!$D$5:$D$150,MATCH(C1467,Akaun!$A$5:$A$150,0)))</f>
        <v/>
      </c>
    </row>
    <row r="1468" customFormat="false" ht="15" hidden="false" customHeight="true" outlineLevel="0" collapsed="false">
      <c r="G1468" s="1" t="str">
        <f aca="false">IF(C1468="","",INDEX(Akaun!$F$5:$F$150,MATCH(C1468,Akaun!$A$5:$A$150,0)))</f>
        <v/>
      </c>
      <c r="H1468" s="1" t="str">
        <f aca="false">IF(C1468="","",INDEX(Akaun!$D$5:$D$150,MATCH(C1468,Akaun!$A$5:$A$150,0)))</f>
        <v/>
      </c>
    </row>
    <row r="1469" customFormat="false" ht="15" hidden="false" customHeight="true" outlineLevel="0" collapsed="false">
      <c r="G1469" s="1" t="str">
        <f aca="false">IF(C1469="","",INDEX(Akaun!$F$5:$F$150,MATCH(C1469,Akaun!$A$5:$A$150,0)))</f>
        <v/>
      </c>
      <c r="H1469" s="1" t="str">
        <f aca="false">IF(C1469="","",INDEX(Akaun!$D$5:$D$150,MATCH(C1469,Akaun!$A$5:$A$150,0)))</f>
        <v/>
      </c>
    </row>
    <row r="1470" customFormat="false" ht="15" hidden="false" customHeight="true" outlineLevel="0" collapsed="false">
      <c r="G1470" s="1" t="str">
        <f aca="false">IF(C1470="","",INDEX(Akaun!$F$5:$F$150,MATCH(C1470,Akaun!$A$5:$A$150,0)))</f>
        <v/>
      </c>
      <c r="H1470" s="1" t="str">
        <f aca="false">IF(C1470="","",INDEX(Akaun!$D$5:$D$150,MATCH(C1470,Akaun!$A$5:$A$150,0)))</f>
        <v/>
      </c>
    </row>
    <row r="1471" customFormat="false" ht="15" hidden="false" customHeight="true" outlineLevel="0" collapsed="false">
      <c r="G1471" s="1" t="str">
        <f aca="false">IF(C1471="","",INDEX(Akaun!$F$5:$F$150,MATCH(C1471,Akaun!$A$5:$A$150,0)))</f>
        <v/>
      </c>
      <c r="H1471" s="1" t="str">
        <f aca="false">IF(C1471="","",INDEX(Akaun!$D$5:$D$150,MATCH(C1471,Akaun!$A$5:$A$150,0)))</f>
        <v/>
      </c>
    </row>
    <row r="1472" customFormat="false" ht="15" hidden="false" customHeight="true" outlineLevel="0" collapsed="false">
      <c r="G1472" s="1" t="str">
        <f aca="false">IF(C1472="","",INDEX(Akaun!$F$5:$F$150,MATCH(C1472,Akaun!$A$5:$A$150,0)))</f>
        <v/>
      </c>
      <c r="H1472" s="1" t="str">
        <f aca="false">IF(C1472="","",INDEX(Akaun!$D$5:$D$150,MATCH(C1472,Akaun!$A$5:$A$150,0)))</f>
        <v/>
      </c>
    </row>
    <row r="1473" customFormat="false" ht="15" hidden="false" customHeight="true" outlineLevel="0" collapsed="false">
      <c r="G1473" s="1" t="str">
        <f aca="false">IF(C1473="","",INDEX(Akaun!$F$5:$F$150,MATCH(C1473,Akaun!$A$5:$A$150,0)))</f>
        <v/>
      </c>
      <c r="H1473" s="1" t="str">
        <f aca="false">IF(C1473="","",INDEX(Akaun!$D$5:$D$150,MATCH(C1473,Akaun!$A$5:$A$150,0)))</f>
        <v/>
      </c>
    </row>
    <row r="1474" customFormat="false" ht="15" hidden="false" customHeight="true" outlineLevel="0" collapsed="false">
      <c r="G1474" s="1" t="str">
        <f aca="false">IF(C1474="","",INDEX(Akaun!$F$5:$F$150,MATCH(C1474,Akaun!$A$5:$A$150,0)))</f>
        <v/>
      </c>
      <c r="H1474" s="1" t="str">
        <f aca="false">IF(C1474="","",INDEX(Akaun!$D$5:$D$150,MATCH(C1474,Akaun!$A$5:$A$150,0)))</f>
        <v/>
      </c>
    </row>
    <row r="1475" customFormat="false" ht="15" hidden="false" customHeight="true" outlineLevel="0" collapsed="false">
      <c r="G1475" s="1" t="str">
        <f aca="false">IF(C1475="","",INDEX(Akaun!$F$5:$F$150,MATCH(C1475,Akaun!$A$5:$A$150,0)))</f>
        <v/>
      </c>
      <c r="H1475" s="1" t="str">
        <f aca="false">IF(C1475="","",INDEX(Akaun!$D$5:$D$150,MATCH(C1475,Akaun!$A$5:$A$150,0)))</f>
        <v/>
      </c>
    </row>
    <row r="1476" customFormat="false" ht="15" hidden="false" customHeight="true" outlineLevel="0" collapsed="false">
      <c r="G1476" s="1" t="str">
        <f aca="false">IF(C1476="","",INDEX(Akaun!$F$5:$F$150,MATCH(C1476,Akaun!$A$5:$A$150,0)))</f>
        <v/>
      </c>
      <c r="H1476" s="1" t="str">
        <f aca="false">IF(C1476="","",INDEX(Akaun!$D$5:$D$150,MATCH(C1476,Akaun!$A$5:$A$150,0)))</f>
        <v/>
      </c>
    </row>
    <row r="1477" customFormat="false" ht="15" hidden="false" customHeight="true" outlineLevel="0" collapsed="false">
      <c r="G1477" s="1" t="str">
        <f aca="false">IF(C1477="","",INDEX(Akaun!$F$5:$F$150,MATCH(C1477,Akaun!$A$5:$A$150,0)))</f>
        <v/>
      </c>
      <c r="H1477" s="1" t="str">
        <f aca="false">IF(C1477="","",INDEX(Akaun!$D$5:$D$150,MATCH(C1477,Akaun!$A$5:$A$150,0)))</f>
        <v/>
      </c>
    </row>
    <row r="1478" customFormat="false" ht="15" hidden="false" customHeight="true" outlineLevel="0" collapsed="false">
      <c r="G1478" s="1" t="str">
        <f aca="false">IF(C1478="","",INDEX(Akaun!$F$5:$F$150,MATCH(C1478,Akaun!$A$5:$A$150,0)))</f>
        <v/>
      </c>
      <c r="H1478" s="1" t="str">
        <f aca="false">IF(C1478="","",INDEX(Akaun!$D$5:$D$150,MATCH(C1478,Akaun!$A$5:$A$150,0)))</f>
        <v/>
      </c>
    </row>
    <row r="1479" customFormat="false" ht="15" hidden="false" customHeight="true" outlineLevel="0" collapsed="false">
      <c r="G1479" s="1" t="str">
        <f aca="false">IF(C1479="","",INDEX(Akaun!$F$5:$F$150,MATCH(C1479,Akaun!$A$5:$A$150,0)))</f>
        <v/>
      </c>
      <c r="H1479" s="1" t="str">
        <f aca="false">IF(C1479="","",INDEX(Akaun!$D$5:$D$150,MATCH(C1479,Akaun!$A$5:$A$150,0)))</f>
        <v/>
      </c>
    </row>
    <row r="1480" customFormat="false" ht="15" hidden="false" customHeight="true" outlineLevel="0" collapsed="false">
      <c r="G1480" s="1" t="str">
        <f aca="false">IF(C1480="","",INDEX(Akaun!$F$5:$F$150,MATCH(C1480,Akaun!$A$5:$A$150,0)))</f>
        <v/>
      </c>
      <c r="H1480" s="1" t="str">
        <f aca="false">IF(C1480="","",INDEX(Akaun!$D$5:$D$150,MATCH(C1480,Akaun!$A$5:$A$150,0)))</f>
        <v/>
      </c>
    </row>
    <row r="1481" customFormat="false" ht="15" hidden="false" customHeight="true" outlineLevel="0" collapsed="false">
      <c r="G1481" s="1" t="str">
        <f aca="false">IF(C1481="","",INDEX(Akaun!$F$5:$F$150,MATCH(C1481,Akaun!$A$5:$A$150,0)))</f>
        <v/>
      </c>
      <c r="H1481" s="1" t="str">
        <f aca="false">IF(C1481="","",INDEX(Akaun!$D$5:$D$150,MATCH(C1481,Akaun!$A$5:$A$150,0)))</f>
        <v/>
      </c>
    </row>
    <row r="1482" customFormat="false" ht="15" hidden="false" customHeight="true" outlineLevel="0" collapsed="false">
      <c r="G1482" s="1" t="str">
        <f aca="false">IF(C1482="","",INDEX(Akaun!$F$5:$F$150,MATCH(C1482,Akaun!$A$5:$A$150,0)))</f>
        <v/>
      </c>
      <c r="H1482" s="1" t="str">
        <f aca="false">IF(C1482="","",INDEX(Akaun!$D$5:$D$150,MATCH(C1482,Akaun!$A$5:$A$150,0)))</f>
        <v/>
      </c>
    </row>
    <row r="1483" customFormat="false" ht="15" hidden="false" customHeight="true" outlineLevel="0" collapsed="false">
      <c r="G1483" s="1" t="str">
        <f aca="false">IF(C1483="","",INDEX(Akaun!$F$5:$F$150,MATCH(C1483,Akaun!$A$5:$A$150,0)))</f>
        <v/>
      </c>
      <c r="H1483" s="1" t="str">
        <f aca="false">IF(C1483="","",INDEX(Akaun!$D$5:$D$150,MATCH(C1483,Akaun!$A$5:$A$150,0)))</f>
        <v/>
      </c>
    </row>
    <row r="1484" customFormat="false" ht="15" hidden="false" customHeight="true" outlineLevel="0" collapsed="false">
      <c r="G1484" s="1" t="str">
        <f aca="false">IF(C1484="","",INDEX(Akaun!$F$5:$F$150,MATCH(C1484,Akaun!$A$5:$A$150,0)))</f>
        <v/>
      </c>
      <c r="H1484" s="1" t="str">
        <f aca="false">IF(C1484="","",INDEX(Akaun!$D$5:$D$150,MATCH(C1484,Akaun!$A$5:$A$150,0)))</f>
        <v/>
      </c>
    </row>
    <row r="1485" customFormat="false" ht="15" hidden="false" customHeight="true" outlineLevel="0" collapsed="false">
      <c r="G1485" s="1" t="str">
        <f aca="false">IF(C1485="","",INDEX(Akaun!$F$5:$F$150,MATCH(C1485,Akaun!$A$5:$A$150,0)))</f>
        <v/>
      </c>
      <c r="H1485" s="1" t="str">
        <f aca="false">IF(C1485="","",INDEX(Akaun!$D$5:$D$150,MATCH(C1485,Akaun!$A$5:$A$150,0)))</f>
        <v/>
      </c>
    </row>
    <row r="1486" customFormat="false" ht="15" hidden="false" customHeight="true" outlineLevel="0" collapsed="false">
      <c r="G1486" s="1" t="str">
        <f aca="false">IF(C1486="","",INDEX(Akaun!$F$5:$F$150,MATCH(C1486,Akaun!$A$5:$A$150,0)))</f>
        <v/>
      </c>
      <c r="H1486" s="1" t="str">
        <f aca="false">IF(C1486="","",INDEX(Akaun!$D$5:$D$150,MATCH(C1486,Akaun!$A$5:$A$150,0)))</f>
        <v/>
      </c>
    </row>
    <row r="1487" customFormat="false" ht="15" hidden="false" customHeight="true" outlineLevel="0" collapsed="false">
      <c r="G1487" s="1" t="str">
        <f aca="false">IF(C1487="","",INDEX(Akaun!$F$5:$F$150,MATCH(C1487,Akaun!$A$5:$A$150,0)))</f>
        <v/>
      </c>
      <c r="H1487" s="1" t="str">
        <f aca="false">IF(C1487="","",INDEX(Akaun!$D$5:$D$150,MATCH(C1487,Akaun!$A$5:$A$150,0)))</f>
        <v/>
      </c>
    </row>
    <row r="1488" customFormat="false" ht="15" hidden="false" customHeight="true" outlineLevel="0" collapsed="false">
      <c r="G1488" s="1" t="str">
        <f aca="false">IF(C1488="","",INDEX(Akaun!$F$5:$F$150,MATCH(C1488,Akaun!$A$5:$A$150,0)))</f>
        <v/>
      </c>
      <c r="H1488" s="1" t="str">
        <f aca="false">IF(C1488="","",INDEX(Akaun!$D$5:$D$150,MATCH(C1488,Akaun!$A$5:$A$150,0)))</f>
        <v/>
      </c>
    </row>
    <row r="1489" customFormat="false" ht="15" hidden="false" customHeight="true" outlineLevel="0" collapsed="false">
      <c r="G1489" s="1" t="str">
        <f aca="false">IF(C1489="","",INDEX(Akaun!$F$5:$F$150,MATCH(C1489,Akaun!$A$5:$A$150,0)))</f>
        <v/>
      </c>
      <c r="H1489" s="1" t="str">
        <f aca="false">IF(C1489="","",INDEX(Akaun!$D$5:$D$150,MATCH(C1489,Akaun!$A$5:$A$150,0)))</f>
        <v/>
      </c>
    </row>
    <row r="1490" customFormat="false" ht="15" hidden="false" customHeight="true" outlineLevel="0" collapsed="false">
      <c r="G1490" s="1" t="str">
        <f aca="false">IF(C1490="","",INDEX(Akaun!$F$5:$F$150,MATCH(C1490,Akaun!$A$5:$A$150,0)))</f>
        <v/>
      </c>
      <c r="H1490" s="1" t="str">
        <f aca="false">IF(C1490="","",INDEX(Akaun!$D$5:$D$150,MATCH(C1490,Akaun!$A$5:$A$150,0)))</f>
        <v/>
      </c>
    </row>
    <row r="1491" customFormat="false" ht="15" hidden="false" customHeight="true" outlineLevel="0" collapsed="false">
      <c r="G1491" s="1" t="str">
        <f aca="false">IF(C1491="","",INDEX(Akaun!$F$5:$F$150,MATCH(C1491,Akaun!$A$5:$A$150,0)))</f>
        <v/>
      </c>
      <c r="H1491" s="1" t="str">
        <f aca="false">IF(C1491="","",INDEX(Akaun!$D$5:$D$150,MATCH(C1491,Akaun!$A$5:$A$150,0)))</f>
        <v/>
      </c>
    </row>
    <row r="1492" customFormat="false" ht="15" hidden="false" customHeight="true" outlineLevel="0" collapsed="false">
      <c r="G1492" s="1" t="str">
        <f aca="false">IF(C1492="","",INDEX(Akaun!$F$5:$F$150,MATCH(C1492,Akaun!$A$5:$A$150,0)))</f>
        <v/>
      </c>
      <c r="H1492" s="1" t="str">
        <f aca="false">IF(C1492="","",INDEX(Akaun!$D$5:$D$150,MATCH(C1492,Akaun!$A$5:$A$150,0)))</f>
        <v/>
      </c>
    </row>
    <row r="1493" customFormat="false" ht="15" hidden="false" customHeight="true" outlineLevel="0" collapsed="false">
      <c r="G1493" s="1" t="str">
        <f aca="false">IF(C1493="","",INDEX(Akaun!$F$5:$F$150,MATCH(C1493,Akaun!$A$5:$A$150,0)))</f>
        <v/>
      </c>
      <c r="H1493" s="1" t="str">
        <f aca="false">IF(C1493="","",INDEX(Akaun!$D$5:$D$150,MATCH(C1493,Akaun!$A$5:$A$150,0)))</f>
        <v/>
      </c>
    </row>
    <row r="1494" customFormat="false" ht="15" hidden="false" customHeight="true" outlineLevel="0" collapsed="false">
      <c r="G1494" s="1" t="str">
        <f aca="false">IF(C1494="","",INDEX(Akaun!$F$5:$F$150,MATCH(C1494,Akaun!$A$5:$A$150,0)))</f>
        <v/>
      </c>
      <c r="H1494" s="1" t="str">
        <f aca="false">IF(C1494="","",INDEX(Akaun!$D$5:$D$150,MATCH(C1494,Akaun!$A$5:$A$150,0)))</f>
        <v/>
      </c>
    </row>
    <row r="1495" customFormat="false" ht="15" hidden="false" customHeight="true" outlineLevel="0" collapsed="false">
      <c r="G1495" s="1" t="str">
        <f aca="false">IF(C1495="","",INDEX(Akaun!$F$5:$F$150,MATCH(C1495,Akaun!$A$5:$A$150,0)))</f>
        <v/>
      </c>
      <c r="H1495" s="1" t="str">
        <f aca="false">IF(C1495="","",INDEX(Akaun!$D$5:$D$150,MATCH(C1495,Akaun!$A$5:$A$150,0)))</f>
        <v/>
      </c>
    </row>
    <row r="1496" customFormat="false" ht="15" hidden="false" customHeight="true" outlineLevel="0" collapsed="false">
      <c r="G1496" s="1" t="str">
        <f aca="false">IF(C1496="","",INDEX(Akaun!$F$5:$F$150,MATCH(C1496,Akaun!$A$5:$A$150,0)))</f>
        <v/>
      </c>
      <c r="H1496" s="1" t="str">
        <f aca="false">IF(C1496="","",INDEX(Akaun!$D$5:$D$150,MATCH(C1496,Akaun!$A$5:$A$150,0)))</f>
        <v/>
      </c>
    </row>
    <row r="1497" customFormat="false" ht="15" hidden="false" customHeight="true" outlineLevel="0" collapsed="false">
      <c r="G1497" s="1" t="str">
        <f aca="false">IF(C1497="","",INDEX(Akaun!$F$5:$F$150,MATCH(C1497,Akaun!$A$5:$A$150,0)))</f>
        <v/>
      </c>
      <c r="H1497" s="1" t="str">
        <f aca="false">IF(C1497="","",INDEX(Akaun!$D$5:$D$150,MATCH(C1497,Akaun!$A$5:$A$150,0)))</f>
        <v/>
      </c>
    </row>
    <row r="1498" customFormat="false" ht="15" hidden="false" customHeight="true" outlineLevel="0" collapsed="false">
      <c r="G1498" s="1" t="str">
        <f aca="false">IF(C1498="","",INDEX(Akaun!$F$5:$F$150,MATCH(C1498,Akaun!$A$5:$A$150,0)))</f>
        <v/>
      </c>
      <c r="H1498" s="1" t="str">
        <f aca="false">IF(C1498="","",INDEX(Akaun!$D$5:$D$150,MATCH(C1498,Akaun!$A$5:$A$150,0)))</f>
        <v/>
      </c>
    </row>
    <row r="1499" customFormat="false" ht="15" hidden="false" customHeight="true" outlineLevel="0" collapsed="false">
      <c r="G1499" s="1" t="str">
        <f aca="false">IF(C1499="","",INDEX(Akaun!$F$5:$F$150,MATCH(C1499,Akaun!$A$5:$A$150,0)))</f>
        <v/>
      </c>
      <c r="H1499" s="1" t="str">
        <f aca="false">IF(C1499="","",INDEX(Akaun!$D$5:$D$150,MATCH(C1499,Akaun!$A$5:$A$150,0)))</f>
        <v/>
      </c>
    </row>
    <row r="1500" customFormat="false" ht="15" hidden="false" customHeight="true" outlineLevel="0" collapsed="false">
      <c r="G1500" s="1" t="str">
        <f aca="false">IF(C1500="","",INDEX(Akaun!$F$5:$F$150,MATCH(C1500,Akaun!$A$5:$A$150,0)))</f>
        <v/>
      </c>
      <c r="H1500" s="1" t="str">
        <f aca="false">IF(C1500="","",INDEX(Akaun!$D$5:$D$150,MATCH(C1500,Akaun!$A$5:$A$150,0)))</f>
        <v/>
      </c>
    </row>
    <row r="1501" customFormat="false" ht="15" hidden="false" customHeight="true" outlineLevel="0" collapsed="false">
      <c r="G1501" s="1" t="str">
        <f aca="false">IF(C1501="","",INDEX(Akaun!$F$5:$F$150,MATCH(C1501,Akaun!$A$5:$A$150,0)))</f>
        <v/>
      </c>
      <c r="H1501" s="1" t="str">
        <f aca="false">IF(C1501="","",INDEX(Akaun!$D$5:$D$150,MATCH(C1501,Akaun!$A$5:$A$150,0)))</f>
        <v/>
      </c>
    </row>
    <row r="1502" customFormat="false" ht="15" hidden="false" customHeight="true" outlineLevel="0" collapsed="false">
      <c r="G1502" s="1" t="str">
        <f aca="false">IF(C1502="","",INDEX(Akaun!$F$5:$F$150,MATCH(C1502,Akaun!$A$5:$A$150,0)))</f>
        <v/>
      </c>
      <c r="H1502" s="1" t="str">
        <f aca="false">IF(C1502="","",INDEX(Akaun!$D$5:$D$150,MATCH(C1502,Akaun!$A$5:$A$150,0)))</f>
        <v/>
      </c>
    </row>
    <row r="1503" customFormat="false" ht="15" hidden="false" customHeight="true" outlineLevel="0" collapsed="false">
      <c r="G1503" s="1" t="str">
        <f aca="false">IF(C1503="","",INDEX(Akaun!$F$5:$F$150,MATCH(C1503,Akaun!$A$5:$A$150,0)))</f>
        <v/>
      </c>
      <c r="H1503" s="1" t="str">
        <f aca="false">IF(C1503="","",INDEX(Akaun!$D$5:$D$150,MATCH(C1503,Akaun!$A$5:$A$150,0)))</f>
        <v/>
      </c>
    </row>
    <row r="1504" customFormat="false" ht="15" hidden="false" customHeight="true" outlineLevel="0" collapsed="false">
      <c r="G1504" s="1" t="str">
        <f aca="false">IF(C1504="","",INDEX(Akaun!$F$5:$F$150,MATCH(C1504,Akaun!$A$5:$A$150,0)))</f>
        <v/>
      </c>
      <c r="H1504" s="1" t="str">
        <f aca="false">IF(C1504="","",INDEX(Akaun!$D$5:$D$150,MATCH(C1504,Akaun!$A$5:$A$150,0)))</f>
        <v/>
      </c>
    </row>
    <row r="1505" customFormat="false" ht="15" hidden="false" customHeight="true" outlineLevel="0" collapsed="false">
      <c r="G1505" s="1" t="str">
        <f aca="false">IF(C1505="","",INDEX(Akaun!$F$5:$F$150,MATCH(C1505,Akaun!$A$5:$A$150,0)))</f>
        <v/>
      </c>
      <c r="H1505" s="1" t="str">
        <f aca="false">IF(C1505="","",INDEX(Akaun!$D$5:$D$150,MATCH(C1505,Akaun!$A$5:$A$150,0)))</f>
        <v/>
      </c>
    </row>
    <row r="1506" customFormat="false" ht="15" hidden="false" customHeight="true" outlineLevel="0" collapsed="false">
      <c r="G1506" s="1" t="str">
        <f aca="false">IF(C1506="","",INDEX(Akaun!$F$5:$F$150,MATCH(C1506,Akaun!$A$5:$A$150,0)))</f>
        <v/>
      </c>
      <c r="H1506" s="1" t="str">
        <f aca="false">IF(C1506="","",INDEX(Akaun!$D$5:$D$150,MATCH(C1506,Akaun!$A$5:$A$150,0)))</f>
        <v/>
      </c>
    </row>
    <row r="1507" customFormat="false" ht="15" hidden="false" customHeight="true" outlineLevel="0" collapsed="false">
      <c r="G1507" s="1" t="str">
        <f aca="false">IF(C1507="","",INDEX(Akaun!$F$5:$F$150,MATCH(C1507,Akaun!$A$5:$A$150,0)))</f>
        <v/>
      </c>
      <c r="H1507" s="1" t="str">
        <f aca="false">IF(C1507="","",INDEX(Akaun!$D$5:$D$150,MATCH(C1507,Akaun!$A$5:$A$150,0)))</f>
        <v/>
      </c>
    </row>
    <row r="1508" customFormat="false" ht="15" hidden="false" customHeight="true" outlineLevel="0" collapsed="false">
      <c r="G1508" s="1" t="str">
        <f aca="false">IF(C1508="","",INDEX(Akaun!$F$5:$F$150,MATCH(C1508,Akaun!$A$5:$A$150,0)))</f>
        <v/>
      </c>
      <c r="H1508" s="1" t="str">
        <f aca="false">IF(C1508="","",INDEX(Akaun!$D$5:$D$150,MATCH(C1508,Akaun!$A$5:$A$150,0)))</f>
        <v/>
      </c>
    </row>
    <row r="1509" customFormat="false" ht="15" hidden="false" customHeight="true" outlineLevel="0" collapsed="false">
      <c r="G1509" s="1" t="str">
        <f aca="false">IF(C1509="","",INDEX(Akaun!$F$5:$F$150,MATCH(C1509,Akaun!$A$5:$A$150,0)))</f>
        <v/>
      </c>
      <c r="H1509" s="1" t="str">
        <f aca="false">IF(C1509="","",INDEX(Akaun!$D$5:$D$150,MATCH(C1509,Akaun!$A$5:$A$150,0)))</f>
        <v/>
      </c>
    </row>
    <row r="1510" customFormat="false" ht="15" hidden="false" customHeight="true" outlineLevel="0" collapsed="false">
      <c r="G1510" s="1" t="str">
        <f aca="false">IF(C1510="","",INDEX(Akaun!$F$5:$F$150,MATCH(C1510,Akaun!$A$5:$A$150,0)))</f>
        <v/>
      </c>
      <c r="H1510" s="1" t="str">
        <f aca="false">IF(C1510="","",INDEX(Akaun!$D$5:$D$150,MATCH(C1510,Akaun!$A$5:$A$150,0)))</f>
        <v/>
      </c>
    </row>
    <row r="1511" customFormat="false" ht="15" hidden="false" customHeight="true" outlineLevel="0" collapsed="false">
      <c r="G1511" s="1" t="str">
        <f aca="false">IF(C1511="","",INDEX(Akaun!$F$5:$F$150,MATCH(C1511,Akaun!$A$5:$A$150,0)))</f>
        <v/>
      </c>
      <c r="H1511" s="1" t="str">
        <f aca="false">IF(C1511="","",INDEX(Akaun!$D$5:$D$150,MATCH(C1511,Akaun!$A$5:$A$150,0)))</f>
        <v/>
      </c>
    </row>
    <row r="1512" customFormat="false" ht="15" hidden="false" customHeight="true" outlineLevel="0" collapsed="false">
      <c r="G1512" s="1" t="str">
        <f aca="false">IF(C1512="","",INDEX(Akaun!$F$5:$F$150,MATCH(C1512,Akaun!$A$5:$A$150,0)))</f>
        <v/>
      </c>
      <c r="H1512" s="1" t="str">
        <f aca="false">IF(C1512="","",INDEX(Akaun!$D$5:$D$150,MATCH(C1512,Akaun!$A$5:$A$150,0)))</f>
        <v/>
      </c>
    </row>
    <row r="1513" customFormat="false" ht="15" hidden="false" customHeight="true" outlineLevel="0" collapsed="false">
      <c r="G1513" s="1" t="str">
        <f aca="false">IF(C1513="","",INDEX(Akaun!$F$5:$F$150,MATCH(C1513,Akaun!$A$5:$A$150,0)))</f>
        <v/>
      </c>
      <c r="H1513" s="1" t="str">
        <f aca="false">IF(C1513="","",INDEX(Akaun!$D$5:$D$150,MATCH(C1513,Akaun!$A$5:$A$150,0)))</f>
        <v/>
      </c>
    </row>
    <row r="1514" customFormat="false" ht="15" hidden="false" customHeight="true" outlineLevel="0" collapsed="false">
      <c r="G1514" s="1" t="str">
        <f aca="false">IF(C1514="","",INDEX(Akaun!$F$5:$F$150,MATCH(C1514,Akaun!$A$5:$A$150,0)))</f>
        <v/>
      </c>
      <c r="H1514" s="1" t="str">
        <f aca="false">IF(C1514="","",INDEX(Akaun!$D$5:$D$150,MATCH(C1514,Akaun!$A$5:$A$150,0)))</f>
        <v/>
      </c>
    </row>
    <row r="1515" customFormat="false" ht="15" hidden="false" customHeight="true" outlineLevel="0" collapsed="false">
      <c r="G1515" s="1" t="str">
        <f aca="false">IF(C1515="","",INDEX(Akaun!$F$5:$F$150,MATCH(C1515,Akaun!$A$5:$A$150,0)))</f>
        <v/>
      </c>
      <c r="H1515" s="1" t="str">
        <f aca="false">IF(C1515="","",INDEX(Akaun!$D$5:$D$150,MATCH(C1515,Akaun!$A$5:$A$150,0)))</f>
        <v/>
      </c>
    </row>
    <row r="1516" customFormat="false" ht="15" hidden="false" customHeight="true" outlineLevel="0" collapsed="false">
      <c r="G1516" s="1" t="str">
        <f aca="false">IF(C1516="","",INDEX(Akaun!$F$5:$F$150,MATCH(C1516,Akaun!$A$5:$A$150,0)))</f>
        <v/>
      </c>
      <c r="H1516" s="1" t="str">
        <f aca="false">IF(C1516="","",INDEX(Akaun!$D$5:$D$150,MATCH(C1516,Akaun!$A$5:$A$150,0)))</f>
        <v/>
      </c>
    </row>
    <row r="1517" customFormat="false" ht="15" hidden="false" customHeight="true" outlineLevel="0" collapsed="false">
      <c r="G1517" s="1" t="str">
        <f aca="false">IF(C1517="","",INDEX(Akaun!$F$5:$F$150,MATCH(C1517,Akaun!$A$5:$A$150,0)))</f>
        <v/>
      </c>
      <c r="H1517" s="1" t="str">
        <f aca="false">IF(C1517="","",INDEX(Akaun!$D$5:$D$150,MATCH(C1517,Akaun!$A$5:$A$150,0)))</f>
        <v/>
      </c>
    </row>
    <row r="1518" customFormat="false" ht="15" hidden="false" customHeight="true" outlineLevel="0" collapsed="false">
      <c r="G1518" s="1" t="str">
        <f aca="false">IF(C1518="","",INDEX(Akaun!$F$5:$F$150,MATCH(C1518,Akaun!$A$5:$A$150,0)))</f>
        <v/>
      </c>
      <c r="H1518" s="1" t="str">
        <f aca="false">IF(C1518="","",INDEX(Akaun!$D$5:$D$150,MATCH(C1518,Akaun!$A$5:$A$150,0)))</f>
        <v/>
      </c>
    </row>
    <row r="1519" customFormat="false" ht="15" hidden="false" customHeight="true" outlineLevel="0" collapsed="false">
      <c r="G1519" s="1" t="str">
        <f aca="false">IF(C1519="","",INDEX(Akaun!$F$5:$F$150,MATCH(C1519,Akaun!$A$5:$A$150,0)))</f>
        <v/>
      </c>
      <c r="H1519" s="1" t="str">
        <f aca="false">IF(C1519="","",INDEX(Akaun!$D$5:$D$150,MATCH(C1519,Akaun!$A$5:$A$150,0)))</f>
        <v/>
      </c>
    </row>
    <row r="1520" customFormat="false" ht="15" hidden="false" customHeight="true" outlineLevel="0" collapsed="false">
      <c r="G1520" s="1" t="str">
        <f aca="false">IF(C1520="","",INDEX(Akaun!$F$5:$F$150,MATCH(C1520,Akaun!$A$5:$A$150,0)))</f>
        <v/>
      </c>
      <c r="H1520" s="1" t="str">
        <f aca="false">IF(C1520="","",INDEX(Akaun!$D$5:$D$150,MATCH(C1520,Akaun!$A$5:$A$150,0)))</f>
        <v/>
      </c>
    </row>
    <row r="1521" customFormat="false" ht="15" hidden="false" customHeight="true" outlineLevel="0" collapsed="false">
      <c r="G1521" s="1" t="str">
        <f aca="false">IF(C1521="","",INDEX(Akaun!$F$5:$F$150,MATCH(C1521,Akaun!$A$5:$A$150,0)))</f>
        <v/>
      </c>
      <c r="H1521" s="1" t="str">
        <f aca="false">IF(C1521="","",INDEX(Akaun!$D$5:$D$150,MATCH(C1521,Akaun!$A$5:$A$150,0)))</f>
        <v/>
      </c>
    </row>
    <row r="1522" customFormat="false" ht="15" hidden="false" customHeight="true" outlineLevel="0" collapsed="false">
      <c r="G1522" s="1" t="str">
        <f aca="false">IF(C1522="","",INDEX(Akaun!$F$5:$F$150,MATCH(C1522,Akaun!$A$5:$A$150,0)))</f>
        <v/>
      </c>
      <c r="H1522" s="1" t="str">
        <f aca="false">IF(C1522="","",INDEX(Akaun!$D$5:$D$150,MATCH(C1522,Akaun!$A$5:$A$150,0)))</f>
        <v/>
      </c>
    </row>
    <row r="1523" customFormat="false" ht="15" hidden="false" customHeight="true" outlineLevel="0" collapsed="false">
      <c r="G1523" s="1" t="str">
        <f aca="false">IF(C1523="","",INDEX(Akaun!$F$5:$F$150,MATCH(C1523,Akaun!$A$5:$A$150,0)))</f>
        <v/>
      </c>
      <c r="H1523" s="1" t="str">
        <f aca="false">IF(C1523="","",INDEX(Akaun!$D$5:$D$150,MATCH(C1523,Akaun!$A$5:$A$150,0)))</f>
        <v/>
      </c>
    </row>
    <row r="1524" customFormat="false" ht="15" hidden="false" customHeight="true" outlineLevel="0" collapsed="false">
      <c r="G1524" s="1" t="str">
        <f aca="false">IF(C1524="","",INDEX(Akaun!$F$5:$F$150,MATCH(C1524,Akaun!$A$5:$A$150,0)))</f>
        <v/>
      </c>
      <c r="H1524" s="1" t="str">
        <f aca="false">IF(C1524="","",INDEX(Akaun!$D$5:$D$150,MATCH(C1524,Akaun!$A$5:$A$150,0)))</f>
        <v/>
      </c>
    </row>
    <row r="1525" customFormat="false" ht="15" hidden="false" customHeight="true" outlineLevel="0" collapsed="false">
      <c r="G1525" s="1" t="str">
        <f aca="false">IF(C1525="","",INDEX(Akaun!$F$5:$F$150,MATCH(C1525,Akaun!$A$5:$A$150,0)))</f>
        <v/>
      </c>
      <c r="H1525" s="1" t="str">
        <f aca="false">IF(C1525="","",INDEX(Akaun!$D$5:$D$150,MATCH(C1525,Akaun!$A$5:$A$150,0)))</f>
        <v/>
      </c>
    </row>
    <row r="1526" customFormat="false" ht="15" hidden="false" customHeight="true" outlineLevel="0" collapsed="false">
      <c r="G1526" s="1" t="str">
        <f aca="false">IF(C1526="","",INDEX(Akaun!$F$5:$F$150,MATCH(C1526,Akaun!$A$5:$A$150,0)))</f>
        <v/>
      </c>
      <c r="H1526" s="1" t="str">
        <f aca="false">IF(C1526="","",INDEX(Akaun!$D$5:$D$150,MATCH(C1526,Akaun!$A$5:$A$150,0)))</f>
        <v/>
      </c>
    </row>
    <row r="1527" customFormat="false" ht="15" hidden="false" customHeight="true" outlineLevel="0" collapsed="false">
      <c r="G1527" s="1" t="str">
        <f aca="false">IF(C1527="","",INDEX(Akaun!$F$5:$F$150,MATCH(C1527,Akaun!$A$5:$A$150,0)))</f>
        <v/>
      </c>
      <c r="H1527" s="1" t="str">
        <f aca="false">IF(C1527="","",INDEX(Akaun!$D$5:$D$150,MATCH(C1527,Akaun!$A$5:$A$150,0)))</f>
        <v/>
      </c>
    </row>
    <row r="1528" customFormat="false" ht="15" hidden="false" customHeight="true" outlineLevel="0" collapsed="false">
      <c r="G1528" s="1" t="str">
        <f aca="false">IF(C1528="","",INDEX(Akaun!$F$5:$F$150,MATCH(C1528,Akaun!$A$5:$A$150,0)))</f>
        <v/>
      </c>
      <c r="H1528" s="1" t="str">
        <f aca="false">IF(C1528="","",INDEX(Akaun!$D$5:$D$150,MATCH(C1528,Akaun!$A$5:$A$150,0)))</f>
        <v/>
      </c>
    </row>
    <row r="1529" customFormat="false" ht="15" hidden="false" customHeight="true" outlineLevel="0" collapsed="false">
      <c r="G1529" s="1" t="str">
        <f aca="false">IF(C1529="","",INDEX(Akaun!$F$5:$F$150,MATCH(C1529,Akaun!$A$5:$A$150,0)))</f>
        <v/>
      </c>
      <c r="H1529" s="1" t="str">
        <f aca="false">IF(C1529="","",INDEX(Akaun!$D$5:$D$150,MATCH(C1529,Akaun!$A$5:$A$150,0)))</f>
        <v/>
      </c>
    </row>
    <row r="1530" customFormat="false" ht="15" hidden="false" customHeight="true" outlineLevel="0" collapsed="false">
      <c r="G1530" s="1" t="str">
        <f aca="false">IF(C1530="","",INDEX(Akaun!$F$5:$F$150,MATCH(C1530,Akaun!$A$5:$A$150,0)))</f>
        <v/>
      </c>
      <c r="H1530" s="1" t="str">
        <f aca="false">IF(C1530="","",INDEX(Akaun!$D$5:$D$150,MATCH(C1530,Akaun!$A$5:$A$150,0)))</f>
        <v/>
      </c>
    </row>
    <row r="1531" customFormat="false" ht="15" hidden="false" customHeight="true" outlineLevel="0" collapsed="false">
      <c r="G1531" s="1" t="str">
        <f aca="false">IF(C1531="","",INDEX(Akaun!$F$5:$F$150,MATCH(C1531,Akaun!$A$5:$A$150,0)))</f>
        <v/>
      </c>
      <c r="H1531" s="1" t="str">
        <f aca="false">IF(C1531="","",INDEX(Akaun!$D$5:$D$150,MATCH(C1531,Akaun!$A$5:$A$150,0)))</f>
        <v/>
      </c>
    </row>
    <row r="1532" customFormat="false" ht="15" hidden="false" customHeight="true" outlineLevel="0" collapsed="false">
      <c r="G1532" s="1" t="str">
        <f aca="false">IF(C1532="","",INDEX(Akaun!$F$5:$F$150,MATCH(C1532,Akaun!$A$5:$A$150,0)))</f>
        <v/>
      </c>
      <c r="H1532" s="1" t="str">
        <f aca="false">IF(C1532="","",INDEX(Akaun!$D$5:$D$150,MATCH(C1532,Akaun!$A$5:$A$150,0)))</f>
        <v/>
      </c>
    </row>
    <row r="1533" customFormat="false" ht="15" hidden="false" customHeight="true" outlineLevel="0" collapsed="false">
      <c r="G1533" s="1" t="str">
        <f aca="false">IF(C1533="","",INDEX(Akaun!$F$5:$F$150,MATCH(C1533,Akaun!$A$5:$A$150,0)))</f>
        <v/>
      </c>
      <c r="H1533" s="1" t="str">
        <f aca="false">IF(C1533="","",INDEX(Akaun!$D$5:$D$150,MATCH(C1533,Akaun!$A$5:$A$150,0)))</f>
        <v/>
      </c>
    </row>
    <row r="1534" customFormat="false" ht="15" hidden="false" customHeight="true" outlineLevel="0" collapsed="false">
      <c r="G1534" s="1" t="str">
        <f aca="false">IF(C1534="","",INDEX(Akaun!$F$5:$F$150,MATCH(C1534,Akaun!$A$5:$A$150,0)))</f>
        <v/>
      </c>
      <c r="H1534" s="1" t="str">
        <f aca="false">IF(C1534="","",INDEX(Akaun!$D$5:$D$150,MATCH(C1534,Akaun!$A$5:$A$150,0)))</f>
        <v/>
      </c>
    </row>
    <row r="1535" customFormat="false" ht="15" hidden="false" customHeight="true" outlineLevel="0" collapsed="false">
      <c r="G1535" s="1" t="str">
        <f aca="false">IF(C1535="","",INDEX(Akaun!$F$5:$F$150,MATCH(C1535,Akaun!$A$5:$A$150,0)))</f>
        <v/>
      </c>
      <c r="H1535" s="1" t="str">
        <f aca="false">IF(C1535="","",INDEX(Akaun!$D$5:$D$150,MATCH(C1535,Akaun!$A$5:$A$150,0)))</f>
        <v/>
      </c>
    </row>
    <row r="1536" customFormat="false" ht="15" hidden="false" customHeight="true" outlineLevel="0" collapsed="false">
      <c r="G1536" s="1" t="str">
        <f aca="false">IF(C1536="","",INDEX(Akaun!$F$5:$F$150,MATCH(C1536,Akaun!$A$5:$A$150,0)))</f>
        <v/>
      </c>
      <c r="H1536" s="1" t="str">
        <f aca="false">IF(C1536="","",INDEX(Akaun!$D$5:$D$150,MATCH(C1536,Akaun!$A$5:$A$150,0)))</f>
        <v/>
      </c>
    </row>
    <row r="1537" customFormat="false" ht="15" hidden="false" customHeight="true" outlineLevel="0" collapsed="false">
      <c r="G1537" s="1" t="str">
        <f aca="false">IF(C1537="","",INDEX(Akaun!$F$5:$F$150,MATCH(C1537,Akaun!$A$5:$A$150,0)))</f>
        <v/>
      </c>
      <c r="H1537" s="1" t="str">
        <f aca="false">IF(C1537="","",INDEX(Akaun!$D$5:$D$150,MATCH(C1537,Akaun!$A$5:$A$150,0)))</f>
        <v/>
      </c>
    </row>
    <row r="1538" customFormat="false" ht="15" hidden="false" customHeight="true" outlineLevel="0" collapsed="false">
      <c r="G1538" s="1" t="str">
        <f aca="false">IF(C1538="","",INDEX(Akaun!$F$5:$F$150,MATCH(C1538,Akaun!$A$5:$A$150,0)))</f>
        <v/>
      </c>
      <c r="H1538" s="1" t="str">
        <f aca="false">IF(C1538="","",INDEX(Akaun!$D$5:$D$150,MATCH(C1538,Akaun!$A$5:$A$150,0)))</f>
        <v/>
      </c>
    </row>
    <row r="1539" customFormat="false" ht="15" hidden="false" customHeight="true" outlineLevel="0" collapsed="false">
      <c r="G1539" s="1" t="str">
        <f aca="false">IF(C1539="","",INDEX(Akaun!$F$5:$F$150,MATCH(C1539,Akaun!$A$5:$A$150,0)))</f>
        <v/>
      </c>
      <c r="H1539" s="1" t="str">
        <f aca="false">IF(C1539="","",INDEX(Akaun!$D$5:$D$150,MATCH(C1539,Akaun!$A$5:$A$150,0)))</f>
        <v/>
      </c>
    </row>
    <row r="1540" customFormat="false" ht="15" hidden="false" customHeight="true" outlineLevel="0" collapsed="false">
      <c r="G1540" s="1" t="str">
        <f aca="false">IF(C1540="","",INDEX(Akaun!$F$5:$F$150,MATCH(C1540,Akaun!$A$5:$A$150,0)))</f>
        <v/>
      </c>
      <c r="H1540" s="1" t="str">
        <f aca="false">IF(C1540="","",INDEX(Akaun!$D$5:$D$150,MATCH(C1540,Akaun!$A$5:$A$150,0)))</f>
        <v/>
      </c>
    </row>
    <row r="1541" customFormat="false" ht="15" hidden="false" customHeight="true" outlineLevel="0" collapsed="false">
      <c r="G1541" s="1" t="str">
        <f aca="false">IF(C1541="","",INDEX(Akaun!$F$5:$F$150,MATCH(C1541,Akaun!$A$5:$A$150,0)))</f>
        <v/>
      </c>
      <c r="H1541" s="1" t="str">
        <f aca="false">IF(C1541="","",INDEX(Akaun!$D$5:$D$150,MATCH(C1541,Akaun!$A$5:$A$150,0)))</f>
        <v/>
      </c>
    </row>
    <row r="1542" customFormat="false" ht="15" hidden="false" customHeight="true" outlineLevel="0" collapsed="false">
      <c r="G1542" s="1" t="str">
        <f aca="false">IF(C1542="","",INDEX(Akaun!$F$5:$F$150,MATCH(C1542,Akaun!$A$5:$A$150,0)))</f>
        <v/>
      </c>
      <c r="H1542" s="1" t="str">
        <f aca="false">IF(C1542="","",INDEX(Akaun!$D$5:$D$150,MATCH(C1542,Akaun!$A$5:$A$150,0)))</f>
        <v/>
      </c>
    </row>
    <row r="1543" customFormat="false" ht="15" hidden="false" customHeight="true" outlineLevel="0" collapsed="false">
      <c r="G1543" s="1" t="str">
        <f aca="false">IF(C1543="","",INDEX(Akaun!$F$5:$F$150,MATCH(C1543,Akaun!$A$5:$A$150,0)))</f>
        <v/>
      </c>
      <c r="H1543" s="1" t="str">
        <f aca="false">IF(C1543="","",INDEX(Akaun!$D$5:$D$150,MATCH(C1543,Akaun!$A$5:$A$150,0)))</f>
        <v/>
      </c>
    </row>
    <row r="1544" customFormat="false" ht="15" hidden="false" customHeight="true" outlineLevel="0" collapsed="false">
      <c r="G1544" s="1" t="str">
        <f aca="false">IF(C1544="","",INDEX(Akaun!$F$5:$F$150,MATCH(C1544,Akaun!$A$5:$A$150,0)))</f>
        <v/>
      </c>
      <c r="H1544" s="1" t="str">
        <f aca="false">IF(C1544="","",INDEX(Akaun!$D$5:$D$150,MATCH(C1544,Akaun!$A$5:$A$150,0)))</f>
        <v/>
      </c>
    </row>
    <row r="1545" customFormat="false" ht="15" hidden="false" customHeight="true" outlineLevel="0" collapsed="false">
      <c r="G1545" s="1" t="str">
        <f aca="false">IF(C1545="","",INDEX(Akaun!$F$5:$F$150,MATCH(C1545,Akaun!$A$5:$A$150,0)))</f>
        <v/>
      </c>
      <c r="H1545" s="1" t="str">
        <f aca="false">IF(C1545="","",INDEX(Akaun!$D$5:$D$150,MATCH(C1545,Akaun!$A$5:$A$150,0)))</f>
        <v/>
      </c>
    </row>
    <row r="1546" customFormat="false" ht="15" hidden="false" customHeight="true" outlineLevel="0" collapsed="false">
      <c r="G1546" s="1" t="str">
        <f aca="false">IF(C1546="","",INDEX(Akaun!$F$5:$F$150,MATCH(C1546,Akaun!$A$5:$A$150,0)))</f>
        <v/>
      </c>
      <c r="H1546" s="1" t="str">
        <f aca="false">IF(C1546="","",INDEX(Akaun!$D$5:$D$150,MATCH(C1546,Akaun!$A$5:$A$150,0)))</f>
        <v/>
      </c>
    </row>
    <row r="1547" customFormat="false" ht="15" hidden="false" customHeight="true" outlineLevel="0" collapsed="false">
      <c r="G1547" s="1" t="str">
        <f aca="false">IF(C1547="","",INDEX(Akaun!$F$5:$F$150,MATCH(C1547,Akaun!$A$5:$A$150,0)))</f>
        <v/>
      </c>
      <c r="H1547" s="1" t="str">
        <f aca="false">IF(C1547="","",INDEX(Akaun!$D$5:$D$150,MATCH(C1547,Akaun!$A$5:$A$150,0)))</f>
        <v/>
      </c>
    </row>
    <row r="1548" customFormat="false" ht="15" hidden="false" customHeight="true" outlineLevel="0" collapsed="false">
      <c r="G1548" s="1" t="str">
        <f aca="false">IF(C1548="","",INDEX(Akaun!$F$5:$F$150,MATCH(C1548,Akaun!$A$5:$A$150,0)))</f>
        <v/>
      </c>
      <c r="H1548" s="1" t="str">
        <f aca="false">IF(C1548="","",INDEX(Akaun!$D$5:$D$150,MATCH(C1548,Akaun!$A$5:$A$150,0)))</f>
        <v/>
      </c>
    </row>
    <row r="1549" customFormat="false" ht="15" hidden="false" customHeight="true" outlineLevel="0" collapsed="false">
      <c r="G1549" s="1" t="str">
        <f aca="false">IF(C1549="","",INDEX(Akaun!$F$5:$F$150,MATCH(C1549,Akaun!$A$5:$A$150,0)))</f>
        <v/>
      </c>
      <c r="H1549" s="1" t="str">
        <f aca="false">IF(C1549="","",INDEX(Akaun!$D$5:$D$150,MATCH(C1549,Akaun!$A$5:$A$150,0)))</f>
        <v/>
      </c>
    </row>
    <row r="1550" customFormat="false" ht="15" hidden="false" customHeight="true" outlineLevel="0" collapsed="false">
      <c r="G1550" s="1" t="str">
        <f aca="false">IF(C1550="","",INDEX(Akaun!$F$5:$F$150,MATCH(C1550,Akaun!$A$5:$A$150,0)))</f>
        <v/>
      </c>
      <c r="H1550" s="1" t="str">
        <f aca="false">IF(C1550="","",INDEX(Akaun!$D$5:$D$150,MATCH(C1550,Akaun!$A$5:$A$150,0)))</f>
        <v/>
      </c>
    </row>
    <row r="1551" customFormat="false" ht="15" hidden="false" customHeight="true" outlineLevel="0" collapsed="false">
      <c r="G1551" s="1" t="str">
        <f aca="false">IF(C1551="","",INDEX(Akaun!$F$5:$F$150,MATCH(C1551,Akaun!$A$5:$A$150,0)))</f>
        <v/>
      </c>
      <c r="H1551" s="1" t="str">
        <f aca="false">IF(C1551="","",INDEX(Akaun!$D$5:$D$150,MATCH(C1551,Akaun!$A$5:$A$150,0)))</f>
        <v/>
      </c>
    </row>
    <row r="1552" customFormat="false" ht="15" hidden="false" customHeight="true" outlineLevel="0" collapsed="false">
      <c r="G1552" s="1" t="str">
        <f aca="false">IF(C1552="","",INDEX(Akaun!$F$5:$F$150,MATCH(C1552,Akaun!$A$5:$A$150,0)))</f>
        <v/>
      </c>
      <c r="H1552" s="1" t="str">
        <f aca="false">IF(C1552="","",INDEX(Akaun!$D$5:$D$150,MATCH(C1552,Akaun!$A$5:$A$150,0)))</f>
        <v/>
      </c>
    </row>
    <row r="1553" customFormat="false" ht="15" hidden="false" customHeight="true" outlineLevel="0" collapsed="false">
      <c r="G1553" s="1" t="str">
        <f aca="false">IF(C1553="","",INDEX(Akaun!$F$5:$F$150,MATCH(C1553,Akaun!$A$5:$A$150,0)))</f>
        <v/>
      </c>
      <c r="H1553" s="1" t="str">
        <f aca="false">IF(C1553="","",INDEX(Akaun!$D$5:$D$150,MATCH(C1553,Akaun!$A$5:$A$150,0)))</f>
        <v/>
      </c>
    </row>
    <row r="1554" customFormat="false" ht="15" hidden="false" customHeight="true" outlineLevel="0" collapsed="false">
      <c r="G1554" s="1" t="str">
        <f aca="false">IF(C1554="","",INDEX(Akaun!$F$5:$F$150,MATCH(C1554,Akaun!$A$5:$A$150,0)))</f>
        <v/>
      </c>
      <c r="H1554" s="1" t="str">
        <f aca="false">IF(C1554="","",INDEX(Akaun!$D$5:$D$150,MATCH(C1554,Akaun!$A$5:$A$150,0)))</f>
        <v/>
      </c>
    </row>
    <row r="1555" customFormat="false" ht="15" hidden="false" customHeight="true" outlineLevel="0" collapsed="false">
      <c r="G1555" s="1" t="str">
        <f aca="false">IF(C1555="","",INDEX(Akaun!$F$5:$F$150,MATCH(C1555,Akaun!$A$5:$A$150,0)))</f>
        <v/>
      </c>
      <c r="H1555" s="1" t="str">
        <f aca="false">IF(C1555="","",INDEX(Akaun!$D$5:$D$150,MATCH(C1555,Akaun!$A$5:$A$150,0)))</f>
        <v/>
      </c>
    </row>
    <row r="1556" customFormat="false" ht="15" hidden="false" customHeight="true" outlineLevel="0" collapsed="false">
      <c r="G1556" s="1" t="str">
        <f aca="false">IF(C1556="","",INDEX(Akaun!$F$5:$F$150,MATCH(C1556,Akaun!$A$5:$A$150,0)))</f>
        <v/>
      </c>
      <c r="H1556" s="1" t="str">
        <f aca="false">IF(C1556="","",INDEX(Akaun!$D$5:$D$150,MATCH(C1556,Akaun!$A$5:$A$150,0)))</f>
        <v/>
      </c>
    </row>
    <row r="1557" customFormat="false" ht="15" hidden="false" customHeight="true" outlineLevel="0" collapsed="false">
      <c r="G1557" s="1" t="str">
        <f aca="false">IF(C1557="","",INDEX(Akaun!$F$5:$F$150,MATCH(C1557,Akaun!$A$5:$A$150,0)))</f>
        <v/>
      </c>
      <c r="H1557" s="1" t="str">
        <f aca="false">IF(C1557="","",INDEX(Akaun!$D$5:$D$150,MATCH(C1557,Akaun!$A$5:$A$150,0)))</f>
        <v/>
      </c>
    </row>
    <row r="1558" customFormat="false" ht="15" hidden="false" customHeight="true" outlineLevel="0" collapsed="false">
      <c r="G1558" s="1" t="str">
        <f aca="false">IF(C1558="","",INDEX(Akaun!$F$5:$F$150,MATCH(C1558,Akaun!$A$5:$A$150,0)))</f>
        <v/>
      </c>
      <c r="H1558" s="1" t="str">
        <f aca="false">IF(C1558="","",INDEX(Akaun!$D$5:$D$150,MATCH(C1558,Akaun!$A$5:$A$150,0)))</f>
        <v/>
      </c>
    </row>
    <row r="1559" customFormat="false" ht="15" hidden="false" customHeight="true" outlineLevel="0" collapsed="false">
      <c r="G1559" s="1" t="str">
        <f aca="false">IF(C1559="","",INDEX(Akaun!$F$5:$F$150,MATCH(C1559,Akaun!$A$5:$A$150,0)))</f>
        <v/>
      </c>
      <c r="H1559" s="1" t="str">
        <f aca="false">IF(C1559="","",INDEX(Akaun!$D$5:$D$150,MATCH(C1559,Akaun!$A$5:$A$150,0)))</f>
        <v/>
      </c>
    </row>
    <row r="1560" customFormat="false" ht="15" hidden="false" customHeight="true" outlineLevel="0" collapsed="false">
      <c r="G1560" s="1" t="str">
        <f aca="false">IF(C1560="","",INDEX(Akaun!$F$5:$F$150,MATCH(C1560,Akaun!$A$5:$A$150,0)))</f>
        <v/>
      </c>
      <c r="H1560" s="1" t="str">
        <f aca="false">IF(C1560="","",INDEX(Akaun!$D$5:$D$150,MATCH(C1560,Akaun!$A$5:$A$150,0)))</f>
        <v/>
      </c>
    </row>
    <row r="1561" customFormat="false" ht="15" hidden="false" customHeight="true" outlineLevel="0" collapsed="false">
      <c r="G1561" s="1" t="str">
        <f aca="false">IF(C1561="","",INDEX(Akaun!$F$5:$F$150,MATCH(C1561,Akaun!$A$5:$A$150,0)))</f>
        <v/>
      </c>
      <c r="H1561" s="1" t="str">
        <f aca="false">IF(C1561="","",INDEX(Akaun!$D$5:$D$150,MATCH(C1561,Akaun!$A$5:$A$150,0)))</f>
        <v/>
      </c>
    </row>
    <row r="1562" customFormat="false" ht="15" hidden="false" customHeight="true" outlineLevel="0" collapsed="false">
      <c r="G1562" s="1" t="str">
        <f aca="false">IF(C1562="","",INDEX(Akaun!$F$5:$F$150,MATCH(C1562,Akaun!$A$5:$A$150,0)))</f>
        <v/>
      </c>
      <c r="H1562" s="1" t="str">
        <f aca="false">IF(C1562="","",INDEX(Akaun!$D$5:$D$150,MATCH(C1562,Akaun!$A$5:$A$150,0)))</f>
        <v/>
      </c>
    </row>
    <row r="1563" customFormat="false" ht="15" hidden="false" customHeight="true" outlineLevel="0" collapsed="false">
      <c r="G1563" s="1" t="str">
        <f aca="false">IF(C1563="","",INDEX(Akaun!$F$5:$F$150,MATCH(C1563,Akaun!$A$5:$A$150,0)))</f>
        <v/>
      </c>
      <c r="H1563" s="1" t="str">
        <f aca="false">IF(C1563="","",INDEX(Akaun!$D$5:$D$150,MATCH(C1563,Akaun!$A$5:$A$150,0)))</f>
        <v/>
      </c>
    </row>
    <row r="1564" customFormat="false" ht="15" hidden="false" customHeight="true" outlineLevel="0" collapsed="false">
      <c r="G1564" s="1" t="str">
        <f aca="false">IF(C1564="","",INDEX(Akaun!$F$5:$F$150,MATCH(C1564,Akaun!$A$5:$A$150,0)))</f>
        <v/>
      </c>
      <c r="H1564" s="1" t="str">
        <f aca="false">IF(C1564="","",INDEX(Akaun!$D$5:$D$150,MATCH(C1564,Akaun!$A$5:$A$150,0)))</f>
        <v/>
      </c>
    </row>
    <row r="1565" customFormat="false" ht="15" hidden="false" customHeight="true" outlineLevel="0" collapsed="false">
      <c r="G1565" s="1" t="str">
        <f aca="false">IF(C1565="","",INDEX(Akaun!$F$5:$F$150,MATCH(C1565,Akaun!$A$5:$A$150,0)))</f>
        <v/>
      </c>
      <c r="H1565" s="1" t="str">
        <f aca="false">IF(C1565="","",INDEX(Akaun!$D$5:$D$150,MATCH(C1565,Akaun!$A$5:$A$150,0)))</f>
        <v/>
      </c>
    </row>
    <row r="1566" customFormat="false" ht="15" hidden="false" customHeight="true" outlineLevel="0" collapsed="false">
      <c r="G1566" s="1" t="str">
        <f aca="false">IF(C1566="","",INDEX(Akaun!$F$5:$F$150,MATCH(C1566,Akaun!$A$5:$A$150,0)))</f>
        <v/>
      </c>
      <c r="H1566" s="1" t="str">
        <f aca="false">IF(C1566="","",INDEX(Akaun!$D$5:$D$150,MATCH(C1566,Akaun!$A$5:$A$150,0)))</f>
        <v/>
      </c>
    </row>
    <row r="1567" customFormat="false" ht="15" hidden="false" customHeight="true" outlineLevel="0" collapsed="false">
      <c r="G1567" s="1" t="str">
        <f aca="false">IF(C1567="","",INDEX(Akaun!$F$5:$F$150,MATCH(C1567,Akaun!$A$5:$A$150,0)))</f>
        <v/>
      </c>
      <c r="H1567" s="1" t="str">
        <f aca="false">IF(C1567="","",INDEX(Akaun!$D$5:$D$150,MATCH(C1567,Akaun!$A$5:$A$150,0)))</f>
        <v/>
      </c>
    </row>
    <row r="1568" customFormat="false" ht="15" hidden="false" customHeight="true" outlineLevel="0" collapsed="false">
      <c r="G1568" s="1" t="str">
        <f aca="false">IF(C1568="","",INDEX(Akaun!$F$5:$F$150,MATCH(C1568,Akaun!$A$5:$A$150,0)))</f>
        <v/>
      </c>
      <c r="H1568" s="1" t="str">
        <f aca="false">IF(C1568="","",INDEX(Akaun!$D$5:$D$150,MATCH(C1568,Akaun!$A$5:$A$150,0)))</f>
        <v/>
      </c>
    </row>
    <row r="1569" customFormat="false" ht="15" hidden="false" customHeight="true" outlineLevel="0" collapsed="false">
      <c r="G1569" s="1" t="str">
        <f aca="false">IF(C1569="","",INDEX(Akaun!$F$5:$F$150,MATCH(C1569,Akaun!$A$5:$A$150,0)))</f>
        <v/>
      </c>
      <c r="H1569" s="1" t="str">
        <f aca="false">IF(C1569="","",INDEX(Akaun!$D$5:$D$150,MATCH(C1569,Akaun!$A$5:$A$150,0)))</f>
        <v/>
      </c>
    </row>
    <row r="1570" customFormat="false" ht="15" hidden="false" customHeight="true" outlineLevel="0" collapsed="false">
      <c r="G1570" s="1" t="str">
        <f aca="false">IF(C1570="","",INDEX(Akaun!$F$5:$F$150,MATCH(C1570,Akaun!$A$5:$A$150,0)))</f>
        <v/>
      </c>
      <c r="H1570" s="1" t="str">
        <f aca="false">IF(C1570="","",INDEX(Akaun!$D$5:$D$150,MATCH(C1570,Akaun!$A$5:$A$150,0)))</f>
        <v/>
      </c>
    </row>
    <row r="1571" customFormat="false" ht="15" hidden="false" customHeight="true" outlineLevel="0" collapsed="false">
      <c r="G1571" s="1" t="str">
        <f aca="false">IF(C1571="","",INDEX(Akaun!$F$5:$F$150,MATCH(C1571,Akaun!$A$5:$A$150,0)))</f>
        <v/>
      </c>
      <c r="H1571" s="1" t="str">
        <f aca="false">IF(C1571="","",INDEX(Akaun!$D$5:$D$150,MATCH(C1571,Akaun!$A$5:$A$150,0)))</f>
        <v/>
      </c>
    </row>
    <row r="1572" customFormat="false" ht="15" hidden="false" customHeight="true" outlineLevel="0" collapsed="false">
      <c r="G1572" s="1" t="str">
        <f aca="false">IF(C1572="","",INDEX(Akaun!$F$5:$F$150,MATCH(C1572,Akaun!$A$5:$A$150,0)))</f>
        <v/>
      </c>
      <c r="H1572" s="1" t="str">
        <f aca="false">IF(C1572="","",INDEX(Akaun!$D$5:$D$150,MATCH(C1572,Akaun!$A$5:$A$150,0)))</f>
        <v/>
      </c>
    </row>
    <row r="1573" customFormat="false" ht="15" hidden="false" customHeight="true" outlineLevel="0" collapsed="false">
      <c r="G1573" s="1" t="str">
        <f aca="false">IF(C1573="","",INDEX(Akaun!$F$5:$F$150,MATCH(C1573,Akaun!$A$5:$A$150,0)))</f>
        <v/>
      </c>
      <c r="H1573" s="1" t="str">
        <f aca="false">IF(C1573="","",INDEX(Akaun!$D$5:$D$150,MATCH(C1573,Akaun!$A$5:$A$150,0)))</f>
        <v/>
      </c>
    </row>
    <row r="1574" customFormat="false" ht="15" hidden="false" customHeight="true" outlineLevel="0" collapsed="false">
      <c r="G1574" s="1" t="str">
        <f aca="false">IF(C1574="","",INDEX(Akaun!$F$5:$F$150,MATCH(C1574,Akaun!$A$5:$A$150,0)))</f>
        <v/>
      </c>
      <c r="H1574" s="1" t="str">
        <f aca="false">IF(C1574="","",INDEX(Akaun!$D$5:$D$150,MATCH(C1574,Akaun!$A$5:$A$150,0)))</f>
        <v/>
      </c>
    </row>
    <row r="1575" customFormat="false" ht="15" hidden="false" customHeight="true" outlineLevel="0" collapsed="false">
      <c r="G1575" s="1" t="str">
        <f aca="false">IF(C1575="","",INDEX(Akaun!$F$5:$F$150,MATCH(C1575,Akaun!$A$5:$A$150,0)))</f>
        <v/>
      </c>
      <c r="H1575" s="1" t="str">
        <f aca="false">IF(C1575="","",INDEX(Akaun!$D$5:$D$150,MATCH(C1575,Akaun!$A$5:$A$150,0)))</f>
        <v/>
      </c>
    </row>
    <row r="1576" customFormat="false" ht="15" hidden="false" customHeight="true" outlineLevel="0" collapsed="false">
      <c r="G1576" s="1" t="str">
        <f aca="false">IF(C1576="","",INDEX(Akaun!$F$5:$F$150,MATCH(C1576,Akaun!$A$5:$A$150,0)))</f>
        <v/>
      </c>
      <c r="H1576" s="1" t="str">
        <f aca="false">IF(C1576="","",INDEX(Akaun!$D$5:$D$150,MATCH(C1576,Akaun!$A$5:$A$150,0)))</f>
        <v/>
      </c>
    </row>
    <row r="1577" customFormat="false" ht="15" hidden="false" customHeight="true" outlineLevel="0" collapsed="false">
      <c r="G1577" s="1" t="str">
        <f aca="false">IF(C1577="","",INDEX(Akaun!$F$5:$F$150,MATCH(C1577,Akaun!$A$5:$A$150,0)))</f>
        <v/>
      </c>
      <c r="H1577" s="1" t="str">
        <f aca="false">IF(C1577="","",INDEX(Akaun!$D$5:$D$150,MATCH(C1577,Akaun!$A$5:$A$150,0)))</f>
        <v/>
      </c>
    </row>
    <row r="1578" customFormat="false" ht="15" hidden="false" customHeight="true" outlineLevel="0" collapsed="false">
      <c r="G1578" s="1" t="str">
        <f aca="false">IF(C1578="","",INDEX(Akaun!$F$5:$F$150,MATCH(C1578,Akaun!$A$5:$A$150,0)))</f>
        <v/>
      </c>
      <c r="H1578" s="1" t="str">
        <f aca="false">IF(C1578="","",INDEX(Akaun!$D$5:$D$150,MATCH(C1578,Akaun!$A$5:$A$150,0)))</f>
        <v/>
      </c>
    </row>
    <row r="1579" customFormat="false" ht="15" hidden="false" customHeight="true" outlineLevel="0" collapsed="false">
      <c r="G1579" s="1" t="str">
        <f aca="false">IF(C1579="","",INDEX(Akaun!$F$5:$F$150,MATCH(C1579,Akaun!$A$5:$A$150,0)))</f>
        <v/>
      </c>
      <c r="H1579" s="1" t="str">
        <f aca="false">IF(C1579="","",INDEX(Akaun!$D$5:$D$150,MATCH(C1579,Akaun!$A$5:$A$150,0)))</f>
        <v/>
      </c>
    </row>
    <row r="1580" customFormat="false" ht="15" hidden="false" customHeight="true" outlineLevel="0" collapsed="false">
      <c r="G1580" s="1" t="str">
        <f aca="false">IF(C1580="","",INDEX(Akaun!$F$5:$F$150,MATCH(C1580,Akaun!$A$5:$A$150,0)))</f>
        <v/>
      </c>
      <c r="H1580" s="1" t="str">
        <f aca="false">IF(C1580="","",INDEX(Akaun!$D$5:$D$150,MATCH(C1580,Akaun!$A$5:$A$150,0)))</f>
        <v/>
      </c>
    </row>
    <row r="1581" customFormat="false" ht="15" hidden="false" customHeight="true" outlineLevel="0" collapsed="false">
      <c r="G1581" s="1" t="str">
        <f aca="false">IF(C1581="","",INDEX(Akaun!$F$5:$F$150,MATCH(C1581,Akaun!$A$5:$A$150,0)))</f>
        <v/>
      </c>
      <c r="H1581" s="1" t="str">
        <f aca="false">IF(C1581="","",INDEX(Akaun!$D$5:$D$150,MATCH(C1581,Akaun!$A$5:$A$150,0)))</f>
        <v/>
      </c>
    </row>
    <row r="1582" customFormat="false" ht="15" hidden="false" customHeight="true" outlineLevel="0" collapsed="false">
      <c r="G1582" s="1" t="str">
        <f aca="false">IF(C1582="","",INDEX(Akaun!$F$5:$F$150,MATCH(C1582,Akaun!$A$5:$A$150,0)))</f>
        <v/>
      </c>
      <c r="H1582" s="1" t="str">
        <f aca="false">IF(C1582="","",INDEX(Akaun!$D$5:$D$150,MATCH(C1582,Akaun!$A$5:$A$150,0)))</f>
        <v/>
      </c>
    </row>
    <row r="1583" customFormat="false" ht="15" hidden="false" customHeight="true" outlineLevel="0" collapsed="false">
      <c r="G1583" s="1" t="str">
        <f aca="false">IF(C1583="","",INDEX(Akaun!$F$5:$F$150,MATCH(C1583,Akaun!$A$5:$A$150,0)))</f>
        <v/>
      </c>
      <c r="H1583" s="1" t="str">
        <f aca="false">IF(C1583="","",INDEX(Akaun!$D$5:$D$150,MATCH(C1583,Akaun!$A$5:$A$150,0)))</f>
        <v/>
      </c>
    </row>
    <row r="1584" customFormat="false" ht="15" hidden="false" customHeight="true" outlineLevel="0" collapsed="false">
      <c r="G1584" s="1" t="str">
        <f aca="false">IF(C1584="","",INDEX(Akaun!$F$5:$F$150,MATCH(C1584,Akaun!$A$5:$A$150,0)))</f>
        <v/>
      </c>
      <c r="H1584" s="1" t="str">
        <f aca="false">IF(C1584="","",INDEX(Akaun!$D$5:$D$150,MATCH(C1584,Akaun!$A$5:$A$150,0)))</f>
        <v/>
      </c>
    </row>
    <row r="1585" customFormat="false" ht="15" hidden="false" customHeight="true" outlineLevel="0" collapsed="false">
      <c r="G1585" s="1" t="str">
        <f aca="false">IF(C1585="","",INDEX(Akaun!$F$5:$F$150,MATCH(C1585,Akaun!$A$5:$A$150,0)))</f>
        <v/>
      </c>
      <c r="H1585" s="1" t="str">
        <f aca="false">IF(C1585="","",INDEX(Akaun!$D$5:$D$150,MATCH(C1585,Akaun!$A$5:$A$150,0)))</f>
        <v/>
      </c>
    </row>
    <row r="1586" customFormat="false" ht="15" hidden="false" customHeight="true" outlineLevel="0" collapsed="false">
      <c r="G1586" s="1" t="str">
        <f aca="false">IF(C1586="","",INDEX(Akaun!$F$5:$F$150,MATCH(C1586,Akaun!$A$5:$A$150,0)))</f>
        <v/>
      </c>
      <c r="H1586" s="1" t="str">
        <f aca="false">IF(C1586="","",INDEX(Akaun!$D$5:$D$150,MATCH(C1586,Akaun!$A$5:$A$150,0)))</f>
        <v/>
      </c>
    </row>
    <row r="1587" customFormat="false" ht="15" hidden="false" customHeight="true" outlineLevel="0" collapsed="false">
      <c r="G1587" s="1" t="str">
        <f aca="false">IF(C1587="","",INDEX(Akaun!$F$5:$F$150,MATCH(C1587,Akaun!$A$5:$A$150,0)))</f>
        <v/>
      </c>
      <c r="H1587" s="1" t="str">
        <f aca="false">IF(C1587="","",INDEX(Akaun!$D$5:$D$150,MATCH(C1587,Akaun!$A$5:$A$150,0)))</f>
        <v/>
      </c>
    </row>
    <row r="1588" customFormat="false" ht="15" hidden="false" customHeight="true" outlineLevel="0" collapsed="false">
      <c r="G1588" s="1" t="str">
        <f aca="false">IF(C1588="","",INDEX(Akaun!$F$5:$F$150,MATCH(C1588,Akaun!$A$5:$A$150,0)))</f>
        <v/>
      </c>
      <c r="H1588" s="1" t="str">
        <f aca="false">IF(C1588="","",INDEX(Akaun!$D$5:$D$150,MATCH(C1588,Akaun!$A$5:$A$150,0)))</f>
        <v/>
      </c>
    </row>
    <row r="1589" customFormat="false" ht="15" hidden="false" customHeight="true" outlineLevel="0" collapsed="false">
      <c r="G1589" s="1" t="str">
        <f aca="false">IF(C1589="","",INDEX(Akaun!$F$5:$F$150,MATCH(C1589,Akaun!$A$5:$A$150,0)))</f>
        <v/>
      </c>
      <c r="H1589" s="1" t="str">
        <f aca="false">IF(C1589="","",INDEX(Akaun!$D$5:$D$150,MATCH(C1589,Akaun!$A$5:$A$150,0)))</f>
        <v/>
      </c>
    </row>
    <row r="1590" customFormat="false" ht="15" hidden="false" customHeight="true" outlineLevel="0" collapsed="false">
      <c r="G1590" s="1" t="str">
        <f aca="false">IF(C1590="","",INDEX(Akaun!$F$5:$F$150,MATCH(C1590,Akaun!$A$5:$A$150,0)))</f>
        <v/>
      </c>
      <c r="H1590" s="1" t="str">
        <f aca="false">IF(C1590="","",INDEX(Akaun!$D$5:$D$150,MATCH(C1590,Akaun!$A$5:$A$150,0)))</f>
        <v/>
      </c>
    </row>
    <row r="1591" customFormat="false" ht="15" hidden="false" customHeight="true" outlineLevel="0" collapsed="false">
      <c r="G1591" s="1" t="str">
        <f aca="false">IF(C1591="","",INDEX(Akaun!$F$5:$F$150,MATCH(C1591,Akaun!$A$5:$A$150,0)))</f>
        <v/>
      </c>
      <c r="H1591" s="1" t="str">
        <f aca="false">IF(C1591="","",INDEX(Akaun!$D$5:$D$150,MATCH(C1591,Akaun!$A$5:$A$150,0)))</f>
        <v/>
      </c>
    </row>
    <row r="1592" customFormat="false" ht="15" hidden="false" customHeight="true" outlineLevel="0" collapsed="false">
      <c r="G1592" s="1" t="str">
        <f aca="false">IF(C1592="","",INDEX(Akaun!$F$5:$F$150,MATCH(C1592,Akaun!$A$5:$A$150,0)))</f>
        <v/>
      </c>
      <c r="H1592" s="1" t="str">
        <f aca="false">IF(C1592="","",INDEX(Akaun!$D$5:$D$150,MATCH(C1592,Akaun!$A$5:$A$150,0)))</f>
        <v/>
      </c>
    </row>
    <row r="1593" customFormat="false" ht="15" hidden="false" customHeight="true" outlineLevel="0" collapsed="false">
      <c r="G1593" s="1" t="str">
        <f aca="false">IF(C1593="","",INDEX(Akaun!$F$5:$F$150,MATCH(C1593,Akaun!$A$5:$A$150,0)))</f>
        <v/>
      </c>
      <c r="H1593" s="1" t="str">
        <f aca="false">IF(C1593="","",INDEX(Akaun!$D$5:$D$150,MATCH(C1593,Akaun!$A$5:$A$150,0)))</f>
        <v/>
      </c>
    </row>
    <row r="1594" customFormat="false" ht="15" hidden="false" customHeight="true" outlineLevel="0" collapsed="false">
      <c r="G1594" s="1" t="str">
        <f aca="false">IF(C1594="","",INDEX(Akaun!$F$5:$F$150,MATCH(C1594,Akaun!$A$5:$A$150,0)))</f>
        <v/>
      </c>
      <c r="H1594" s="1" t="str">
        <f aca="false">IF(C1594="","",INDEX(Akaun!$D$5:$D$150,MATCH(C1594,Akaun!$A$5:$A$150,0)))</f>
        <v/>
      </c>
    </row>
    <row r="1595" customFormat="false" ht="15" hidden="false" customHeight="true" outlineLevel="0" collapsed="false">
      <c r="G1595" s="1" t="str">
        <f aca="false">IF(C1595="","",INDEX(Akaun!$F$5:$F$150,MATCH(C1595,Akaun!$A$5:$A$150,0)))</f>
        <v/>
      </c>
      <c r="H1595" s="1" t="str">
        <f aca="false">IF(C1595="","",INDEX(Akaun!$D$5:$D$150,MATCH(C1595,Akaun!$A$5:$A$150,0)))</f>
        <v/>
      </c>
    </row>
    <row r="1596" customFormat="false" ht="15" hidden="false" customHeight="true" outlineLevel="0" collapsed="false">
      <c r="G1596" s="1" t="str">
        <f aca="false">IF(C1596="","",INDEX(Akaun!$F$5:$F$150,MATCH(C1596,Akaun!$A$5:$A$150,0)))</f>
        <v/>
      </c>
      <c r="H1596" s="1" t="str">
        <f aca="false">IF(C1596="","",INDEX(Akaun!$D$5:$D$150,MATCH(C1596,Akaun!$A$5:$A$150,0)))</f>
        <v/>
      </c>
    </row>
    <row r="1597" customFormat="false" ht="15" hidden="false" customHeight="true" outlineLevel="0" collapsed="false">
      <c r="G1597" s="1" t="str">
        <f aca="false">IF(C1597="","",INDEX(Akaun!$F$5:$F$150,MATCH(C1597,Akaun!$A$5:$A$150,0)))</f>
        <v/>
      </c>
      <c r="H1597" s="1" t="str">
        <f aca="false">IF(C1597="","",INDEX(Akaun!$D$5:$D$150,MATCH(C1597,Akaun!$A$5:$A$150,0)))</f>
        <v/>
      </c>
    </row>
    <row r="1598" customFormat="false" ht="15" hidden="false" customHeight="true" outlineLevel="0" collapsed="false">
      <c r="G1598" s="1" t="str">
        <f aca="false">IF(C1598="","",INDEX(Akaun!$F$5:$F$150,MATCH(C1598,Akaun!$A$5:$A$150,0)))</f>
        <v/>
      </c>
      <c r="H1598" s="1" t="str">
        <f aca="false">IF(C1598="","",INDEX(Akaun!$D$5:$D$150,MATCH(C1598,Akaun!$A$5:$A$150,0)))</f>
        <v/>
      </c>
    </row>
    <row r="1599" customFormat="false" ht="15" hidden="false" customHeight="true" outlineLevel="0" collapsed="false">
      <c r="G1599" s="1" t="str">
        <f aca="false">IF(C1599="","",INDEX(Akaun!$F$5:$F$150,MATCH(C1599,Akaun!$A$5:$A$150,0)))</f>
        <v/>
      </c>
      <c r="H1599" s="1" t="str">
        <f aca="false">IF(C1599="","",INDEX(Akaun!$D$5:$D$150,MATCH(C1599,Akaun!$A$5:$A$150,0)))</f>
        <v/>
      </c>
    </row>
    <row r="1600" customFormat="false" ht="15" hidden="false" customHeight="true" outlineLevel="0" collapsed="false">
      <c r="G1600" s="1" t="str">
        <f aca="false">IF(C1600="","",INDEX(Akaun!$F$5:$F$150,MATCH(C1600,Akaun!$A$5:$A$150,0)))</f>
        <v/>
      </c>
      <c r="H1600" s="1" t="str">
        <f aca="false">IF(C1600="","",INDEX(Akaun!$D$5:$D$150,MATCH(C1600,Akaun!$A$5:$A$150,0)))</f>
        <v/>
      </c>
    </row>
    <row r="1601" customFormat="false" ht="15" hidden="false" customHeight="true" outlineLevel="0" collapsed="false">
      <c r="G1601" s="1" t="str">
        <f aca="false">IF(C1601="","",INDEX(Akaun!$F$5:$F$150,MATCH(C1601,Akaun!$A$5:$A$150,0)))</f>
        <v/>
      </c>
      <c r="H1601" s="1" t="str">
        <f aca="false">IF(C1601="","",INDEX(Akaun!$D$5:$D$150,MATCH(C1601,Akaun!$A$5:$A$150,0)))</f>
        <v/>
      </c>
    </row>
    <row r="1602" customFormat="false" ht="15" hidden="false" customHeight="true" outlineLevel="0" collapsed="false">
      <c r="G1602" s="1" t="str">
        <f aca="false">IF(C1602="","",INDEX(Akaun!$F$5:$F$150,MATCH(C1602,Akaun!$A$5:$A$150,0)))</f>
        <v/>
      </c>
      <c r="H1602" s="1" t="str">
        <f aca="false">IF(C1602="","",INDEX(Akaun!$D$5:$D$150,MATCH(C1602,Akaun!$A$5:$A$150,0)))</f>
        <v/>
      </c>
    </row>
    <row r="1603" customFormat="false" ht="15" hidden="false" customHeight="true" outlineLevel="0" collapsed="false">
      <c r="G1603" s="1" t="str">
        <f aca="false">IF(C1603="","",INDEX(Akaun!$F$5:$F$150,MATCH(C1603,Akaun!$A$5:$A$150,0)))</f>
        <v/>
      </c>
      <c r="H1603" s="1" t="str">
        <f aca="false">IF(C1603="","",INDEX(Akaun!$D$5:$D$150,MATCH(C1603,Akaun!$A$5:$A$150,0)))</f>
        <v/>
      </c>
    </row>
    <row r="1604" customFormat="false" ht="15" hidden="false" customHeight="true" outlineLevel="0" collapsed="false">
      <c r="G1604" s="1" t="str">
        <f aca="false">IF(C1604="","",INDEX(Akaun!$F$5:$F$150,MATCH(C1604,Akaun!$A$5:$A$150,0)))</f>
        <v/>
      </c>
      <c r="H1604" s="1" t="str">
        <f aca="false">IF(C1604="","",INDEX(Akaun!$D$5:$D$150,MATCH(C1604,Akaun!$A$5:$A$150,0)))</f>
        <v/>
      </c>
    </row>
    <row r="1605" customFormat="false" ht="15" hidden="false" customHeight="true" outlineLevel="0" collapsed="false">
      <c r="G1605" s="1" t="str">
        <f aca="false">IF(C1605="","",INDEX(Akaun!$F$5:$F$150,MATCH(C1605,Akaun!$A$5:$A$150,0)))</f>
        <v/>
      </c>
      <c r="H1605" s="1" t="str">
        <f aca="false">IF(C1605="","",INDEX(Akaun!$D$5:$D$150,MATCH(C1605,Akaun!$A$5:$A$150,0)))</f>
        <v/>
      </c>
    </row>
    <row r="1606" customFormat="false" ht="15" hidden="false" customHeight="true" outlineLevel="0" collapsed="false">
      <c r="G1606" s="1" t="str">
        <f aca="false">IF(C1606="","",INDEX(Akaun!$F$5:$F$150,MATCH(C1606,Akaun!$A$5:$A$150,0)))</f>
        <v/>
      </c>
      <c r="H1606" s="1" t="str">
        <f aca="false">IF(C1606="","",INDEX(Akaun!$D$5:$D$150,MATCH(C1606,Akaun!$A$5:$A$150,0)))</f>
        <v/>
      </c>
    </row>
    <row r="1607" customFormat="false" ht="15" hidden="false" customHeight="true" outlineLevel="0" collapsed="false">
      <c r="G1607" s="1" t="str">
        <f aca="false">IF(C1607="","",INDEX(Akaun!$F$5:$F$150,MATCH(C1607,Akaun!$A$5:$A$150,0)))</f>
        <v/>
      </c>
      <c r="H1607" s="1" t="str">
        <f aca="false">IF(C1607="","",INDEX(Akaun!$D$5:$D$150,MATCH(C1607,Akaun!$A$5:$A$150,0)))</f>
        <v/>
      </c>
    </row>
    <row r="1608" customFormat="false" ht="15" hidden="false" customHeight="true" outlineLevel="0" collapsed="false">
      <c r="G1608" s="1" t="str">
        <f aca="false">IF(C1608="","",INDEX(Akaun!$F$5:$F$150,MATCH(C1608,Akaun!$A$5:$A$150,0)))</f>
        <v/>
      </c>
      <c r="H1608" s="1" t="str">
        <f aca="false">IF(C1608="","",INDEX(Akaun!$D$5:$D$150,MATCH(C1608,Akaun!$A$5:$A$150,0)))</f>
        <v/>
      </c>
    </row>
    <row r="1609" customFormat="false" ht="15" hidden="false" customHeight="true" outlineLevel="0" collapsed="false">
      <c r="G1609" s="1" t="str">
        <f aca="false">IF(C1609="","",INDEX(Akaun!$F$5:$F$150,MATCH(C1609,Akaun!$A$5:$A$150,0)))</f>
        <v/>
      </c>
      <c r="H1609" s="1" t="str">
        <f aca="false">IF(C1609="","",INDEX(Akaun!$D$5:$D$150,MATCH(C1609,Akaun!$A$5:$A$150,0)))</f>
        <v/>
      </c>
    </row>
    <row r="1610" customFormat="false" ht="15" hidden="false" customHeight="true" outlineLevel="0" collapsed="false">
      <c r="G1610" s="1" t="str">
        <f aca="false">IF(C1610="","",INDEX(Akaun!$F$5:$F$150,MATCH(C1610,Akaun!$A$5:$A$150,0)))</f>
        <v/>
      </c>
      <c r="H1610" s="1" t="str">
        <f aca="false">IF(C1610="","",INDEX(Akaun!$D$5:$D$150,MATCH(C1610,Akaun!$A$5:$A$150,0)))</f>
        <v/>
      </c>
    </row>
    <row r="1611" customFormat="false" ht="15" hidden="false" customHeight="true" outlineLevel="0" collapsed="false">
      <c r="G1611" s="1" t="str">
        <f aca="false">IF(C1611="","",INDEX(Akaun!$F$5:$F$150,MATCH(C1611,Akaun!$A$5:$A$150,0)))</f>
        <v/>
      </c>
      <c r="H1611" s="1" t="str">
        <f aca="false">IF(C1611="","",INDEX(Akaun!$D$5:$D$150,MATCH(C1611,Akaun!$A$5:$A$150,0)))</f>
        <v/>
      </c>
    </row>
    <row r="1612" customFormat="false" ht="15" hidden="false" customHeight="true" outlineLevel="0" collapsed="false">
      <c r="G1612" s="1" t="str">
        <f aca="false">IF(C1612="","",INDEX(Akaun!$F$5:$F$150,MATCH(C1612,Akaun!$A$5:$A$150,0)))</f>
        <v/>
      </c>
      <c r="H1612" s="1" t="str">
        <f aca="false">IF(C1612="","",INDEX(Akaun!$D$5:$D$150,MATCH(C1612,Akaun!$A$5:$A$150,0)))</f>
        <v/>
      </c>
    </row>
    <row r="1613" customFormat="false" ht="15" hidden="false" customHeight="true" outlineLevel="0" collapsed="false">
      <c r="G1613" s="1" t="str">
        <f aca="false">IF(C1613="","",INDEX(Akaun!$F$5:$F$150,MATCH(C1613,Akaun!$A$5:$A$150,0)))</f>
        <v/>
      </c>
      <c r="H1613" s="1" t="str">
        <f aca="false">IF(C1613="","",INDEX(Akaun!$D$5:$D$150,MATCH(C1613,Akaun!$A$5:$A$150,0)))</f>
        <v/>
      </c>
    </row>
    <row r="1614" customFormat="false" ht="15" hidden="false" customHeight="true" outlineLevel="0" collapsed="false">
      <c r="G1614" s="1" t="str">
        <f aca="false">IF(C1614="","",INDEX(Akaun!$F$5:$F$150,MATCH(C1614,Akaun!$A$5:$A$150,0)))</f>
        <v/>
      </c>
      <c r="H1614" s="1" t="str">
        <f aca="false">IF(C1614="","",INDEX(Akaun!$D$5:$D$150,MATCH(C1614,Akaun!$A$5:$A$150,0)))</f>
        <v/>
      </c>
    </row>
    <row r="1615" customFormat="false" ht="15" hidden="false" customHeight="true" outlineLevel="0" collapsed="false">
      <c r="G1615" s="1" t="str">
        <f aca="false">IF(C1615="","",INDEX(Akaun!$F$5:$F$150,MATCH(C1615,Akaun!$A$5:$A$150,0)))</f>
        <v/>
      </c>
      <c r="H1615" s="1" t="str">
        <f aca="false">IF(C1615="","",INDEX(Akaun!$D$5:$D$150,MATCH(C1615,Akaun!$A$5:$A$150,0)))</f>
        <v/>
      </c>
    </row>
    <row r="1616" customFormat="false" ht="15" hidden="false" customHeight="true" outlineLevel="0" collapsed="false">
      <c r="G1616" s="1" t="str">
        <f aca="false">IF(C1616="","",INDEX(Akaun!$F$5:$F$150,MATCH(C1616,Akaun!$A$5:$A$150,0)))</f>
        <v/>
      </c>
      <c r="H1616" s="1" t="str">
        <f aca="false">IF(C1616="","",INDEX(Akaun!$D$5:$D$150,MATCH(C1616,Akaun!$A$5:$A$150,0)))</f>
        <v/>
      </c>
    </row>
    <row r="1617" customFormat="false" ht="15" hidden="false" customHeight="true" outlineLevel="0" collapsed="false">
      <c r="G1617" s="1" t="str">
        <f aca="false">IF(C1617="","",INDEX(Akaun!$F$5:$F$150,MATCH(C1617,Akaun!$A$5:$A$150,0)))</f>
        <v/>
      </c>
      <c r="H1617" s="1" t="str">
        <f aca="false">IF(C1617="","",INDEX(Akaun!$D$5:$D$150,MATCH(C1617,Akaun!$A$5:$A$150,0)))</f>
        <v/>
      </c>
    </row>
    <row r="1618" customFormat="false" ht="15" hidden="false" customHeight="true" outlineLevel="0" collapsed="false">
      <c r="G1618" s="1" t="str">
        <f aca="false">IF(C1618="","",INDEX(Akaun!$F$5:$F$150,MATCH(C1618,Akaun!$A$5:$A$150,0)))</f>
        <v/>
      </c>
      <c r="H1618" s="1" t="str">
        <f aca="false">IF(C1618="","",INDEX(Akaun!$D$5:$D$150,MATCH(C1618,Akaun!$A$5:$A$150,0)))</f>
        <v/>
      </c>
    </row>
    <row r="1619" customFormat="false" ht="15" hidden="false" customHeight="true" outlineLevel="0" collapsed="false">
      <c r="G1619" s="1" t="str">
        <f aca="false">IF(C1619="","",INDEX(Akaun!$F$5:$F$150,MATCH(C1619,Akaun!$A$5:$A$150,0)))</f>
        <v/>
      </c>
      <c r="H1619" s="1" t="str">
        <f aca="false">IF(C1619="","",INDEX(Akaun!$D$5:$D$150,MATCH(C1619,Akaun!$A$5:$A$150,0)))</f>
        <v/>
      </c>
    </row>
    <row r="1620" customFormat="false" ht="15" hidden="false" customHeight="true" outlineLevel="0" collapsed="false">
      <c r="G1620" s="1" t="str">
        <f aca="false">IF(C1620="","",INDEX(Akaun!$F$5:$F$150,MATCH(C1620,Akaun!$A$5:$A$150,0)))</f>
        <v/>
      </c>
      <c r="H1620" s="1" t="str">
        <f aca="false">IF(C1620="","",INDEX(Akaun!$D$5:$D$150,MATCH(C1620,Akaun!$A$5:$A$150,0)))</f>
        <v/>
      </c>
    </row>
    <row r="1621" customFormat="false" ht="15" hidden="false" customHeight="true" outlineLevel="0" collapsed="false">
      <c r="G1621" s="1" t="str">
        <f aca="false">IF(C1621="","",INDEX(Akaun!$F$5:$F$150,MATCH(C1621,Akaun!$A$5:$A$150,0)))</f>
        <v/>
      </c>
      <c r="H1621" s="1" t="str">
        <f aca="false">IF(C1621="","",INDEX(Akaun!$D$5:$D$150,MATCH(C1621,Akaun!$A$5:$A$150,0)))</f>
        <v/>
      </c>
    </row>
    <row r="1622" customFormat="false" ht="15" hidden="false" customHeight="true" outlineLevel="0" collapsed="false">
      <c r="G1622" s="1" t="str">
        <f aca="false">IF(C1622="","",INDEX(Akaun!$F$5:$F$150,MATCH(C1622,Akaun!$A$5:$A$150,0)))</f>
        <v/>
      </c>
      <c r="H1622" s="1" t="str">
        <f aca="false">IF(C1622="","",INDEX(Akaun!$D$5:$D$150,MATCH(C1622,Akaun!$A$5:$A$150,0)))</f>
        <v/>
      </c>
    </row>
    <row r="1623" customFormat="false" ht="15" hidden="false" customHeight="true" outlineLevel="0" collapsed="false">
      <c r="G1623" s="1" t="str">
        <f aca="false">IF(C1623="","",INDEX(Akaun!$F$5:$F$150,MATCH(C1623,Akaun!$A$5:$A$150,0)))</f>
        <v/>
      </c>
      <c r="H1623" s="1" t="str">
        <f aca="false">IF(C1623="","",INDEX(Akaun!$D$5:$D$150,MATCH(C1623,Akaun!$A$5:$A$150,0)))</f>
        <v/>
      </c>
    </row>
    <row r="1624" customFormat="false" ht="15" hidden="false" customHeight="true" outlineLevel="0" collapsed="false">
      <c r="G1624" s="1" t="str">
        <f aca="false">IF(C1624="","",INDEX(Akaun!$F$5:$F$150,MATCH(C1624,Akaun!$A$5:$A$150,0)))</f>
        <v/>
      </c>
      <c r="H1624" s="1" t="str">
        <f aca="false">IF(C1624="","",INDEX(Akaun!$D$5:$D$150,MATCH(C1624,Akaun!$A$5:$A$150,0)))</f>
        <v/>
      </c>
    </row>
    <row r="1625" customFormat="false" ht="15" hidden="false" customHeight="true" outlineLevel="0" collapsed="false">
      <c r="G1625" s="1" t="str">
        <f aca="false">IF(C1625="","",INDEX(Akaun!$F$5:$F$150,MATCH(C1625,Akaun!$A$5:$A$150,0)))</f>
        <v/>
      </c>
      <c r="H1625" s="1" t="str">
        <f aca="false">IF(C1625="","",INDEX(Akaun!$D$5:$D$150,MATCH(C1625,Akaun!$A$5:$A$150,0)))</f>
        <v/>
      </c>
    </row>
    <row r="1626" customFormat="false" ht="15" hidden="false" customHeight="true" outlineLevel="0" collapsed="false">
      <c r="G1626" s="1" t="str">
        <f aca="false">IF(C1626="","",INDEX(Akaun!$F$5:$F$150,MATCH(C1626,Akaun!$A$5:$A$150,0)))</f>
        <v/>
      </c>
      <c r="H1626" s="1" t="str">
        <f aca="false">IF(C1626="","",INDEX(Akaun!$D$5:$D$150,MATCH(C1626,Akaun!$A$5:$A$150,0)))</f>
        <v/>
      </c>
    </row>
    <row r="1627" customFormat="false" ht="15" hidden="false" customHeight="true" outlineLevel="0" collapsed="false">
      <c r="G1627" s="1" t="str">
        <f aca="false">IF(C1627="","",INDEX(Akaun!$F$5:$F$150,MATCH(C1627,Akaun!$A$5:$A$150,0)))</f>
        <v/>
      </c>
      <c r="H1627" s="1" t="str">
        <f aca="false">IF(C1627="","",INDEX(Akaun!$D$5:$D$150,MATCH(C1627,Akaun!$A$5:$A$150,0)))</f>
        <v/>
      </c>
    </row>
    <row r="1628" customFormat="false" ht="15" hidden="false" customHeight="true" outlineLevel="0" collapsed="false">
      <c r="G1628" s="1" t="str">
        <f aca="false">IF(C1628="","",INDEX(Akaun!$F$5:$F$150,MATCH(C1628,Akaun!$A$5:$A$150,0)))</f>
        <v/>
      </c>
      <c r="H1628" s="1" t="str">
        <f aca="false">IF(C1628="","",INDEX(Akaun!$D$5:$D$150,MATCH(C1628,Akaun!$A$5:$A$150,0)))</f>
        <v/>
      </c>
    </row>
    <row r="1629" customFormat="false" ht="15" hidden="false" customHeight="true" outlineLevel="0" collapsed="false">
      <c r="G1629" s="1" t="str">
        <f aca="false">IF(C1629="","",INDEX(Akaun!$F$5:$F$150,MATCH(C1629,Akaun!$A$5:$A$150,0)))</f>
        <v/>
      </c>
      <c r="H1629" s="1" t="str">
        <f aca="false">IF(C1629="","",INDEX(Akaun!$D$5:$D$150,MATCH(C1629,Akaun!$A$5:$A$150,0)))</f>
        <v/>
      </c>
    </row>
    <row r="1630" customFormat="false" ht="15" hidden="false" customHeight="true" outlineLevel="0" collapsed="false">
      <c r="G1630" s="1" t="str">
        <f aca="false">IF(C1630="","",INDEX(Akaun!$F$5:$F$150,MATCH(C1630,Akaun!$A$5:$A$150,0)))</f>
        <v/>
      </c>
      <c r="H1630" s="1" t="str">
        <f aca="false">IF(C1630="","",INDEX(Akaun!$D$5:$D$150,MATCH(C1630,Akaun!$A$5:$A$150,0)))</f>
        <v/>
      </c>
    </row>
    <row r="1631" customFormat="false" ht="15" hidden="false" customHeight="true" outlineLevel="0" collapsed="false">
      <c r="G1631" s="1" t="str">
        <f aca="false">IF(C1631="","",INDEX(Akaun!$F$5:$F$150,MATCH(C1631,Akaun!$A$5:$A$150,0)))</f>
        <v/>
      </c>
      <c r="H1631" s="1" t="str">
        <f aca="false">IF(C1631="","",INDEX(Akaun!$D$5:$D$150,MATCH(C1631,Akaun!$A$5:$A$150,0)))</f>
        <v/>
      </c>
    </row>
    <row r="1632" customFormat="false" ht="15" hidden="false" customHeight="true" outlineLevel="0" collapsed="false">
      <c r="G1632" s="1" t="str">
        <f aca="false">IF(C1632="","",INDEX(Akaun!$F$5:$F$150,MATCH(C1632,Akaun!$A$5:$A$150,0)))</f>
        <v/>
      </c>
      <c r="H1632" s="1" t="str">
        <f aca="false">IF(C1632="","",INDEX(Akaun!$D$5:$D$150,MATCH(C1632,Akaun!$A$5:$A$150,0)))</f>
        <v/>
      </c>
    </row>
    <row r="1633" customFormat="false" ht="15" hidden="false" customHeight="true" outlineLevel="0" collapsed="false">
      <c r="G1633" s="1" t="str">
        <f aca="false">IF(C1633="","",INDEX(Akaun!$F$5:$F$150,MATCH(C1633,Akaun!$A$5:$A$150,0)))</f>
        <v/>
      </c>
      <c r="H1633" s="1" t="str">
        <f aca="false">IF(C1633="","",INDEX(Akaun!$D$5:$D$150,MATCH(C1633,Akaun!$A$5:$A$150,0)))</f>
        <v/>
      </c>
    </row>
    <row r="1634" customFormat="false" ht="15" hidden="false" customHeight="true" outlineLevel="0" collapsed="false">
      <c r="G1634" s="1" t="str">
        <f aca="false">IF(C1634="","",INDEX(Akaun!$F$5:$F$150,MATCH(C1634,Akaun!$A$5:$A$150,0)))</f>
        <v/>
      </c>
      <c r="H1634" s="1" t="str">
        <f aca="false">IF(C1634="","",INDEX(Akaun!$D$5:$D$150,MATCH(C1634,Akaun!$A$5:$A$150,0)))</f>
        <v/>
      </c>
    </row>
    <row r="1635" customFormat="false" ht="15" hidden="false" customHeight="true" outlineLevel="0" collapsed="false">
      <c r="G1635" s="1" t="str">
        <f aca="false">IF(C1635="","",INDEX(Akaun!$F$5:$F$150,MATCH(C1635,Akaun!$A$5:$A$150,0)))</f>
        <v/>
      </c>
      <c r="H1635" s="1" t="str">
        <f aca="false">IF(C1635="","",INDEX(Akaun!$D$5:$D$150,MATCH(C1635,Akaun!$A$5:$A$150,0)))</f>
        <v/>
      </c>
    </row>
    <row r="1636" customFormat="false" ht="15" hidden="false" customHeight="true" outlineLevel="0" collapsed="false">
      <c r="G1636" s="1" t="str">
        <f aca="false">IF(C1636="","",INDEX(Akaun!$F$5:$F$150,MATCH(C1636,Akaun!$A$5:$A$150,0)))</f>
        <v/>
      </c>
      <c r="H1636" s="1" t="str">
        <f aca="false">IF(C1636="","",INDEX(Akaun!$D$5:$D$150,MATCH(C1636,Akaun!$A$5:$A$150,0)))</f>
        <v/>
      </c>
    </row>
    <row r="1637" customFormat="false" ht="15" hidden="false" customHeight="true" outlineLevel="0" collapsed="false">
      <c r="G1637" s="1" t="str">
        <f aca="false">IF(C1637="","",INDEX(Akaun!$F$5:$F$150,MATCH(C1637,Akaun!$A$5:$A$150,0)))</f>
        <v/>
      </c>
      <c r="H1637" s="1" t="str">
        <f aca="false">IF(C1637="","",INDEX(Akaun!$D$5:$D$150,MATCH(C1637,Akaun!$A$5:$A$150,0)))</f>
        <v/>
      </c>
    </row>
    <row r="1638" customFormat="false" ht="15" hidden="false" customHeight="true" outlineLevel="0" collapsed="false">
      <c r="G1638" s="1" t="str">
        <f aca="false">IF(C1638="","",INDEX(Akaun!$F$5:$F$150,MATCH(C1638,Akaun!$A$5:$A$150,0)))</f>
        <v/>
      </c>
      <c r="H1638" s="1" t="str">
        <f aca="false">IF(C1638="","",INDEX(Akaun!$D$5:$D$150,MATCH(C1638,Akaun!$A$5:$A$150,0)))</f>
        <v/>
      </c>
    </row>
    <row r="1639" customFormat="false" ht="15" hidden="false" customHeight="true" outlineLevel="0" collapsed="false">
      <c r="G1639" s="1" t="str">
        <f aca="false">IF(C1639="","",INDEX(Akaun!$F$5:$F$150,MATCH(C1639,Akaun!$A$5:$A$150,0)))</f>
        <v/>
      </c>
      <c r="H1639" s="1" t="str">
        <f aca="false">IF(C1639="","",INDEX(Akaun!$D$5:$D$150,MATCH(C1639,Akaun!$A$5:$A$150,0)))</f>
        <v/>
      </c>
    </row>
    <row r="1640" customFormat="false" ht="15" hidden="false" customHeight="true" outlineLevel="0" collapsed="false">
      <c r="G1640" s="1" t="str">
        <f aca="false">IF(C1640="","",INDEX(Akaun!$F$5:$F$150,MATCH(C1640,Akaun!$A$5:$A$150,0)))</f>
        <v/>
      </c>
      <c r="H1640" s="1" t="str">
        <f aca="false">IF(C1640="","",INDEX(Akaun!$D$5:$D$150,MATCH(C1640,Akaun!$A$5:$A$150,0)))</f>
        <v/>
      </c>
    </row>
    <row r="1641" customFormat="false" ht="15" hidden="false" customHeight="true" outlineLevel="0" collapsed="false">
      <c r="G1641" s="1" t="str">
        <f aca="false">IF(C1641="","",INDEX(Akaun!$F$5:$F$150,MATCH(C1641,Akaun!$A$5:$A$150,0)))</f>
        <v/>
      </c>
      <c r="H1641" s="1" t="str">
        <f aca="false">IF(C1641="","",INDEX(Akaun!$D$5:$D$150,MATCH(C1641,Akaun!$A$5:$A$150,0)))</f>
        <v/>
      </c>
    </row>
    <row r="1642" customFormat="false" ht="15" hidden="false" customHeight="true" outlineLevel="0" collapsed="false">
      <c r="G1642" s="1" t="str">
        <f aca="false">IF(C1642="","",INDEX(Akaun!$F$5:$F$150,MATCH(C1642,Akaun!$A$5:$A$150,0)))</f>
        <v/>
      </c>
      <c r="H1642" s="1" t="str">
        <f aca="false">IF(C1642="","",INDEX(Akaun!$D$5:$D$150,MATCH(C1642,Akaun!$A$5:$A$150,0)))</f>
        <v/>
      </c>
    </row>
    <row r="1643" customFormat="false" ht="15" hidden="false" customHeight="true" outlineLevel="0" collapsed="false">
      <c r="G1643" s="1" t="str">
        <f aca="false">IF(C1643="","",INDEX(Akaun!$F$5:$F$150,MATCH(C1643,Akaun!$A$5:$A$150,0)))</f>
        <v/>
      </c>
      <c r="H1643" s="1" t="str">
        <f aca="false">IF(C1643="","",INDEX(Akaun!$D$5:$D$150,MATCH(C1643,Akaun!$A$5:$A$150,0)))</f>
        <v/>
      </c>
    </row>
    <row r="1644" customFormat="false" ht="15" hidden="false" customHeight="true" outlineLevel="0" collapsed="false">
      <c r="G1644" s="1" t="str">
        <f aca="false">IF(C1644="","",INDEX(Akaun!$F$5:$F$150,MATCH(C1644,Akaun!$A$5:$A$150,0)))</f>
        <v/>
      </c>
      <c r="H1644" s="1" t="str">
        <f aca="false">IF(C1644="","",INDEX(Akaun!$D$5:$D$150,MATCH(C1644,Akaun!$A$5:$A$150,0)))</f>
        <v/>
      </c>
    </row>
    <row r="1645" customFormat="false" ht="15" hidden="false" customHeight="true" outlineLevel="0" collapsed="false">
      <c r="G1645" s="1" t="str">
        <f aca="false">IF(C1645="","",INDEX(Akaun!$F$5:$F$150,MATCH(C1645,Akaun!$A$5:$A$150,0)))</f>
        <v/>
      </c>
      <c r="H1645" s="1" t="str">
        <f aca="false">IF(C1645="","",INDEX(Akaun!$D$5:$D$150,MATCH(C1645,Akaun!$A$5:$A$150,0)))</f>
        <v/>
      </c>
    </row>
    <row r="1646" customFormat="false" ht="15" hidden="false" customHeight="true" outlineLevel="0" collapsed="false">
      <c r="G1646" s="1" t="str">
        <f aca="false">IF(C1646="","",INDEX(Akaun!$F$5:$F$150,MATCH(C1646,Akaun!$A$5:$A$150,0)))</f>
        <v/>
      </c>
      <c r="H1646" s="1" t="str">
        <f aca="false">IF(C1646="","",INDEX(Akaun!$D$5:$D$150,MATCH(C1646,Akaun!$A$5:$A$150,0)))</f>
        <v/>
      </c>
    </row>
    <row r="1647" customFormat="false" ht="15" hidden="false" customHeight="true" outlineLevel="0" collapsed="false">
      <c r="G1647" s="1" t="str">
        <f aca="false">IF(C1647="","",INDEX(Akaun!$F$5:$F$150,MATCH(C1647,Akaun!$A$5:$A$150,0)))</f>
        <v/>
      </c>
      <c r="H1647" s="1" t="str">
        <f aca="false">IF(C1647="","",INDEX(Akaun!$D$5:$D$150,MATCH(C1647,Akaun!$A$5:$A$150,0)))</f>
        <v/>
      </c>
    </row>
    <row r="1648" customFormat="false" ht="15" hidden="false" customHeight="true" outlineLevel="0" collapsed="false">
      <c r="G1648" s="1" t="str">
        <f aca="false">IF(C1648="","",INDEX(Akaun!$F$5:$F$150,MATCH(C1648,Akaun!$A$5:$A$150,0)))</f>
        <v/>
      </c>
      <c r="H1648" s="1" t="str">
        <f aca="false">IF(C1648="","",INDEX(Akaun!$D$5:$D$150,MATCH(C1648,Akaun!$A$5:$A$150,0)))</f>
        <v/>
      </c>
    </row>
    <row r="1649" customFormat="false" ht="15" hidden="false" customHeight="true" outlineLevel="0" collapsed="false">
      <c r="G1649" s="1" t="str">
        <f aca="false">IF(C1649="","",INDEX(Akaun!$F$5:$F$150,MATCH(C1649,Akaun!$A$5:$A$150,0)))</f>
        <v/>
      </c>
      <c r="H1649" s="1" t="str">
        <f aca="false">IF(C1649="","",INDEX(Akaun!$D$5:$D$150,MATCH(C1649,Akaun!$A$5:$A$150,0)))</f>
        <v/>
      </c>
    </row>
    <row r="1650" customFormat="false" ht="15" hidden="false" customHeight="true" outlineLevel="0" collapsed="false">
      <c r="G1650" s="1" t="str">
        <f aca="false">IF(C1650="","",INDEX(Akaun!$F$5:$F$150,MATCH(C1650,Akaun!$A$5:$A$150,0)))</f>
        <v/>
      </c>
      <c r="H1650" s="1" t="str">
        <f aca="false">IF(C1650="","",INDEX(Akaun!$D$5:$D$150,MATCH(C1650,Akaun!$A$5:$A$150,0)))</f>
        <v/>
      </c>
    </row>
    <row r="1651" customFormat="false" ht="15" hidden="false" customHeight="true" outlineLevel="0" collapsed="false">
      <c r="G1651" s="1" t="str">
        <f aca="false">IF(C1651="","",INDEX(Akaun!$F$5:$F$150,MATCH(C1651,Akaun!$A$5:$A$150,0)))</f>
        <v/>
      </c>
      <c r="H1651" s="1" t="str">
        <f aca="false">IF(C1651="","",INDEX(Akaun!$D$5:$D$150,MATCH(C1651,Akaun!$A$5:$A$150,0)))</f>
        <v/>
      </c>
    </row>
    <row r="1652" customFormat="false" ht="15" hidden="false" customHeight="true" outlineLevel="0" collapsed="false">
      <c r="G1652" s="1" t="str">
        <f aca="false">IF(C1652="","",INDEX(Akaun!$F$5:$F$150,MATCH(C1652,Akaun!$A$5:$A$150,0)))</f>
        <v/>
      </c>
      <c r="H1652" s="1" t="str">
        <f aca="false">IF(C1652="","",INDEX(Akaun!$D$5:$D$150,MATCH(C1652,Akaun!$A$5:$A$150,0)))</f>
        <v/>
      </c>
    </row>
    <row r="1653" customFormat="false" ht="15" hidden="false" customHeight="true" outlineLevel="0" collapsed="false">
      <c r="G1653" s="1" t="str">
        <f aca="false">IF(C1653="","",INDEX(Akaun!$F$5:$F$150,MATCH(C1653,Akaun!$A$5:$A$150,0)))</f>
        <v/>
      </c>
      <c r="H1653" s="1" t="str">
        <f aca="false">IF(C1653="","",INDEX(Akaun!$D$5:$D$150,MATCH(C1653,Akaun!$A$5:$A$150,0)))</f>
        <v/>
      </c>
    </row>
    <row r="1654" customFormat="false" ht="15" hidden="false" customHeight="true" outlineLevel="0" collapsed="false">
      <c r="G1654" s="1" t="str">
        <f aca="false">IF(C1654="","",INDEX(Akaun!$F$5:$F$150,MATCH(C1654,Akaun!$A$5:$A$150,0)))</f>
        <v/>
      </c>
      <c r="H1654" s="1" t="str">
        <f aca="false">IF(C1654="","",INDEX(Akaun!$D$5:$D$150,MATCH(C1654,Akaun!$A$5:$A$150,0)))</f>
        <v/>
      </c>
    </row>
    <row r="1655" customFormat="false" ht="15" hidden="false" customHeight="true" outlineLevel="0" collapsed="false">
      <c r="G1655" s="1" t="str">
        <f aca="false">IF(C1655="","",INDEX(Akaun!$F$5:$F$150,MATCH(C1655,Akaun!$A$5:$A$150,0)))</f>
        <v/>
      </c>
      <c r="H1655" s="1" t="str">
        <f aca="false">IF(C1655="","",INDEX(Akaun!$D$5:$D$150,MATCH(C1655,Akaun!$A$5:$A$150,0)))</f>
        <v/>
      </c>
    </row>
    <row r="1656" customFormat="false" ht="15" hidden="false" customHeight="true" outlineLevel="0" collapsed="false">
      <c r="G1656" s="1" t="str">
        <f aca="false">IF(C1656="","",INDEX(Akaun!$F$5:$F$150,MATCH(C1656,Akaun!$A$5:$A$150,0)))</f>
        <v/>
      </c>
      <c r="H1656" s="1" t="str">
        <f aca="false">IF(C1656="","",INDEX(Akaun!$D$5:$D$150,MATCH(C1656,Akaun!$A$5:$A$150,0)))</f>
        <v/>
      </c>
    </row>
    <row r="1657" customFormat="false" ht="15" hidden="false" customHeight="true" outlineLevel="0" collapsed="false">
      <c r="G1657" s="1" t="str">
        <f aca="false">IF(C1657="","",INDEX(Akaun!$F$5:$F$150,MATCH(C1657,Akaun!$A$5:$A$150,0)))</f>
        <v/>
      </c>
      <c r="H1657" s="1" t="str">
        <f aca="false">IF(C1657="","",INDEX(Akaun!$D$5:$D$150,MATCH(C1657,Akaun!$A$5:$A$150,0)))</f>
        <v/>
      </c>
    </row>
    <row r="1658" customFormat="false" ht="15" hidden="false" customHeight="true" outlineLevel="0" collapsed="false">
      <c r="G1658" s="1" t="str">
        <f aca="false">IF(C1658="","",INDEX(Akaun!$F$5:$F$150,MATCH(C1658,Akaun!$A$5:$A$150,0)))</f>
        <v/>
      </c>
      <c r="H1658" s="1" t="str">
        <f aca="false">IF(C1658="","",INDEX(Akaun!$D$5:$D$150,MATCH(C1658,Akaun!$A$5:$A$150,0)))</f>
        <v/>
      </c>
    </row>
    <row r="1659" customFormat="false" ht="15" hidden="false" customHeight="true" outlineLevel="0" collapsed="false">
      <c r="G1659" s="1" t="str">
        <f aca="false">IF(C1659="","",INDEX(Akaun!$F$5:$F$150,MATCH(C1659,Akaun!$A$5:$A$150,0)))</f>
        <v/>
      </c>
      <c r="H1659" s="1" t="str">
        <f aca="false">IF(C1659="","",INDEX(Akaun!$D$5:$D$150,MATCH(C1659,Akaun!$A$5:$A$150,0)))</f>
        <v/>
      </c>
    </row>
    <row r="1660" customFormat="false" ht="15" hidden="false" customHeight="true" outlineLevel="0" collapsed="false">
      <c r="G1660" s="1" t="str">
        <f aca="false">IF(C1660="","",INDEX(Akaun!$F$5:$F$150,MATCH(C1660,Akaun!$A$5:$A$150,0)))</f>
        <v/>
      </c>
      <c r="H1660" s="1" t="str">
        <f aca="false">IF(C1660="","",INDEX(Akaun!$D$5:$D$150,MATCH(C1660,Akaun!$A$5:$A$150,0)))</f>
        <v/>
      </c>
    </row>
    <row r="1661" customFormat="false" ht="15" hidden="false" customHeight="true" outlineLevel="0" collapsed="false">
      <c r="G1661" s="1" t="str">
        <f aca="false">IF(C1661="","",INDEX(Akaun!$F$5:$F$150,MATCH(C1661,Akaun!$A$5:$A$150,0)))</f>
        <v/>
      </c>
      <c r="H1661" s="1" t="str">
        <f aca="false">IF(C1661="","",INDEX(Akaun!$D$5:$D$150,MATCH(C1661,Akaun!$A$5:$A$150,0)))</f>
        <v/>
      </c>
    </row>
    <row r="1662" customFormat="false" ht="15" hidden="false" customHeight="true" outlineLevel="0" collapsed="false">
      <c r="G1662" s="1" t="str">
        <f aca="false">IF(C1662="","",INDEX(Akaun!$F$5:$F$150,MATCH(C1662,Akaun!$A$5:$A$150,0)))</f>
        <v/>
      </c>
      <c r="H1662" s="1" t="str">
        <f aca="false">IF(C1662="","",INDEX(Akaun!$D$5:$D$150,MATCH(C1662,Akaun!$A$5:$A$150,0)))</f>
        <v/>
      </c>
    </row>
    <row r="1663" customFormat="false" ht="15" hidden="false" customHeight="true" outlineLevel="0" collapsed="false">
      <c r="G1663" s="1" t="str">
        <f aca="false">IF(C1663="","",INDEX(Akaun!$F$5:$F$150,MATCH(C1663,Akaun!$A$5:$A$150,0)))</f>
        <v/>
      </c>
      <c r="H1663" s="1" t="str">
        <f aca="false">IF(C1663="","",INDEX(Akaun!$D$5:$D$150,MATCH(C1663,Akaun!$A$5:$A$150,0)))</f>
        <v/>
      </c>
    </row>
    <row r="1664" customFormat="false" ht="15" hidden="false" customHeight="true" outlineLevel="0" collapsed="false">
      <c r="G1664" s="1" t="str">
        <f aca="false">IF(C1664="","",INDEX(Akaun!$F$5:$F$150,MATCH(C1664,Akaun!$A$5:$A$150,0)))</f>
        <v/>
      </c>
      <c r="H1664" s="1" t="str">
        <f aca="false">IF(C1664="","",INDEX(Akaun!$D$5:$D$150,MATCH(C1664,Akaun!$A$5:$A$150,0)))</f>
        <v/>
      </c>
    </row>
    <row r="1665" customFormat="false" ht="15" hidden="false" customHeight="true" outlineLevel="0" collapsed="false">
      <c r="G1665" s="1" t="str">
        <f aca="false">IF(C1665="","",INDEX(Akaun!$F$5:$F$150,MATCH(C1665,Akaun!$A$5:$A$150,0)))</f>
        <v/>
      </c>
      <c r="H1665" s="1" t="str">
        <f aca="false">IF(C1665="","",INDEX(Akaun!$D$5:$D$150,MATCH(C1665,Akaun!$A$5:$A$150,0)))</f>
        <v/>
      </c>
    </row>
    <row r="1666" customFormat="false" ht="15" hidden="false" customHeight="true" outlineLevel="0" collapsed="false">
      <c r="G1666" s="1" t="str">
        <f aca="false">IF(C1666="","",INDEX(Akaun!$F$5:$F$150,MATCH(C1666,Akaun!$A$5:$A$150,0)))</f>
        <v/>
      </c>
      <c r="H1666" s="1" t="str">
        <f aca="false">IF(C1666="","",INDEX(Akaun!$D$5:$D$150,MATCH(C1666,Akaun!$A$5:$A$150,0)))</f>
        <v/>
      </c>
    </row>
    <row r="1667" customFormat="false" ht="15" hidden="false" customHeight="true" outlineLevel="0" collapsed="false">
      <c r="G1667" s="1" t="str">
        <f aca="false">IF(C1667="","",INDEX(Akaun!$F$5:$F$150,MATCH(C1667,Akaun!$A$5:$A$150,0)))</f>
        <v/>
      </c>
      <c r="H1667" s="1" t="str">
        <f aca="false">IF(C1667="","",INDEX(Akaun!$D$5:$D$150,MATCH(C1667,Akaun!$A$5:$A$150,0)))</f>
        <v/>
      </c>
    </row>
    <row r="1668" customFormat="false" ht="15" hidden="false" customHeight="true" outlineLevel="0" collapsed="false">
      <c r="G1668" s="1" t="str">
        <f aca="false">IF(C1668="","",INDEX(Akaun!$F$5:$F$150,MATCH(C1668,Akaun!$A$5:$A$150,0)))</f>
        <v/>
      </c>
      <c r="H1668" s="1" t="str">
        <f aca="false">IF(C1668="","",INDEX(Akaun!$D$5:$D$150,MATCH(C1668,Akaun!$A$5:$A$150,0)))</f>
        <v/>
      </c>
    </row>
    <row r="1669" customFormat="false" ht="15" hidden="false" customHeight="true" outlineLevel="0" collapsed="false">
      <c r="G1669" s="1" t="str">
        <f aca="false">IF(C1669="","",INDEX(Akaun!$F$5:$F$150,MATCH(C1669,Akaun!$A$5:$A$150,0)))</f>
        <v/>
      </c>
      <c r="H1669" s="1" t="str">
        <f aca="false">IF(C1669="","",INDEX(Akaun!$D$5:$D$150,MATCH(C1669,Akaun!$A$5:$A$150,0)))</f>
        <v/>
      </c>
    </row>
    <row r="1670" customFormat="false" ht="15" hidden="false" customHeight="true" outlineLevel="0" collapsed="false">
      <c r="G1670" s="1" t="str">
        <f aca="false">IF(C1670="","",INDEX(Akaun!$F$5:$F$150,MATCH(C1670,Akaun!$A$5:$A$150,0)))</f>
        <v/>
      </c>
      <c r="H1670" s="1" t="str">
        <f aca="false">IF(C1670="","",INDEX(Akaun!$D$5:$D$150,MATCH(C1670,Akaun!$A$5:$A$150,0)))</f>
        <v/>
      </c>
    </row>
    <row r="1671" customFormat="false" ht="15" hidden="false" customHeight="true" outlineLevel="0" collapsed="false">
      <c r="G1671" s="1" t="str">
        <f aca="false">IF(C1671="","",INDEX(Akaun!$F$5:$F$150,MATCH(C1671,Akaun!$A$5:$A$150,0)))</f>
        <v/>
      </c>
      <c r="H1671" s="1" t="str">
        <f aca="false">IF(C1671="","",INDEX(Akaun!$D$5:$D$150,MATCH(C1671,Akaun!$A$5:$A$150,0)))</f>
        <v/>
      </c>
    </row>
    <row r="1672" customFormat="false" ht="15" hidden="false" customHeight="true" outlineLevel="0" collapsed="false">
      <c r="G1672" s="1" t="str">
        <f aca="false">IF(C1672="","",INDEX(Akaun!$F$5:$F$150,MATCH(C1672,Akaun!$A$5:$A$150,0)))</f>
        <v/>
      </c>
      <c r="H1672" s="1" t="str">
        <f aca="false">IF(C1672="","",INDEX(Akaun!$D$5:$D$150,MATCH(C1672,Akaun!$A$5:$A$150,0)))</f>
        <v/>
      </c>
    </row>
    <row r="1673" customFormat="false" ht="15" hidden="false" customHeight="true" outlineLevel="0" collapsed="false">
      <c r="G1673" s="1" t="str">
        <f aca="false">IF(C1673="","",INDEX(Akaun!$F$5:$F$150,MATCH(C1673,Akaun!$A$5:$A$150,0)))</f>
        <v/>
      </c>
      <c r="H1673" s="1" t="str">
        <f aca="false">IF(C1673="","",INDEX(Akaun!$D$5:$D$150,MATCH(C1673,Akaun!$A$5:$A$150,0)))</f>
        <v/>
      </c>
    </row>
    <row r="1674" customFormat="false" ht="15" hidden="false" customHeight="true" outlineLevel="0" collapsed="false">
      <c r="G1674" s="1" t="str">
        <f aca="false">IF(C1674="","",INDEX(Akaun!$F$5:$F$150,MATCH(C1674,Akaun!$A$5:$A$150,0)))</f>
        <v/>
      </c>
      <c r="H1674" s="1" t="str">
        <f aca="false">IF(C1674="","",INDEX(Akaun!$D$5:$D$150,MATCH(C1674,Akaun!$A$5:$A$150,0)))</f>
        <v/>
      </c>
    </row>
    <row r="1675" customFormat="false" ht="15" hidden="false" customHeight="true" outlineLevel="0" collapsed="false">
      <c r="G1675" s="1" t="str">
        <f aca="false">IF(C1675="","",INDEX(Akaun!$F$5:$F$150,MATCH(C1675,Akaun!$A$5:$A$150,0)))</f>
        <v/>
      </c>
      <c r="H1675" s="1" t="str">
        <f aca="false">IF(C1675="","",INDEX(Akaun!$D$5:$D$150,MATCH(C1675,Akaun!$A$5:$A$150,0)))</f>
        <v/>
      </c>
    </row>
    <row r="1676" customFormat="false" ht="15" hidden="false" customHeight="true" outlineLevel="0" collapsed="false">
      <c r="G1676" s="1" t="str">
        <f aca="false">IF(C1676="","",INDEX(Akaun!$F$5:$F$150,MATCH(C1676,Akaun!$A$5:$A$150,0)))</f>
        <v/>
      </c>
      <c r="H1676" s="1" t="str">
        <f aca="false">IF(C1676="","",INDEX(Akaun!$D$5:$D$150,MATCH(C1676,Akaun!$A$5:$A$150,0)))</f>
        <v/>
      </c>
    </row>
    <row r="1677" customFormat="false" ht="15" hidden="false" customHeight="true" outlineLevel="0" collapsed="false">
      <c r="G1677" s="1" t="str">
        <f aca="false">IF(C1677="","",INDEX(Akaun!$F$5:$F$150,MATCH(C1677,Akaun!$A$5:$A$150,0)))</f>
        <v/>
      </c>
      <c r="H1677" s="1" t="str">
        <f aca="false">IF(C1677="","",INDEX(Akaun!$D$5:$D$150,MATCH(C1677,Akaun!$A$5:$A$150,0)))</f>
        <v/>
      </c>
    </row>
    <row r="1678" customFormat="false" ht="15" hidden="false" customHeight="true" outlineLevel="0" collapsed="false">
      <c r="G1678" s="1" t="str">
        <f aca="false">IF(C1678="","",INDEX(Akaun!$F$5:$F$150,MATCH(C1678,Akaun!$A$5:$A$150,0)))</f>
        <v/>
      </c>
      <c r="H1678" s="1" t="str">
        <f aca="false">IF(C1678="","",INDEX(Akaun!$D$5:$D$150,MATCH(C1678,Akaun!$A$5:$A$150,0)))</f>
        <v/>
      </c>
    </row>
    <row r="1679" customFormat="false" ht="15" hidden="false" customHeight="true" outlineLevel="0" collapsed="false">
      <c r="G1679" s="1" t="str">
        <f aca="false">IF(C1679="","",INDEX(Akaun!$F$5:$F$150,MATCH(C1679,Akaun!$A$5:$A$150,0)))</f>
        <v/>
      </c>
      <c r="H1679" s="1" t="str">
        <f aca="false">IF(C1679="","",INDEX(Akaun!$D$5:$D$150,MATCH(C1679,Akaun!$A$5:$A$150,0)))</f>
        <v/>
      </c>
    </row>
    <row r="1680" customFormat="false" ht="15" hidden="false" customHeight="true" outlineLevel="0" collapsed="false">
      <c r="G1680" s="1" t="str">
        <f aca="false">IF(C1680="","",INDEX(Akaun!$F$5:$F$150,MATCH(C1680,Akaun!$A$5:$A$150,0)))</f>
        <v/>
      </c>
      <c r="H1680" s="1" t="str">
        <f aca="false">IF(C1680="","",INDEX(Akaun!$D$5:$D$150,MATCH(C1680,Akaun!$A$5:$A$150,0)))</f>
        <v/>
      </c>
    </row>
    <row r="1681" customFormat="false" ht="15" hidden="false" customHeight="true" outlineLevel="0" collapsed="false">
      <c r="G1681" s="1" t="str">
        <f aca="false">IF(C1681="","",INDEX(Akaun!$F$5:$F$150,MATCH(C1681,Akaun!$A$5:$A$150,0)))</f>
        <v/>
      </c>
      <c r="H1681" s="1" t="str">
        <f aca="false">IF(C1681="","",INDEX(Akaun!$D$5:$D$150,MATCH(C1681,Akaun!$A$5:$A$150,0)))</f>
        <v/>
      </c>
    </row>
    <row r="1682" customFormat="false" ht="15" hidden="false" customHeight="true" outlineLevel="0" collapsed="false">
      <c r="G1682" s="1" t="str">
        <f aca="false">IF(C1682="","",INDEX(Akaun!$F$5:$F$150,MATCH(C1682,Akaun!$A$5:$A$150,0)))</f>
        <v/>
      </c>
      <c r="H1682" s="1" t="str">
        <f aca="false">IF(C1682="","",INDEX(Akaun!$D$5:$D$150,MATCH(C1682,Akaun!$A$5:$A$150,0)))</f>
        <v/>
      </c>
    </row>
    <row r="1683" customFormat="false" ht="15" hidden="false" customHeight="true" outlineLevel="0" collapsed="false">
      <c r="G1683" s="1" t="str">
        <f aca="false">IF(C1683="","",INDEX(Akaun!$F$5:$F$150,MATCH(C1683,Akaun!$A$5:$A$150,0)))</f>
        <v/>
      </c>
      <c r="H1683" s="1" t="str">
        <f aca="false">IF(C1683="","",INDEX(Akaun!$D$5:$D$150,MATCH(C1683,Akaun!$A$5:$A$150,0)))</f>
        <v/>
      </c>
    </row>
    <row r="1684" customFormat="false" ht="15" hidden="false" customHeight="true" outlineLevel="0" collapsed="false">
      <c r="G1684" s="1" t="str">
        <f aca="false">IF(C1684="","",INDEX(Akaun!$F$5:$F$150,MATCH(C1684,Akaun!$A$5:$A$150,0)))</f>
        <v/>
      </c>
      <c r="H1684" s="1" t="str">
        <f aca="false">IF(C1684="","",INDEX(Akaun!$D$5:$D$150,MATCH(C1684,Akaun!$A$5:$A$150,0)))</f>
        <v/>
      </c>
    </row>
    <row r="1685" customFormat="false" ht="15" hidden="false" customHeight="true" outlineLevel="0" collapsed="false">
      <c r="G1685" s="1" t="str">
        <f aca="false">IF(C1685="","",INDEX(Akaun!$F$5:$F$150,MATCH(C1685,Akaun!$A$5:$A$150,0)))</f>
        <v/>
      </c>
      <c r="H1685" s="1" t="str">
        <f aca="false">IF(C1685="","",INDEX(Akaun!$D$5:$D$150,MATCH(C1685,Akaun!$A$5:$A$150,0)))</f>
        <v/>
      </c>
    </row>
    <row r="1686" customFormat="false" ht="15" hidden="false" customHeight="true" outlineLevel="0" collapsed="false">
      <c r="G1686" s="1" t="str">
        <f aca="false">IF(C1686="","",INDEX(Akaun!$F$5:$F$150,MATCH(C1686,Akaun!$A$5:$A$150,0)))</f>
        <v/>
      </c>
      <c r="H1686" s="1" t="str">
        <f aca="false">IF(C1686="","",INDEX(Akaun!$D$5:$D$150,MATCH(C1686,Akaun!$A$5:$A$150,0)))</f>
        <v/>
      </c>
    </row>
    <row r="1687" customFormat="false" ht="15" hidden="false" customHeight="true" outlineLevel="0" collapsed="false">
      <c r="G1687" s="1" t="str">
        <f aca="false">IF(C1687="","",INDEX(Akaun!$F$5:$F$150,MATCH(C1687,Akaun!$A$5:$A$150,0)))</f>
        <v/>
      </c>
      <c r="H1687" s="1" t="str">
        <f aca="false">IF(C1687="","",INDEX(Akaun!$D$5:$D$150,MATCH(C1687,Akaun!$A$5:$A$150,0)))</f>
        <v/>
      </c>
    </row>
    <row r="1688" customFormat="false" ht="15" hidden="false" customHeight="true" outlineLevel="0" collapsed="false">
      <c r="G1688" s="1" t="str">
        <f aca="false">IF(C1688="","",INDEX(Akaun!$F$5:$F$150,MATCH(C1688,Akaun!$A$5:$A$150,0)))</f>
        <v/>
      </c>
      <c r="H1688" s="1" t="str">
        <f aca="false">IF(C1688="","",INDEX(Akaun!$D$5:$D$150,MATCH(C1688,Akaun!$A$5:$A$150,0)))</f>
        <v/>
      </c>
    </row>
    <row r="1689" customFormat="false" ht="15" hidden="false" customHeight="true" outlineLevel="0" collapsed="false">
      <c r="G1689" s="1" t="str">
        <f aca="false">IF(C1689="","",INDEX(Akaun!$F$5:$F$150,MATCH(C1689,Akaun!$A$5:$A$150,0)))</f>
        <v/>
      </c>
      <c r="H1689" s="1" t="str">
        <f aca="false">IF(C1689="","",INDEX(Akaun!$D$5:$D$150,MATCH(C1689,Akaun!$A$5:$A$150,0)))</f>
        <v/>
      </c>
    </row>
    <row r="1690" customFormat="false" ht="15" hidden="false" customHeight="true" outlineLevel="0" collapsed="false">
      <c r="G1690" s="1" t="str">
        <f aca="false">IF(C1690="","",INDEX(Akaun!$F$5:$F$150,MATCH(C1690,Akaun!$A$5:$A$150,0)))</f>
        <v/>
      </c>
      <c r="H1690" s="1" t="str">
        <f aca="false">IF(C1690="","",INDEX(Akaun!$D$5:$D$150,MATCH(C1690,Akaun!$A$5:$A$150,0)))</f>
        <v/>
      </c>
    </row>
    <row r="1691" customFormat="false" ht="15" hidden="false" customHeight="true" outlineLevel="0" collapsed="false">
      <c r="G1691" s="1" t="str">
        <f aca="false">IF(C1691="","",INDEX(Akaun!$F$5:$F$150,MATCH(C1691,Akaun!$A$5:$A$150,0)))</f>
        <v/>
      </c>
      <c r="H1691" s="1" t="str">
        <f aca="false">IF(C1691="","",INDEX(Akaun!$D$5:$D$150,MATCH(C1691,Akaun!$A$5:$A$150,0)))</f>
        <v/>
      </c>
    </row>
    <row r="1692" customFormat="false" ht="15" hidden="false" customHeight="true" outlineLevel="0" collapsed="false">
      <c r="G1692" s="1" t="str">
        <f aca="false">IF(C1692="","",INDEX(Akaun!$F$5:$F$150,MATCH(C1692,Akaun!$A$5:$A$150,0)))</f>
        <v/>
      </c>
      <c r="H1692" s="1" t="str">
        <f aca="false">IF(C1692="","",INDEX(Akaun!$D$5:$D$150,MATCH(C1692,Akaun!$A$5:$A$150,0)))</f>
        <v/>
      </c>
    </row>
    <row r="1693" customFormat="false" ht="15" hidden="false" customHeight="true" outlineLevel="0" collapsed="false">
      <c r="G1693" s="1" t="str">
        <f aca="false">IF(C1693="","",INDEX(Akaun!$F$5:$F$150,MATCH(C1693,Akaun!$A$5:$A$150,0)))</f>
        <v/>
      </c>
      <c r="H1693" s="1" t="str">
        <f aca="false">IF(C1693="","",INDEX(Akaun!$D$5:$D$150,MATCH(C1693,Akaun!$A$5:$A$150,0)))</f>
        <v/>
      </c>
    </row>
    <row r="1694" customFormat="false" ht="15" hidden="false" customHeight="true" outlineLevel="0" collapsed="false">
      <c r="G1694" s="1" t="str">
        <f aca="false">IF(C1694="","",INDEX(Akaun!$F$5:$F$150,MATCH(C1694,Akaun!$A$5:$A$150,0)))</f>
        <v/>
      </c>
      <c r="H1694" s="1" t="str">
        <f aca="false">IF(C1694="","",INDEX(Akaun!$D$5:$D$150,MATCH(C1694,Akaun!$A$5:$A$150,0)))</f>
        <v/>
      </c>
    </row>
    <row r="1695" customFormat="false" ht="15" hidden="false" customHeight="true" outlineLevel="0" collapsed="false">
      <c r="G1695" s="1" t="str">
        <f aca="false">IF(C1695="","",INDEX(Akaun!$F$5:$F$150,MATCH(C1695,Akaun!$A$5:$A$150,0)))</f>
        <v/>
      </c>
      <c r="H1695" s="1" t="str">
        <f aca="false">IF(C1695="","",INDEX(Akaun!$D$5:$D$150,MATCH(C1695,Akaun!$A$5:$A$150,0)))</f>
        <v/>
      </c>
    </row>
    <row r="1696" customFormat="false" ht="15" hidden="false" customHeight="true" outlineLevel="0" collapsed="false">
      <c r="G1696" s="1" t="str">
        <f aca="false">IF(C1696="","",INDEX(Akaun!$F$5:$F$150,MATCH(C1696,Akaun!$A$5:$A$150,0)))</f>
        <v/>
      </c>
      <c r="H1696" s="1" t="str">
        <f aca="false">IF(C1696="","",INDEX(Akaun!$D$5:$D$150,MATCH(C1696,Akaun!$A$5:$A$150,0)))</f>
        <v/>
      </c>
    </row>
    <row r="1697" customFormat="false" ht="15" hidden="false" customHeight="true" outlineLevel="0" collapsed="false">
      <c r="G1697" s="1" t="str">
        <f aca="false">IF(C1697="","",INDEX(Akaun!$F$5:$F$150,MATCH(C1697,Akaun!$A$5:$A$150,0)))</f>
        <v/>
      </c>
      <c r="H1697" s="1" t="str">
        <f aca="false">IF(C1697="","",INDEX(Akaun!$D$5:$D$150,MATCH(C1697,Akaun!$A$5:$A$150,0)))</f>
        <v/>
      </c>
    </row>
    <row r="1698" customFormat="false" ht="15" hidden="false" customHeight="true" outlineLevel="0" collapsed="false">
      <c r="G1698" s="1" t="str">
        <f aca="false">IF(C1698="","",INDEX(Akaun!$F$5:$F$150,MATCH(C1698,Akaun!$A$5:$A$150,0)))</f>
        <v/>
      </c>
      <c r="H1698" s="1" t="str">
        <f aca="false">IF(C1698="","",INDEX(Akaun!$D$5:$D$150,MATCH(C1698,Akaun!$A$5:$A$150,0)))</f>
        <v/>
      </c>
    </row>
    <row r="1699" customFormat="false" ht="15" hidden="false" customHeight="true" outlineLevel="0" collapsed="false">
      <c r="G1699" s="1" t="str">
        <f aca="false">IF(C1699="","",INDEX(Akaun!$F$5:$F$150,MATCH(C1699,Akaun!$A$5:$A$150,0)))</f>
        <v/>
      </c>
      <c r="H1699" s="1" t="str">
        <f aca="false">IF(C1699="","",INDEX(Akaun!$D$5:$D$150,MATCH(C1699,Akaun!$A$5:$A$150,0)))</f>
        <v/>
      </c>
    </row>
    <row r="1700" customFormat="false" ht="15" hidden="false" customHeight="true" outlineLevel="0" collapsed="false">
      <c r="G1700" s="1" t="str">
        <f aca="false">IF(C1700="","",INDEX(Akaun!$F$5:$F$150,MATCH(C1700,Akaun!$A$5:$A$150,0)))</f>
        <v/>
      </c>
      <c r="H1700" s="1" t="str">
        <f aca="false">IF(C1700="","",INDEX(Akaun!$D$5:$D$150,MATCH(C1700,Akaun!$A$5:$A$150,0)))</f>
        <v/>
      </c>
    </row>
    <row r="1701" customFormat="false" ht="15" hidden="false" customHeight="true" outlineLevel="0" collapsed="false">
      <c r="G1701" s="1" t="str">
        <f aca="false">IF(C1701="","",INDEX(Akaun!$F$5:$F$150,MATCH(C1701,Akaun!$A$5:$A$150,0)))</f>
        <v/>
      </c>
      <c r="H1701" s="1" t="str">
        <f aca="false">IF(C1701="","",INDEX(Akaun!$D$5:$D$150,MATCH(C1701,Akaun!$A$5:$A$150,0)))</f>
        <v/>
      </c>
    </row>
    <row r="1702" customFormat="false" ht="15" hidden="false" customHeight="true" outlineLevel="0" collapsed="false">
      <c r="G1702" s="1" t="str">
        <f aca="false">IF(C1702="","",INDEX(Akaun!$F$5:$F$150,MATCH(C1702,Akaun!$A$5:$A$150,0)))</f>
        <v/>
      </c>
      <c r="H1702" s="1" t="str">
        <f aca="false">IF(C1702="","",INDEX(Akaun!$D$5:$D$150,MATCH(C1702,Akaun!$A$5:$A$150,0)))</f>
        <v/>
      </c>
    </row>
    <row r="1703" customFormat="false" ht="15" hidden="false" customHeight="true" outlineLevel="0" collapsed="false">
      <c r="G1703" s="1" t="str">
        <f aca="false">IF(C1703="","",INDEX(Akaun!$F$5:$F$150,MATCH(C1703,Akaun!$A$5:$A$150,0)))</f>
        <v/>
      </c>
      <c r="H1703" s="1" t="str">
        <f aca="false">IF(C1703="","",INDEX(Akaun!$D$5:$D$150,MATCH(C1703,Akaun!$A$5:$A$150,0)))</f>
        <v/>
      </c>
    </row>
    <row r="1704" customFormat="false" ht="15" hidden="false" customHeight="true" outlineLevel="0" collapsed="false">
      <c r="G1704" s="1" t="str">
        <f aca="false">IF(C1704="","",INDEX(Akaun!$F$5:$F$150,MATCH(C1704,Akaun!$A$5:$A$150,0)))</f>
        <v/>
      </c>
      <c r="H1704" s="1" t="str">
        <f aca="false">IF(C1704="","",INDEX(Akaun!$D$5:$D$150,MATCH(C1704,Akaun!$A$5:$A$150,0)))</f>
        <v/>
      </c>
    </row>
    <row r="1705" customFormat="false" ht="15" hidden="false" customHeight="true" outlineLevel="0" collapsed="false">
      <c r="G1705" s="1" t="str">
        <f aca="false">IF(C1705="","",INDEX(Akaun!$F$5:$F$150,MATCH(C1705,Akaun!$A$5:$A$150,0)))</f>
        <v/>
      </c>
      <c r="H1705" s="1" t="str">
        <f aca="false">IF(C1705="","",INDEX(Akaun!$D$5:$D$150,MATCH(C1705,Akaun!$A$5:$A$150,0)))</f>
        <v/>
      </c>
    </row>
    <row r="1706" customFormat="false" ht="15" hidden="false" customHeight="true" outlineLevel="0" collapsed="false">
      <c r="G1706" s="1" t="str">
        <f aca="false">IF(C1706="","",INDEX(Akaun!$F$5:$F$150,MATCH(C1706,Akaun!$A$5:$A$150,0)))</f>
        <v/>
      </c>
      <c r="H1706" s="1" t="str">
        <f aca="false">IF(C1706="","",INDEX(Akaun!$D$5:$D$150,MATCH(C1706,Akaun!$A$5:$A$150,0)))</f>
        <v/>
      </c>
    </row>
    <row r="1707" customFormat="false" ht="15" hidden="false" customHeight="true" outlineLevel="0" collapsed="false">
      <c r="G1707" s="1" t="str">
        <f aca="false">IF(C1707="","",INDEX(Akaun!$F$5:$F$150,MATCH(C1707,Akaun!$A$5:$A$150,0)))</f>
        <v/>
      </c>
      <c r="H1707" s="1" t="str">
        <f aca="false">IF(C1707="","",INDEX(Akaun!$D$5:$D$150,MATCH(C1707,Akaun!$A$5:$A$150,0)))</f>
        <v/>
      </c>
    </row>
    <row r="1708" customFormat="false" ht="15" hidden="false" customHeight="true" outlineLevel="0" collapsed="false">
      <c r="G1708" s="1" t="str">
        <f aca="false">IF(C1708="","",INDEX(Akaun!$F$5:$F$150,MATCH(C1708,Akaun!$A$5:$A$150,0)))</f>
        <v/>
      </c>
      <c r="H1708" s="1" t="str">
        <f aca="false">IF(C1708="","",INDEX(Akaun!$D$5:$D$150,MATCH(C1708,Akaun!$A$5:$A$150,0)))</f>
        <v/>
      </c>
    </row>
    <row r="1709" customFormat="false" ht="15" hidden="false" customHeight="true" outlineLevel="0" collapsed="false">
      <c r="G1709" s="1" t="str">
        <f aca="false">IF(C1709="","",INDEX(Akaun!$F$5:$F$150,MATCH(C1709,Akaun!$A$5:$A$150,0)))</f>
        <v/>
      </c>
      <c r="H1709" s="1" t="str">
        <f aca="false">IF(C1709="","",INDEX(Akaun!$D$5:$D$150,MATCH(C1709,Akaun!$A$5:$A$150,0)))</f>
        <v/>
      </c>
    </row>
    <row r="1710" customFormat="false" ht="15" hidden="false" customHeight="true" outlineLevel="0" collapsed="false">
      <c r="G1710" s="1" t="str">
        <f aca="false">IF(C1710="","",INDEX(Akaun!$F$5:$F$150,MATCH(C1710,Akaun!$A$5:$A$150,0)))</f>
        <v/>
      </c>
      <c r="H1710" s="1" t="str">
        <f aca="false">IF(C1710="","",INDEX(Akaun!$D$5:$D$150,MATCH(C1710,Akaun!$A$5:$A$150,0)))</f>
        <v/>
      </c>
    </row>
    <row r="1711" customFormat="false" ht="15" hidden="false" customHeight="true" outlineLevel="0" collapsed="false">
      <c r="G1711" s="1" t="str">
        <f aca="false">IF(C1711="","",INDEX(Akaun!$F$5:$F$150,MATCH(C1711,Akaun!$A$5:$A$150,0)))</f>
        <v/>
      </c>
      <c r="H1711" s="1" t="str">
        <f aca="false">IF(C1711="","",INDEX(Akaun!$D$5:$D$150,MATCH(C1711,Akaun!$A$5:$A$150,0)))</f>
        <v/>
      </c>
    </row>
    <row r="1712" customFormat="false" ht="15" hidden="false" customHeight="true" outlineLevel="0" collapsed="false">
      <c r="G1712" s="1" t="str">
        <f aca="false">IF(C1712="","",INDEX(Akaun!$F$5:$F$150,MATCH(C1712,Akaun!$A$5:$A$150,0)))</f>
        <v/>
      </c>
      <c r="H1712" s="1" t="str">
        <f aca="false">IF(C1712="","",INDEX(Akaun!$D$5:$D$150,MATCH(C1712,Akaun!$A$5:$A$150,0)))</f>
        <v/>
      </c>
    </row>
    <row r="1713" customFormat="false" ht="15" hidden="false" customHeight="true" outlineLevel="0" collapsed="false">
      <c r="G1713" s="1" t="str">
        <f aca="false">IF(C1713="","",INDEX(Akaun!$F$5:$F$150,MATCH(C1713,Akaun!$A$5:$A$150,0)))</f>
        <v/>
      </c>
      <c r="H1713" s="1" t="str">
        <f aca="false">IF(C1713="","",INDEX(Akaun!$D$5:$D$150,MATCH(C1713,Akaun!$A$5:$A$150,0)))</f>
        <v/>
      </c>
    </row>
    <row r="1714" customFormat="false" ht="15" hidden="false" customHeight="true" outlineLevel="0" collapsed="false">
      <c r="G1714" s="1" t="str">
        <f aca="false">IF(C1714="","",INDEX(Akaun!$F$5:$F$150,MATCH(C1714,Akaun!$A$5:$A$150,0)))</f>
        <v/>
      </c>
      <c r="H1714" s="1" t="str">
        <f aca="false">IF(C1714="","",INDEX(Akaun!$D$5:$D$150,MATCH(C1714,Akaun!$A$5:$A$150,0)))</f>
        <v/>
      </c>
    </row>
    <row r="1715" customFormat="false" ht="15" hidden="false" customHeight="true" outlineLevel="0" collapsed="false">
      <c r="G1715" s="1" t="str">
        <f aca="false">IF(C1715="","",INDEX(Akaun!$F$5:$F$150,MATCH(C1715,Akaun!$A$5:$A$150,0)))</f>
        <v/>
      </c>
      <c r="H1715" s="1" t="str">
        <f aca="false">IF(C1715="","",INDEX(Akaun!$D$5:$D$150,MATCH(C1715,Akaun!$A$5:$A$150,0)))</f>
        <v/>
      </c>
    </row>
    <row r="1716" customFormat="false" ht="15" hidden="false" customHeight="true" outlineLevel="0" collapsed="false">
      <c r="G1716" s="1" t="str">
        <f aca="false">IF(C1716="","",INDEX(Akaun!$F$5:$F$150,MATCH(C1716,Akaun!$A$5:$A$150,0)))</f>
        <v/>
      </c>
      <c r="H1716" s="1" t="str">
        <f aca="false">IF(C1716="","",INDEX(Akaun!$D$5:$D$150,MATCH(C1716,Akaun!$A$5:$A$150,0)))</f>
        <v/>
      </c>
    </row>
    <row r="1717" customFormat="false" ht="15" hidden="false" customHeight="true" outlineLevel="0" collapsed="false">
      <c r="G1717" s="1" t="str">
        <f aca="false">IF(C1717="","",INDEX(Akaun!$F$5:$F$150,MATCH(C1717,Akaun!$A$5:$A$150,0)))</f>
        <v/>
      </c>
      <c r="H1717" s="1" t="str">
        <f aca="false">IF(C1717="","",INDEX(Akaun!$D$5:$D$150,MATCH(C1717,Akaun!$A$5:$A$150,0)))</f>
        <v/>
      </c>
    </row>
    <row r="1718" customFormat="false" ht="15" hidden="false" customHeight="true" outlineLevel="0" collapsed="false">
      <c r="G1718" s="1" t="str">
        <f aca="false">IF(C1718="","",INDEX(Akaun!$F$5:$F$150,MATCH(C1718,Akaun!$A$5:$A$150,0)))</f>
        <v/>
      </c>
      <c r="H1718" s="1" t="str">
        <f aca="false">IF(C1718="","",INDEX(Akaun!$D$5:$D$150,MATCH(C1718,Akaun!$A$5:$A$150,0)))</f>
        <v/>
      </c>
    </row>
    <row r="1719" customFormat="false" ht="15" hidden="false" customHeight="true" outlineLevel="0" collapsed="false">
      <c r="G1719" s="1" t="str">
        <f aca="false">IF(C1719="","",INDEX(Akaun!$F$5:$F$150,MATCH(C1719,Akaun!$A$5:$A$150,0)))</f>
        <v/>
      </c>
      <c r="H1719" s="1" t="str">
        <f aca="false">IF(C1719="","",INDEX(Akaun!$D$5:$D$150,MATCH(C1719,Akaun!$A$5:$A$150,0)))</f>
        <v/>
      </c>
    </row>
    <row r="1720" customFormat="false" ht="15" hidden="false" customHeight="true" outlineLevel="0" collapsed="false">
      <c r="G1720" s="1" t="str">
        <f aca="false">IF(C1720="","",INDEX(Akaun!$F$5:$F$150,MATCH(C1720,Akaun!$A$5:$A$150,0)))</f>
        <v/>
      </c>
      <c r="H1720" s="1" t="str">
        <f aca="false">IF(C1720="","",INDEX(Akaun!$D$5:$D$150,MATCH(C1720,Akaun!$A$5:$A$150,0)))</f>
        <v/>
      </c>
    </row>
    <row r="1721" customFormat="false" ht="15" hidden="false" customHeight="true" outlineLevel="0" collapsed="false">
      <c r="G1721" s="1" t="str">
        <f aca="false">IF(C1721="","",INDEX(Akaun!$F$5:$F$150,MATCH(C1721,Akaun!$A$5:$A$150,0)))</f>
        <v/>
      </c>
      <c r="H1721" s="1" t="str">
        <f aca="false">IF(C1721="","",INDEX(Akaun!$D$5:$D$150,MATCH(C1721,Akaun!$A$5:$A$150,0)))</f>
        <v/>
      </c>
    </row>
    <row r="1722" customFormat="false" ht="15" hidden="false" customHeight="true" outlineLevel="0" collapsed="false">
      <c r="G1722" s="1" t="str">
        <f aca="false">IF(C1722="","",INDEX(Akaun!$F$5:$F$150,MATCH(C1722,Akaun!$A$5:$A$150,0)))</f>
        <v/>
      </c>
      <c r="H1722" s="1" t="str">
        <f aca="false">IF(C1722="","",INDEX(Akaun!$D$5:$D$150,MATCH(C1722,Akaun!$A$5:$A$150,0)))</f>
        <v/>
      </c>
    </row>
    <row r="1723" customFormat="false" ht="15" hidden="false" customHeight="true" outlineLevel="0" collapsed="false">
      <c r="G1723" s="1" t="str">
        <f aca="false">IF(C1723="","",INDEX(Akaun!$F$5:$F$150,MATCH(C1723,Akaun!$A$5:$A$150,0)))</f>
        <v/>
      </c>
      <c r="H1723" s="1" t="str">
        <f aca="false">IF(C1723="","",INDEX(Akaun!$D$5:$D$150,MATCH(C1723,Akaun!$A$5:$A$150,0)))</f>
        <v/>
      </c>
    </row>
    <row r="1724" customFormat="false" ht="15" hidden="false" customHeight="true" outlineLevel="0" collapsed="false">
      <c r="G1724" s="1" t="str">
        <f aca="false">IF(C1724="","",INDEX(Akaun!$F$5:$F$150,MATCH(C1724,Akaun!$A$5:$A$150,0)))</f>
        <v/>
      </c>
      <c r="H1724" s="1" t="str">
        <f aca="false">IF(C1724="","",INDEX(Akaun!$D$5:$D$150,MATCH(C1724,Akaun!$A$5:$A$150,0)))</f>
        <v/>
      </c>
    </row>
    <row r="1725" customFormat="false" ht="15" hidden="false" customHeight="true" outlineLevel="0" collapsed="false">
      <c r="G1725" s="1" t="str">
        <f aca="false">IF(C1725="","",INDEX(Akaun!$F$5:$F$150,MATCH(C1725,Akaun!$A$5:$A$150,0)))</f>
        <v/>
      </c>
      <c r="H1725" s="1" t="str">
        <f aca="false">IF(C1725="","",INDEX(Akaun!$D$5:$D$150,MATCH(C1725,Akaun!$A$5:$A$150,0)))</f>
        <v/>
      </c>
    </row>
    <row r="1726" customFormat="false" ht="15" hidden="false" customHeight="true" outlineLevel="0" collapsed="false">
      <c r="G1726" s="1" t="str">
        <f aca="false">IF(C1726="","",INDEX(Akaun!$F$5:$F$150,MATCH(C1726,Akaun!$A$5:$A$150,0)))</f>
        <v/>
      </c>
      <c r="H1726" s="1" t="str">
        <f aca="false">IF(C1726="","",INDEX(Akaun!$D$5:$D$150,MATCH(C1726,Akaun!$A$5:$A$150,0)))</f>
        <v/>
      </c>
    </row>
    <row r="1727" customFormat="false" ht="15" hidden="false" customHeight="true" outlineLevel="0" collapsed="false">
      <c r="G1727" s="1" t="str">
        <f aca="false">IF(C1727="","",INDEX(Akaun!$F$5:$F$150,MATCH(C1727,Akaun!$A$5:$A$150,0)))</f>
        <v/>
      </c>
      <c r="H1727" s="1" t="str">
        <f aca="false">IF(C1727="","",INDEX(Akaun!$D$5:$D$150,MATCH(C1727,Akaun!$A$5:$A$150,0)))</f>
        <v/>
      </c>
    </row>
    <row r="1728" customFormat="false" ht="15" hidden="false" customHeight="true" outlineLevel="0" collapsed="false">
      <c r="G1728" s="1" t="str">
        <f aca="false">IF(C1728="","",INDEX(Akaun!$F$5:$F$150,MATCH(C1728,Akaun!$A$5:$A$150,0)))</f>
        <v/>
      </c>
      <c r="H1728" s="1" t="str">
        <f aca="false">IF(C1728="","",INDEX(Akaun!$D$5:$D$150,MATCH(C1728,Akaun!$A$5:$A$150,0)))</f>
        <v/>
      </c>
    </row>
    <row r="1729" customFormat="false" ht="15" hidden="false" customHeight="true" outlineLevel="0" collapsed="false">
      <c r="G1729" s="1" t="str">
        <f aca="false">IF(C1729="","",INDEX(Akaun!$F$5:$F$150,MATCH(C1729,Akaun!$A$5:$A$150,0)))</f>
        <v/>
      </c>
      <c r="H1729" s="1" t="str">
        <f aca="false">IF(C1729="","",INDEX(Akaun!$D$5:$D$150,MATCH(C1729,Akaun!$A$5:$A$150,0)))</f>
        <v/>
      </c>
    </row>
    <row r="1730" customFormat="false" ht="15" hidden="false" customHeight="true" outlineLevel="0" collapsed="false">
      <c r="G1730" s="1" t="str">
        <f aca="false">IF(C1730="","",INDEX(Akaun!$F$5:$F$150,MATCH(C1730,Akaun!$A$5:$A$150,0)))</f>
        <v/>
      </c>
      <c r="H1730" s="1" t="str">
        <f aca="false">IF(C1730="","",INDEX(Akaun!$D$5:$D$150,MATCH(C1730,Akaun!$A$5:$A$150,0)))</f>
        <v/>
      </c>
    </row>
    <row r="1731" customFormat="false" ht="15" hidden="false" customHeight="true" outlineLevel="0" collapsed="false">
      <c r="G1731" s="1" t="str">
        <f aca="false">IF(C1731="","",INDEX(Akaun!$F$5:$F$150,MATCH(C1731,Akaun!$A$5:$A$150,0)))</f>
        <v/>
      </c>
      <c r="H1731" s="1" t="str">
        <f aca="false">IF(C1731="","",INDEX(Akaun!$D$5:$D$150,MATCH(C1731,Akaun!$A$5:$A$150,0)))</f>
        <v/>
      </c>
    </row>
    <row r="1732" customFormat="false" ht="15" hidden="false" customHeight="true" outlineLevel="0" collapsed="false">
      <c r="G1732" s="1" t="str">
        <f aca="false">IF(C1732="","",INDEX(Akaun!$F$5:$F$150,MATCH(C1732,Akaun!$A$5:$A$150,0)))</f>
        <v/>
      </c>
      <c r="H1732" s="1" t="str">
        <f aca="false">IF(C1732="","",INDEX(Akaun!$D$5:$D$150,MATCH(C1732,Akaun!$A$5:$A$150,0)))</f>
        <v/>
      </c>
    </row>
    <row r="1733" customFormat="false" ht="15" hidden="false" customHeight="true" outlineLevel="0" collapsed="false">
      <c r="G1733" s="1" t="str">
        <f aca="false">IF(C1733="","",INDEX(Akaun!$F$5:$F$150,MATCH(C1733,Akaun!$A$5:$A$150,0)))</f>
        <v/>
      </c>
      <c r="H1733" s="1" t="str">
        <f aca="false">IF(C1733="","",INDEX(Akaun!$D$5:$D$150,MATCH(C1733,Akaun!$A$5:$A$150,0)))</f>
        <v/>
      </c>
    </row>
    <row r="1734" customFormat="false" ht="15" hidden="false" customHeight="true" outlineLevel="0" collapsed="false">
      <c r="G1734" s="1" t="str">
        <f aca="false">IF(C1734="","",INDEX(Akaun!$F$5:$F$150,MATCH(C1734,Akaun!$A$5:$A$150,0)))</f>
        <v/>
      </c>
      <c r="H1734" s="1" t="str">
        <f aca="false">IF(C1734="","",INDEX(Akaun!$D$5:$D$150,MATCH(C1734,Akaun!$A$5:$A$150,0)))</f>
        <v/>
      </c>
    </row>
    <row r="1735" customFormat="false" ht="15" hidden="false" customHeight="true" outlineLevel="0" collapsed="false">
      <c r="G1735" s="1" t="str">
        <f aca="false">IF(C1735="","",INDEX(Akaun!$F$5:$F$150,MATCH(C1735,Akaun!$A$5:$A$150,0)))</f>
        <v/>
      </c>
      <c r="H1735" s="1" t="str">
        <f aca="false">IF(C1735="","",INDEX(Akaun!$D$5:$D$150,MATCH(C1735,Akaun!$A$5:$A$150,0)))</f>
        <v/>
      </c>
    </row>
    <row r="1736" customFormat="false" ht="15" hidden="false" customHeight="true" outlineLevel="0" collapsed="false">
      <c r="G1736" s="1" t="str">
        <f aca="false">IF(C1736="","",INDEX(Akaun!$F$5:$F$150,MATCH(C1736,Akaun!$A$5:$A$150,0)))</f>
        <v/>
      </c>
      <c r="H1736" s="1" t="str">
        <f aca="false">IF(C1736="","",INDEX(Akaun!$D$5:$D$150,MATCH(C1736,Akaun!$A$5:$A$150,0)))</f>
        <v/>
      </c>
    </row>
    <row r="1737" customFormat="false" ht="15" hidden="false" customHeight="true" outlineLevel="0" collapsed="false">
      <c r="G1737" s="1" t="str">
        <f aca="false">IF(C1737="","",INDEX(Akaun!$F$5:$F$150,MATCH(C1737,Akaun!$A$5:$A$150,0)))</f>
        <v/>
      </c>
      <c r="H1737" s="1" t="str">
        <f aca="false">IF(C1737="","",INDEX(Akaun!$D$5:$D$150,MATCH(C1737,Akaun!$A$5:$A$150,0)))</f>
        <v/>
      </c>
    </row>
    <row r="1738" customFormat="false" ht="15" hidden="false" customHeight="true" outlineLevel="0" collapsed="false">
      <c r="G1738" s="1" t="str">
        <f aca="false">IF(C1738="","",INDEX(Akaun!$F$5:$F$150,MATCH(C1738,Akaun!$A$5:$A$150,0)))</f>
        <v/>
      </c>
      <c r="H1738" s="1" t="str">
        <f aca="false">IF(C1738="","",INDEX(Akaun!$D$5:$D$150,MATCH(C1738,Akaun!$A$5:$A$150,0)))</f>
        <v/>
      </c>
    </row>
    <row r="1739" customFormat="false" ht="15" hidden="false" customHeight="true" outlineLevel="0" collapsed="false">
      <c r="G1739" s="1" t="str">
        <f aca="false">IF(C1739="","",INDEX(Akaun!$F$5:$F$150,MATCH(C1739,Akaun!$A$5:$A$150,0)))</f>
        <v/>
      </c>
      <c r="H1739" s="1" t="str">
        <f aca="false">IF(C1739="","",INDEX(Akaun!$D$5:$D$150,MATCH(C1739,Akaun!$A$5:$A$150,0)))</f>
        <v/>
      </c>
    </row>
    <row r="1740" customFormat="false" ht="15" hidden="false" customHeight="true" outlineLevel="0" collapsed="false">
      <c r="G1740" s="1" t="str">
        <f aca="false">IF(C1740="","",INDEX(Akaun!$F$5:$F$150,MATCH(C1740,Akaun!$A$5:$A$150,0)))</f>
        <v/>
      </c>
      <c r="H1740" s="1" t="str">
        <f aca="false">IF(C1740="","",INDEX(Akaun!$D$5:$D$150,MATCH(C1740,Akaun!$A$5:$A$150,0)))</f>
        <v/>
      </c>
    </row>
    <row r="1741" customFormat="false" ht="15" hidden="false" customHeight="true" outlineLevel="0" collapsed="false">
      <c r="G1741" s="1" t="str">
        <f aca="false">IF(C1741="","",INDEX(Akaun!$F$5:$F$150,MATCH(C1741,Akaun!$A$5:$A$150,0)))</f>
        <v/>
      </c>
      <c r="H1741" s="1" t="str">
        <f aca="false">IF(C1741="","",INDEX(Akaun!$D$5:$D$150,MATCH(C1741,Akaun!$A$5:$A$150,0)))</f>
        <v/>
      </c>
    </row>
    <row r="1742" customFormat="false" ht="15" hidden="false" customHeight="true" outlineLevel="0" collapsed="false">
      <c r="G1742" s="1" t="str">
        <f aca="false">IF(C1742="","",INDEX(Akaun!$F$5:$F$150,MATCH(C1742,Akaun!$A$5:$A$150,0)))</f>
        <v/>
      </c>
      <c r="H1742" s="1" t="str">
        <f aca="false">IF(C1742="","",INDEX(Akaun!$D$5:$D$150,MATCH(C1742,Akaun!$A$5:$A$150,0)))</f>
        <v/>
      </c>
    </row>
    <row r="1743" customFormat="false" ht="15" hidden="false" customHeight="true" outlineLevel="0" collapsed="false">
      <c r="G1743" s="1" t="str">
        <f aca="false">IF(C1743="","",INDEX(Akaun!$F$5:$F$150,MATCH(C1743,Akaun!$A$5:$A$150,0)))</f>
        <v/>
      </c>
      <c r="H1743" s="1" t="str">
        <f aca="false">IF(C1743="","",INDEX(Akaun!$D$5:$D$150,MATCH(C1743,Akaun!$A$5:$A$150,0)))</f>
        <v/>
      </c>
    </row>
    <row r="1744" customFormat="false" ht="15" hidden="false" customHeight="true" outlineLevel="0" collapsed="false">
      <c r="G1744" s="1" t="str">
        <f aca="false">IF(C1744="","",INDEX(Akaun!$F$5:$F$150,MATCH(C1744,Akaun!$A$5:$A$150,0)))</f>
        <v/>
      </c>
      <c r="H1744" s="1" t="str">
        <f aca="false">IF(C1744="","",INDEX(Akaun!$D$5:$D$150,MATCH(C1744,Akaun!$A$5:$A$150,0)))</f>
        <v/>
      </c>
    </row>
    <row r="1745" customFormat="false" ht="15" hidden="false" customHeight="true" outlineLevel="0" collapsed="false">
      <c r="G1745" s="1" t="str">
        <f aca="false">IF(C1745="","",INDEX(Akaun!$F$5:$F$150,MATCH(C1745,Akaun!$A$5:$A$150,0)))</f>
        <v/>
      </c>
      <c r="H1745" s="1" t="str">
        <f aca="false">IF(C1745="","",INDEX(Akaun!$D$5:$D$150,MATCH(C1745,Akaun!$A$5:$A$150,0)))</f>
        <v/>
      </c>
    </row>
    <row r="1746" customFormat="false" ht="15" hidden="false" customHeight="true" outlineLevel="0" collapsed="false">
      <c r="G1746" s="1" t="str">
        <f aca="false">IF(C1746="","",INDEX(Akaun!$F$5:$F$150,MATCH(C1746,Akaun!$A$5:$A$150,0)))</f>
        <v/>
      </c>
      <c r="H1746" s="1" t="str">
        <f aca="false">IF(C1746="","",INDEX(Akaun!$D$5:$D$150,MATCH(C1746,Akaun!$A$5:$A$150,0)))</f>
        <v/>
      </c>
    </row>
    <row r="1747" customFormat="false" ht="15" hidden="false" customHeight="true" outlineLevel="0" collapsed="false">
      <c r="G1747" s="1" t="str">
        <f aca="false">IF(C1747="","",INDEX(Akaun!$F$5:$F$150,MATCH(C1747,Akaun!$A$5:$A$150,0)))</f>
        <v/>
      </c>
      <c r="H1747" s="1" t="str">
        <f aca="false">IF(C1747="","",INDEX(Akaun!$D$5:$D$150,MATCH(C1747,Akaun!$A$5:$A$150,0)))</f>
        <v/>
      </c>
    </row>
    <row r="1748" customFormat="false" ht="15" hidden="false" customHeight="true" outlineLevel="0" collapsed="false">
      <c r="G1748" s="1" t="str">
        <f aca="false">IF(C1748="","",INDEX(Akaun!$F$5:$F$150,MATCH(C1748,Akaun!$A$5:$A$150,0)))</f>
        <v/>
      </c>
      <c r="H1748" s="1" t="str">
        <f aca="false">IF(C1748="","",INDEX(Akaun!$D$5:$D$150,MATCH(C1748,Akaun!$A$5:$A$150,0)))</f>
        <v/>
      </c>
    </row>
    <row r="1749" customFormat="false" ht="15" hidden="false" customHeight="true" outlineLevel="0" collapsed="false">
      <c r="G1749" s="1" t="str">
        <f aca="false">IF(C1749="","",INDEX(Akaun!$F$5:$F$150,MATCH(C1749,Akaun!$A$5:$A$150,0)))</f>
        <v/>
      </c>
      <c r="H1749" s="1" t="str">
        <f aca="false">IF(C1749="","",INDEX(Akaun!$D$5:$D$150,MATCH(C1749,Akaun!$A$5:$A$150,0)))</f>
        <v/>
      </c>
    </row>
    <row r="1750" customFormat="false" ht="15" hidden="false" customHeight="true" outlineLevel="0" collapsed="false">
      <c r="G1750" s="1" t="str">
        <f aca="false">IF(C1750="","",INDEX(Akaun!$F$5:$F$150,MATCH(C1750,Akaun!$A$5:$A$150,0)))</f>
        <v/>
      </c>
      <c r="H1750" s="1" t="str">
        <f aca="false">IF(C1750="","",INDEX(Akaun!$D$5:$D$150,MATCH(C1750,Akaun!$A$5:$A$150,0)))</f>
        <v/>
      </c>
    </row>
    <row r="1751" customFormat="false" ht="15" hidden="false" customHeight="true" outlineLevel="0" collapsed="false">
      <c r="G1751" s="1" t="str">
        <f aca="false">IF(C1751="","",INDEX(Akaun!$F$5:$F$150,MATCH(C1751,Akaun!$A$5:$A$150,0)))</f>
        <v/>
      </c>
      <c r="H1751" s="1" t="str">
        <f aca="false">IF(C1751="","",INDEX(Akaun!$D$5:$D$150,MATCH(C1751,Akaun!$A$5:$A$150,0)))</f>
        <v/>
      </c>
    </row>
    <row r="1752" customFormat="false" ht="15" hidden="false" customHeight="true" outlineLevel="0" collapsed="false">
      <c r="G1752" s="1" t="str">
        <f aca="false">IF(C1752="","",INDEX(Akaun!$F$5:$F$150,MATCH(C1752,Akaun!$A$5:$A$150,0)))</f>
        <v/>
      </c>
      <c r="H1752" s="1" t="str">
        <f aca="false">IF(C1752="","",INDEX(Akaun!$D$5:$D$150,MATCH(C1752,Akaun!$A$5:$A$150,0)))</f>
        <v/>
      </c>
    </row>
    <row r="1753" customFormat="false" ht="15" hidden="false" customHeight="true" outlineLevel="0" collapsed="false">
      <c r="G1753" s="1" t="str">
        <f aca="false">IF(C1753="","",INDEX(Akaun!$F$5:$F$150,MATCH(C1753,Akaun!$A$5:$A$150,0)))</f>
        <v/>
      </c>
      <c r="H1753" s="1" t="str">
        <f aca="false">IF(C1753="","",INDEX(Akaun!$D$5:$D$150,MATCH(C1753,Akaun!$A$5:$A$150,0)))</f>
        <v/>
      </c>
    </row>
    <row r="1754" customFormat="false" ht="15" hidden="false" customHeight="true" outlineLevel="0" collapsed="false">
      <c r="G1754" s="1" t="str">
        <f aca="false">IF(C1754="","",INDEX(Akaun!$F$5:$F$150,MATCH(C1754,Akaun!$A$5:$A$150,0)))</f>
        <v/>
      </c>
      <c r="H1754" s="1" t="str">
        <f aca="false">IF(C1754="","",INDEX(Akaun!$D$5:$D$150,MATCH(C1754,Akaun!$A$5:$A$150,0)))</f>
        <v/>
      </c>
    </row>
    <row r="1755" customFormat="false" ht="15" hidden="false" customHeight="true" outlineLevel="0" collapsed="false">
      <c r="G1755" s="1" t="str">
        <f aca="false">IF(C1755="","",INDEX(Akaun!$F$5:$F$150,MATCH(C1755,Akaun!$A$5:$A$150,0)))</f>
        <v/>
      </c>
      <c r="H1755" s="1" t="str">
        <f aca="false">IF(C1755="","",INDEX(Akaun!$D$5:$D$150,MATCH(C1755,Akaun!$A$5:$A$150,0)))</f>
        <v/>
      </c>
    </row>
    <row r="1756" customFormat="false" ht="15" hidden="false" customHeight="true" outlineLevel="0" collapsed="false">
      <c r="G1756" s="1" t="str">
        <f aca="false">IF(C1756="","",INDEX(Akaun!$F$5:$F$150,MATCH(C1756,Akaun!$A$5:$A$150,0)))</f>
        <v/>
      </c>
      <c r="H1756" s="1" t="str">
        <f aca="false">IF(C1756="","",INDEX(Akaun!$D$5:$D$150,MATCH(C1756,Akaun!$A$5:$A$150,0)))</f>
        <v/>
      </c>
    </row>
    <row r="1757" customFormat="false" ht="15" hidden="false" customHeight="true" outlineLevel="0" collapsed="false">
      <c r="G1757" s="1" t="str">
        <f aca="false">IF(C1757="","",INDEX(Akaun!$F$5:$F$150,MATCH(C1757,Akaun!$A$5:$A$150,0)))</f>
        <v/>
      </c>
      <c r="H1757" s="1" t="str">
        <f aca="false">IF(C1757="","",INDEX(Akaun!$D$5:$D$150,MATCH(C1757,Akaun!$A$5:$A$150,0)))</f>
        <v/>
      </c>
    </row>
    <row r="1758" customFormat="false" ht="15" hidden="false" customHeight="true" outlineLevel="0" collapsed="false">
      <c r="G1758" s="1" t="str">
        <f aca="false">IF(C1758="","",INDEX(Akaun!$F$5:$F$150,MATCH(C1758,Akaun!$A$5:$A$150,0)))</f>
        <v/>
      </c>
      <c r="H1758" s="1" t="str">
        <f aca="false">IF(C1758="","",INDEX(Akaun!$D$5:$D$150,MATCH(C1758,Akaun!$A$5:$A$150,0)))</f>
        <v/>
      </c>
    </row>
    <row r="1759" customFormat="false" ht="15" hidden="false" customHeight="true" outlineLevel="0" collapsed="false">
      <c r="G1759" s="1" t="str">
        <f aca="false">IF(C1759="","",INDEX(Akaun!$F$5:$F$150,MATCH(C1759,Akaun!$A$5:$A$150,0)))</f>
        <v/>
      </c>
      <c r="H1759" s="1" t="str">
        <f aca="false">IF(C1759="","",INDEX(Akaun!$D$5:$D$150,MATCH(C1759,Akaun!$A$5:$A$150,0)))</f>
        <v/>
      </c>
    </row>
    <row r="1760" customFormat="false" ht="15" hidden="false" customHeight="true" outlineLevel="0" collapsed="false">
      <c r="G1760" s="1" t="str">
        <f aca="false">IF(C1760="","",INDEX(Akaun!$F$5:$F$150,MATCH(C1760,Akaun!$A$5:$A$150,0)))</f>
        <v/>
      </c>
      <c r="H1760" s="1" t="str">
        <f aca="false">IF(C1760="","",INDEX(Akaun!$D$5:$D$150,MATCH(C1760,Akaun!$A$5:$A$150,0)))</f>
        <v/>
      </c>
    </row>
    <row r="1761" customFormat="false" ht="15" hidden="false" customHeight="true" outlineLevel="0" collapsed="false">
      <c r="G1761" s="1" t="str">
        <f aca="false">IF(C1761="","",INDEX(Akaun!$F$5:$F$150,MATCH(C1761,Akaun!$A$5:$A$150,0)))</f>
        <v/>
      </c>
      <c r="H1761" s="1" t="str">
        <f aca="false">IF(C1761="","",INDEX(Akaun!$D$5:$D$150,MATCH(C1761,Akaun!$A$5:$A$150,0)))</f>
        <v/>
      </c>
    </row>
    <row r="1762" customFormat="false" ht="15" hidden="false" customHeight="true" outlineLevel="0" collapsed="false">
      <c r="G1762" s="1" t="str">
        <f aca="false">IF(C1762="","",INDEX(Akaun!$F$5:$F$150,MATCH(C1762,Akaun!$A$5:$A$150,0)))</f>
        <v/>
      </c>
      <c r="H1762" s="1" t="str">
        <f aca="false">IF(C1762="","",INDEX(Akaun!$D$5:$D$150,MATCH(C1762,Akaun!$A$5:$A$150,0)))</f>
        <v/>
      </c>
    </row>
    <row r="1763" customFormat="false" ht="15" hidden="false" customHeight="true" outlineLevel="0" collapsed="false">
      <c r="G1763" s="1" t="str">
        <f aca="false">IF(C1763="","",INDEX(Akaun!$F$5:$F$150,MATCH(C1763,Akaun!$A$5:$A$150,0)))</f>
        <v/>
      </c>
      <c r="H1763" s="1" t="str">
        <f aca="false">IF(C1763="","",INDEX(Akaun!$D$5:$D$150,MATCH(C1763,Akaun!$A$5:$A$150,0)))</f>
        <v/>
      </c>
    </row>
    <row r="1764" customFormat="false" ht="15" hidden="false" customHeight="true" outlineLevel="0" collapsed="false">
      <c r="G1764" s="1" t="str">
        <f aca="false">IF(C1764="","",INDEX(Akaun!$F$5:$F$150,MATCH(C1764,Akaun!$A$5:$A$150,0)))</f>
        <v/>
      </c>
      <c r="H1764" s="1" t="str">
        <f aca="false">IF(C1764="","",INDEX(Akaun!$D$5:$D$150,MATCH(C1764,Akaun!$A$5:$A$150,0)))</f>
        <v/>
      </c>
    </row>
    <row r="1765" customFormat="false" ht="15" hidden="false" customHeight="true" outlineLevel="0" collapsed="false">
      <c r="G1765" s="1" t="str">
        <f aca="false">IF(C1765="","",INDEX(Akaun!$F$5:$F$150,MATCH(C1765,Akaun!$A$5:$A$150,0)))</f>
        <v/>
      </c>
      <c r="H1765" s="1" t="str">
        <f aca="false">IF(C1765="","",INDEX(Akaun!$D$5:$D$150,MATCH(C1765,Akaun!$A$5:$A$150,0)))</f>
        <v/>
      </c>
    </row>
    <row r="1766" customFormat="false" ht="15" hidden="false" customHeight="true" outlineLevel="0" collapsed="false">
      <c r="G1766" s="1" t="str">
        <f aca="false">IF(C1766="","",INDEX(Akaun!$F$5:$F$150,MATCH(C1766,Akaun!$A$5:$A$150,0)))</f>
        <v/>
      </c>
      <c r="H1766" s="1" t="str">
        <f aca="false">IF(C1766="","",INDEX(Akaun!$D$5:$D$150,MATCH(C1766,Akaun!$A$5:$A$150,0)))</f>
        <v/>
      </c>
    </row>
    <row r="1767" customFormat="false" ht="15" hidden="false" customHeight="true" outlineLevel="0" collapsed="false">
      <c r="G1767" s="1" t="str">
        <f aca="false">IF(C1767="","",INDEX(Akaun!$F$5:$F$150,MATCH(C1767,Akaun!$A$5:$A$150,0)))</f>
        <v/>
      </c>
      <c r="H1767" s="1" t="str">
        <f aca="false">IF(C1767="","",INDEX(Akaun!$D$5:$D$150,MATCH(C1767,Akaun!$A$5:$A$150,0)))</f>
        <v/>
      </c>
    </row>
    <row r="1768" customFormat="false" ht="15" hidden="false" customHeight="true" outlineLevel="0" collapsed="false">
      <c r="G1768" s="1" t="str">
        <f aca="false">IF(C1768="","",INDEX(Akaun!$F$5:$F$150,MATCH(C1768,Akaun!$A$5:$A$150,0)))</f>
        <v/>
      </c>
      <c r="H1768" s="1" t="str">
        <f aca="false">IF(C1768="","",INDEX(Akaun!$D$5:$D$150,MATCH(C1768,Akaun!$A$5:$A$150,0)))</f>
        <v/>
      </c>
    </row>
    <row r="1769" customFormat="false" ht="15" hidden="false" customHeight="true" outlineLevel="0" collapsed="false">
      <c r="G1769" s="1" t="str">
        <f aca="false">IF(C1769="","",INDEX(Akaun!$F$5:$F$150,MATCH(C1769,Akaun!$A$5:$A$150,0)))</f>
        <v/>
      </c>
      <c r="H1769" s="1" t="str">
        <f aca="false">IF(C1769="","",INDEX(Akaun!$D$5:$D$150,MATCH(C1769,Akaun!$A$5:$A$150,0)))</f>
        <v/>
      </c>
    </row>
    <row r="1770" customFormat="false" ht="15" hidden="false" customHeight="true" outlineLevel="0" collapsed="false">
      <c r="G1770" s="1" t="str">
        <f aca="false">IF(C1770="","",INDEX(Akaun!$F$5:$F$150,MATCH(C1770,Akaun!$A$5:$A$150,0)))</f>
        <v/>
      </c>
      <c r="H1770" s="1" t="str">
        <f aca="false">IF(C1770="","",INDEX(Akaun!$D$5:$D$150,MATCH(C1770,Akaun!$A$5:$A$150,0)))</f>
        <v/>
      </c>
    </row>
    <row r="1771" customFormat="false" ht="15" hidden="false" customHeight="true" outlineLevel="0" collapsed="false">
      <c r="G1771" s="1" t="str">
        <f aca="false">IF(C1771="","",INDEX(Akaun!$F$5:$F$150,MATCH(C1771,Akaun!$A$5:$A$150,0)))</f>
        <v/>
      </c>
      <c r="H1771" s="1" t="str">
        <f aca="false">IF(C1771="","",INDEX(Akaun!$D$5:$D$150,MATCH(C1771,Akaun!$A$5:$A$150,0)))</f>
        <v/>
      </c>
    </row>
    <row r="1772" customFormat="false" ht="15" hidden="false" customHeight="true" outlineLevel="0" collapsed="false">
      <c r="G1772" s="1" t="str">
        <f aca="false">IF(C1772="","",INDEX(Akaun!$F$5:$F$150,MATCH(C1772,Akaun!$A$5:$A$150,0)))</f>
        <v/>
      </c>
      <c r="H1772" s="1" t="str">
        <f aca="false">IF(C1772="","",INDEX(Akaun!$D$5:$D$150,MATCH(C1772,Akaun!$A$5:$A$150,0)))</f>
        <v/>
      </c>
    </row>
    <row r="1773" customFormat="false" ht="15" hidden="false" customHeight="true" outlineLevel="0" collapsed="false">
      <c r="G1773" s="1" t="str">
        <f aca="false">IF(C1773="","",INDEX(Akaun!$F$5:$F$150,MATCH(C1773,Akaun!$A$5:$A$150,0)))</f>
        <v/>
      </c>
      <c r="H1773" s="1" t="str">
        <f aca="false">IF(C1773="","",INDEX(Akaun!$D$5:$D$150,MATCH(C1773,Akaun!$A$5:$A$150,0)))</f>
        <v/>
      </c>
    </row>
    <row r="1774" customFormat="false" ht="15" hidden="false" customHeight="true" outlineLevel="0" collapsed="false">
      <c r="G1774" s="1" t="str">
        <f aca="false">IF(C1774="","",INDEX(Akaun!$F$5:$F$150,MATCH(C1774,Akaun!$A$5:$A$150,0)))</f>
        <v/>
      </c>
      <c r="H1774" s="1" t="str">
        <f aca="false">IF(C1774="","",INDEX(Akaun!$D$5:$D$150,MATCH(C1774,Akaun!$A$5:$A$150,0)))</f>
        <v/>
      </c>
    </row>
    <row r="1775" customFormat="false" ht="15" hidden="false" customHeight="true" outlineLevel="0" collapsed="false">
      <c r="G1775" s="1" t="str">
        <f aca="false">IF(C1775="","",INDEX(Akaun!$F$5:$F$150,MATCH(C1775,Akaun!$A$5:$A$150,0)))</f>
        <v/>
      </c>
      <c r="H1775" s="1" t="str">
        <f aca="false">IF(C1775="","",INDEX(Akaun!$D$5:$D$150,MATCH(C1775,Akaun!$A$5:$A$150,0)))</f>
        <v/>
      </c>
    </row>
    <row r="1776" customFormat="false" ht="15" hidden="false" customHeight="true" outlineLevel="0" collapsed="false">
      <c r="G1776" s="1" t="str">
        <f aca="false">IF(C1776="","",INDEX(Akaun!$F$5:$F$150,MATCH(C1776,Akaun!$A$5:$A$150,0)))</f>
        <v/>
      </c>
      <c r="H1776" s="1" t="str">
        <f aca="false">IF(C1776="","",INDEX(Akaun!$D$5:$D$150,MATCH(C1776,Akaun!$A$5:$A$150,0)))</f>
        <v/>
      </c>
    </row>
    <row r="1777" customFormat="false" ht="15" hidden="false" customHeight="true" outlineLevel="0" collapsed="false">
      <c r="G1777" s="1" t="str">
        <f aca="false">IF(C1777="","",INDEX(Akaun!$F$5:$F$150,MATCH(C1777,Akaun!$A$5:$A$150,0)))</f>
        <v/>
      </c>
      <c r="H1777" s="1" t="str">
        <f aca="false">IF(C1777="","",INDEX(Akaun!$D$5:$D$150,MATCH(C1777,Akaun!$A$5:$A$150,0)))</f>
        <v/>
      </c>
    </row>
    <row r="1778" customFormat="false" ht="15" hidden="false" customHeight="true" outlineLevel="0" collapsed="false">
      <c r="G1778" s="1" t="str">
        <f aca="false">IF(C1778="","",INDEX(Akaun!$F$5:$F$150,MATCH(C1778,Akaun!$A$5:$A$150,0)))</f>
        <v/>
      </c>
      <c r="H1778" s="1" t="str">
        <f aca="false">IF(C1778="","",INDEX(Akaun!$D$5:$D$150,MATCH(C1778,Akaun!$A$5:$A$150,0)))</f>
        <v/>
      </c>
    </row>
    <row r="1779" customFormat="false" ht="15" hidden="false" customHeight="true" outlineLevel="0" collapsed="false">
      <c r="G1779" s="1" t="str">
        <f aca="false">IF(C1779="","",INDEX(Akaun!$F$5:$F$150,MATCH(C1779,Akaun!$A$5:$A$150,0)))</f>
        <v/>
      </c>
      <c r="H1779" s="1" t="str">
        <f aca="false">IF(C1779="","",INDEX(Akaun!$D$5:$D$150,MATCH(C1779,Akaun!$A$5:$A$150,0)))</f>
        <v/>
      </c>
    </row>
    <row r="1780" customFormat="false" ht="15" hidden="false" customHeight="true" outlineLevel="0" collapsed="false">
      <c r="G1780" s="1" t="str">
        <f aca="false">IF(C1780="","",INDEX(Akaun!$F$5:$F$150,MATCH(C1780,Akaun!$A$5:$A$150,0)))</f>
        <v/>
      </c>
      <c r="H1780" s="1" t="str">
        <f aca="false">IF(C1780="","",INDEX(Akaun!$D$5:$D$150,MATCH(C1780,Akaun!$A$5:$A$150,0)))</f>
        <v/>
      </c>
    </row>
    <row r="1781" customFormat="false" ht="15" hidden="false" customHeight="true" outlineLevel="0" collapsed="false">
      <c r="G1781" s="1" t="str">
        <f aca="false">IF(C1781="","",INDEX(Akaun!$F$5:$F$150,MATCH(C1781,Akaun!$A$5:$A$150,0)))</f>
        <v/>
      </c>
      <c r="H1781" s="1" t="str">
        <f aca="false">IF(C1781="","",INDEX(Akaun!$D$5:$D$150,MATCH(C1781,Akaun!$A$5:$A$150,0)))</f>
        <v/>
      </c>
    </row>
    <row r="1782" customFormat="false" ht="15" hidden="false" customHeight="true" outlineLevel="0" collapsed="false">
      <c r="G1782" s="1" t="str">
        <f aca="false">IF(C1782="","",INDEX(Akaun!$F$5:$F$150,MATCH(C1782,Akaun!$A$5:$A$150,0)))</f>
        <v/>
      </c>
      <c r="H1782" s="1" t="str">
        <f aca="false">IF(C1782="","",INDEX(Akaun!$D$5:$D$150,MATCH(C1782,Akaun!$A$5:$A$150,0)))</f>
        <v/>
      </c>
    </row>
    <row r="1783" customFormat="false" ht="15" hidden="false" customHeight="true" outlineLevel="0" collapsed="false">
      <c r="G1783" s="1" t="str">
        <f aca="false">IF(C1783="","",INDEX(Akaun!$F$5:$F$150,MATCH(C1783,Akaun!$A$5:$A$150,0)))</f>
        <v/>
      </c>
      <c r="H1783" s="1" t="str">
        <f aca="false">IF(C1783="","",INDEX(Akaun!$D$5:$D$150,MATCH(C1783,Akaun!$A$5:$A$150,0)))</f>
        <v/>
      </c>
    </row>
    <row r="1784" customFormat="false" ht="15" hidden="false" customHeight="true" outlineLevel="0" collapsed="false">
      <c r="G1784" s="1" t="str">
        <f aca="false">IF(C1784="","",INDEX(Akaun!$F$5:$F$150,MATCH(C1784,Akaun!$A$5:$A$150,0)))</f>
        <v/>
      </c>
      <c r="H1784" s="1" t="str">
        <f aca="false">IF(C1784="","",INDEX(Akaun!$D$5:$D$150,MATCH(C1784,Akaun!$A$5:$A$150,0)))</f>
        <v/>
      </c>
    </row>
    <row r="1785" customFormat="false" ht="15" hidden="false" customHeight="true" outlineLevel="0" collapsed="false">
      <c r="G1785" s="1" t="str">
        <f aca="false">IF(C1785="","",INDEX(Akaun!$F$5:$F$150,MATCH(C1785,Akaun!$A$5:$A$150,0)))</f>
        <v/>
      </c>
      <c r="H1785" s="1" t="str">
        <f aca="false">IF(C1785="","",INDEX(Akaun!$D$5:$D$150,MATCH(C1785,Akaun!$A$5:$A$150,0)))</f>
        <v/>
      </c>
    </row>
    <row r="1786" customFormat="false" ht="15" hidden="false" customHeight="true" outlineLevel="0" collapsed="false">
      <c r="G1786" s="1" t="str">
        <f aca="false">IF(C1786="","",INDEX(Akaun!$F$5:$F$150,MATCH(C1786,Akaun!$A$5:$A$150,0)))</f>
        <v/>
      </c>
      <c r="H1786" s="1" t="str">
        <f aca="false">IF(C1786="","",INDEX(Akaun!$D$5:$D$150,MATCH(C1786,Akaun!$A$5:$A$150,0)))</f>
        <v/>
      </c>
    </row>
    <row r="1787" customFormat="false" ht="15" hidden="false" customHeight="true" outlineLevel="0" collapsed="false">
      <c r="G1787" s="1" t="str">
        <f aca="false">IF(C1787="","",INDEX(Akaun!$F$5:$F$150,MATCH(C1787,Akaun!$A$5:$A$150,0)))</f>
        <v/>
      </c>
      <c r="H1787" s="1" t="str">
        <f aca="false">IF(C1787="","",INDEX(Akaun!$D$5:$D$150,MATCH(C1787,Akaun!$A$5:$A$150,0)))</f>
        <v/>
      </c>
    </row>
    <row r="1788" customFormat="false" ht="15" hidden="false" customHeight="true" outlineLevel="0" collapsed="false">
      <c r="G1788" s="1" t="str">
        <f aca="false">IF(C1788="","",INDEX(Akaun!$F$5:$F$150,MATCH(C1788,Akaun!$A$5:$A$150,0)))</f>
        <v/>
      </c>
      <c r="H1788" s="1" t="str">
        <f aca="false">IF(C1788="","",INDEX(Akaun!$D$5:$D$150,MATCH(C1788,Akaun!$A$5:$A$150,0)))</f>
        <v/>
      </c>
    </row>
    <row r="1789" customFormat="false" ht="15" hidden="false" customHeight="true" outlineLevel="0" collapsed="false">
      <c r="G1789" s="1" t="str">
        <f aca="false">IF(C1789="","",INDEX(Akaun!$F$5:$F$150,MATCH(C1789,Akaun!$A$5:$A$150,0)))</f>
        <v/>
      </c>
      <c r="H1789" s="1" t="str">
        <f aca="false">IF(C1789="","",INDEX(Akaun!$D$5:$D$150,MATCH(C1789,Akaun!$A$5:$A$150,0)))</f>
        <v/>
      </c>
    </row>
    <row r="1790" customFormat="false" ht="15" hidden="false" customHeight="true" outlineLevel="0" collapsed="false">
      <c r="G1790" s="1" t="str">
        <f aca="false">IF(C1790="","",INDEX(Akaun!$F$5:$F$150,MATCH(C1790,Akaun!$A$5:$A$150,0)))</f>
        <v/>
      </c>
      <c r="H1790" s="1" t="str">
        <f aca="false">IF(C1790="","",INDEX(Akaun!$D$5:$D$150,MATCH(C1790,Akaun!$A$5:$A$150,0)))</f>
        <v/>
      </c>
    </row>
    <row r="1791" customFormat="false" ht="15" hidden="false" customHeight="true" outlineLevel="0" collapsed="false">
      <c r="G1791" s="1" t="str">
        <f aca="false">IF(C1791="","",INDEX(Akaun!$F$5:$F$150,MATCH(C1791,Akaun!$A$5:$A$150,0)))</f>
        <v/>
      </c>
      <c r="H1791" s="1" t="str">
        <f aca="false">IF(C1791="","",INDEX(Akaun!$D$5:$D$150,MATCH(C1791,Akaun!$A$5:$A$150,0)))</f>
        <v/>
      </c>
    </row>
    <row r="1792" customFormat="false" ht="15" hidden="false" customHeight="true" outlineLevel="0" collapsed="false">
      <c r="G1792" s="1" t="str">
        <f aca="false">IF(C1792="","",INDEX(Akaun!$F$5:$F$150,MATCH(C1792,Akaun!$A$5:$A$150,0)))</f>
        <v/>
      </c>
      <c r="H1792" s="1" t="str">
        <f aca="false">IF(C1792="","",INDEX(Akaun!$D$5:$D$150,MATCH(C1792,Akaun!$A$5:$A$150,0)))</f>
        <v/>
      </c>
    </row>
    <row r="1793" customFormat="false" ht="15" hidden="false" customHeight="true" outlineLevel="0" collapsed="false">
      <c r="G1793" s="1" t="str">
        <f aca="false">IF(C1793="","",INDEX(Akaun!$F$5:$F$150,MATCH(C1793,Akaun!$A$5:$A$150,0)))</f>
        <v/>
      </c>
      <c r="H1793" s="1" t="str">
        <f aca="false">IF(C1793="","",INDEX(Akaun!$D$5:$D$150,MATCH(C1793,Akaun!$A$5:$A$150,0)))</f>
        <v/>
      </c>
    </row>
    <row r="1794" customFormat="false" ht="15" hidden="false" customHeight="true" outlineLevel="0" collapsed="false">
      <c r="G1794" s="1" t="str">
        <f aca="false">IF(C1794="","",INDEX(Akaun!$F$5:$F$150,MATCH(C1794,Akaun!$A$5:$A$150,0)))</f>
        <v/>
      </c>
      <c r="H1794" s="1" t="str">
        <f aca="false">IF(C1794="","",INDEX(Akaun!$D$5:$D$150,MATCH(C1794,Akaun!$A$5:$A$150,0)))</f>
        <v/>
      </c>
    </row>
    <row r="1795" customFormat="false" ht="15" hidden="false" customHeight="true" outlineLevel="0" collapsed="false">
      <c r="G1795" s="1" t="str">
        <f aca="false">IF(C1795="","",INDEX(Akaun!$F$5:$F$150,MATCH(C1795,Akaun!$A$5:$A$150,0)))</f>
        <v/>
      </c>
      <c r="H1795" s="1" t="str">
        <f aca="false">IF(C1795="","",INDEX(Akaun!$D$5:$D$150,MATCH(C1795,Akaun!$A$5:$A$150,0)))</f>
        <v/>
      </c>
    </row>
    <row r="1796" customFormat="false" ht="15" hidden="false" customHeight="true" outlineLevel="0" collapsed="false">
      <c r="G1796" s="1" t="str">
        <f aca="false">IF(C1796="","",INDEX(Akaun!$F$5:$F$150,MATCH(C1796,Akaun!$A$5:$A$150,0)))</f>
        <v/>
      </c>
      <c r="H1796" s="1" t="str">
        <f aca="false">IF(C1796="","",INDEX(Akaun!$D$5:$D$150,MATCH(C1796,Akaun!$A$5:$A$150,0)))</f>
        <v/>
      </c>
    </row>
    <row r="1797" customFormat="false" ht="15" hidden="false" customHeight="true" outlineLevel="0" collapsed="false">
      <c r="G1797" s="1" t="str">
        <f aca="false">IF(C1797="","",INDEX(Akaun!$F$5:$F$150,MATCH(C1797,Akaun!$A$5:$A$150,0)))</f>
        <v/>
      </c>
      <c r="H1797" s="1" t="str">
        <f aca="false">IF(C1797="","",INDEX(Akaun!$D$5:$D$150,MATCH(C1797,Akaun!$A$5:$A$150,0)))</f>
        <v/>
      </c>
    </row>
    <row r="1798" customFormat="false" ht="15" hidden="false" customHeight="true" outlineLevel="0" collapsed="false">
      <c r="G1798" s="1" t="str">
        <f aca="false">IF(C1798="","",INDEX(Akaun!$F$5:$F$150,MATCH(C1798,Akaun!$A$5:$A$150,0)))</f>
        <v/>
      </c>
      <c r="H1798" s="1" t="str">
        <f aca="false">IF(C1798="","",INDEX(Akaun!$D$5:$D$150,MATCH(C1798,Akaun!$A$5:$A$150,0)))</f>
        <v/>
      </c>
    </row>
    <row r="1799" customFormat="false" ht="15" hidden="false" customHeight="true" outlineLevel="0" collapsed="false">
      <c r="G1799" s="1" t="str">
        <f aca="false">IF(C1799="","",INDEX(Akaun!$F$5:$F$150,MATCH(C1799,Akaun!$A$5:$A$150,0)))</f>
        <v/>
      </c>
      <c r="H1799" s="1" t="str">
        <f aca="false">IF(C1799="","",INDEX(Akaun!$D$5:$D$150,MATCH(C1799,Akaun!$A$5:$A$150,0)))</f>
        <v/>
      </c>
    </row>
    <row r="1800" customFormat="false" ht="15" hidden="false" customHeight="true" outlineLevel="0" collapsed="false">
      <c r="G1800" s="1" t="str">
        <f aca="false">IF(C1800="","",INDEX(Akaun!$F$5:$F$150,MATCH(C1800,Akaun!$A$5:$A$150,0)))</f>
        <v/>
      </c>
      <c r="H1800" s="1" t="str">
        <f aca="false">IF(C1800="","",INDEX(Akaun!$D$5:$D$150,MATCH(C1800,Akaun!$A$5:$A$150,0)))</f>
        <v/>
      </c>
    </row>
    <row r="1801" customFormat="false" ht="15" hidden="false" customHeight="true" outlineLevel="0" collapsed="false">
      <c r="G1801" s="1" t="str">
        <f aca="false">IF(C1801="","",INDEX(Akaun!$F$5:$F$150,MATCH(C1801,Akaun!$A$5:$A$150,0)))</f>
        <v/>
      </c>
      <c r="H1801" s="1" t="str">
        <f aca="false">IF(C1801="","",INDEX(Akaun!$D$5:$D$150,MATCH(C1801,Akaun!$A$5:$A$150,0)))</f>
        <v/>
      </c>
    </row>
    <row r="1802" customFormat="false" ht="15" hidden="false" customHeight="true" outlineLevel="0" collapsed="false">
      <c r="G1802" s="1" t="str">
        <f aca="false">IF(C1802="","",INDEX(Akaun!$F$5:$F$150,MATCH(C1802,Akaun!$A$5:$A$150,0)))</f>
        <v/>
      </c>
      <c r="H1802" s="1" t="str">
        <f aca="false">IF(C1802="","",INDEX(Akaun!$D$5:$D$150,MATCH(C1802,Akaun!$A$5:$A$150,0)))</f>
        <v/>
      </c>
    </row>
    <row r="1803" customFormat="false" ht="15" hidden="false" customHeight="true" outlineLevel="0" collapsed="false">
      <c r="G1803" s="1" t="str">
        <f aca="false">IF(C1803="","",INDEX(Akaun!$F$5:$F$150,MATCH(C1803,Akaun!$A$5:$A$150,0)))</f>
        <v/>
      </c>
      <c r="H1803" s="1" t="str">
        <f aca="false">IF(C1803="","",INDEX(Akaun!$D$5:$D$150,MATCH(C1803,Akaun!$A$5:$A$150,0)))</f>
        <v/>
      </c>
    </row>
    <row r="1804" customFormat="false" ht="15" hidden="false" customHeight="true" outlineLevel="0" collapsed="false">
      <c r="G1804" s="1" t="str">
        <f aca="false">IF(C1804="","",INDEX(Akaun!$F$5:$F$150,MATCH(C1804,Akaun!$A$5:$A$150,0)))</f>
        <v/>
      </c>
      <c r="H1804" s="1" t="str">
        <f aca="false">IF(C1804="","",INDEX(Akaun!$D$5:$D$150,MATCH(C1804,Akaun!$A$5:$A$150,0)))</f>
        <v/>
      </c>
    </row>
    <row r="1805" customFormat="false" ht="15" hidden="false" customHeight="true" outlineLevel="0" collapsed="false">
      <c r="G1805" s="1" t="str">
        <f aca="false">IF(C1805="","",INDEX(Akaun!$F$5:$F$150,MATCH(C1805,Akaun!$A$5:$A$150,0)))</f>
        <v/>
      </c>
      <c r="H1805" s="1" t="str">
        <f aca="false">IF(C1805="","",INDEX(Akaun!$D$5:$D$150,MATCH(C1805,Akaun!$A$5:$A$150,0)))</f>
        <v/>
      </c>
    </row>
    <row r="1806" customFormat="false" ht="15" hidden="false" customHeight="true" outlineLevel="0" collapsed="false">
      <c r="G1806" s="1" t="str">
        <f aca="false">IF(C1806="","",INDEX(Akaun!$F$5:$F$150,MATCH(C1806,Akaun!$A$5:$A$150,0)))</f>
        <v/>
      </c>
      <c r="H1806" s="1" t="str">
        <f aca="false">IF(C1806="","",INDEX(Akaun!$D$5:$D$150,MATCH(C1806,Akaun!$A$5:$A$150,0)))</f>
        <v/>
      </c>
    </row>
    <row r="1807" customFormat="false" ht="15" hidden="false" customHeight="true" outlineLevel="0" collapsed="false">
      <c r="G1807" s="1" t="str">
        <f aca="false">IF(C1807="","",INDEX(Akaun!$F$5:$F$150,MATCH(C1807,Akaun!$A$5:$A$150,0)))</f>
        <v/>
      </c>
      <c r="H1807" s="1" t="str">
        <f aca="false">IF(C1807="","",INDEX(Akaun!$D$5:$D$150,MATCH(C1807,Akaun!$A$5:$A$150,0)))</f>
        <v/>
      </c>
    </row>
    <row r="1808" customFormat="false" ht="15" hidden="false" customHeight="true" outlineLevel="0" collapsed="false">
      <c r="G1808" s="1" t="str">
        <f aca="false">IF(C1808="","",INDEX(Akaun!$F$5:$F$150,MATCH(C1808,Akaun!$A$5:$A$150,0)))</f>
        <v/>
      </c>
      <c r="H1808" s="1" t="str">
        <f aca="false">IF(C1808="","",INDEX(Akaun!$D$5:$D$150,MATCH(C1808,Akaun!$A$5:$A$150,0)))</f>
        <v/>
      </c>
    </row>
    <row r="1809" customFormat="false" ht="15" hidden="false" customHeight="true" outlineLevel="0" collapsed="false">
      <c r="G1809" s="1" t="str">
        <f aca="false">IF(C1809="","",INDEX(Akaun!$F$5:$F$150,MATCH(C1809,Akaun!$A$5:$A$150,0)))</f>
        <v/>
      </c>
      <c r="H1809" s="1" t="str">
        <f aca="false">IF(C1809="","",INDEX(Akaun!$D$5:$D$150,MATCH(C1809,Akaun!$A$5:$A$150,0)))</f>
        <v/>
      </c>
    </row>
    <row r="1810" customFormat="false" ht="15" hidden="false" customHeight="true" outlineLevel="0" collapsed="false">
      <c r="G1810" s="1" t="str">
        <f aca="false">IF(C1810="","",INDEX(Akaun!$F$5:$F$150,MATCH(C1810,Akaun!$A$5:$A$150,0)))</f>
        <v/>
      </c>
      <c r="H1810" s="1" t="str">
        <f aca="false">IF(C1810="","",INDEX(Akaun!$D$5:$D$150,MATCH(C1810,Akaun!$A$5:$A$150,0)))</f>
        <v/>
      </c>
    </row>
    <row r="1811" customFormat="false" ht="15" hidden="false" customHeight="true" outlineLevel="0" collapsed="false">
      <c r="G1811" s="1" t="str">
        <f aca="false">IF(C1811="","",INDEX(Akaun!$F$5:$F$150,MATCH(C1811,Akaun!$A$5:$A$150,0)))</f>
        <v/>
      </c>
      <c r="H1811" s="1" t="str">
        <f aca="false">IF(C1811="","",INDEX(Akaun!$D$5:$D$150,MATCH(C1811,Akaun!$A$5:$A$150,0)))</f>
        <v/>
      </c>
    </row>
    <row r="1812" customFormat="false" ht="15" hidden="false" customHeight="true" outlineLevel="0" collapsed="false">
      <c r="G1812" s="1" t="str">
        <f aca="false">IF(C1812="","",INDEX(Akaun!$F$5:$F$150,MATCH(C1812,Akaun!$A$5:$A$150,0)))</f>
        <v/>
      </c>
      <c r="H1812" s="1" t="str">
        <f aca="false">IF(C1812="","",INDEX(Akaun!$D$5:$D$150,MATCH(C1812,Akaun!$A$5:$A$150,0)))</f>
        <v/>
      </c>
    </row>
    <row r="1813" customFormat="false" ht="15" hidden="false" customHeight="true" outlineLevel="0" collapsed="false">
      <c r="G1813" s="1" t="str">
        <f aca="false">IF(C1813="","",INDEX(Akaun!$F$5:$F$150,MATCH(C1813,Akaun!$A$5:$A$150,0)))</f>
        <v/>
      </c>
      <c r="H1813" s="1" t="str">
        <f aca="false">IF(C1813="","",INDEX(Akaun!$D$5:$D$150,MATCH(C1813,Akaun!$A$5:$A$150,0)))</f>
        <v/>
      </c>
    </row>
    <row r="1814" customFormat="false" ht="15" hidden="false" customHeight="true" outlineLevel="0" collapsed="false">
      <c r="G1814" s="1" t="str">
        <f aca="false">IF(C1814="","",INDEX(Akaun!$F$5:$F$150,MATCH(C1814,Akaun!$A$5:$A$150,0)))</f>
        <v/>
      </c>
      <c r="H1814" s="1" t="str">
        <f aca="false">IF(C1814="","",INDEX(Akaun!$D$5:$D$150,MATCH(C1814,Akaun!$A$5:$A$150,0)))</f>
        <v/>
      </c>
    </row>
    <row r="1815" customFormat="false" ht="15" hidden="false" customHeight="true" outlineLevel="0" collapsed="false">
      <c r="G1815" s="1" t="str">
        <f aca="false">IF(C1815="","",INDEX(Akaun!$F$5:$F$150,MATCH(C1815,Akaun!$A$5:$A$150,0)))</f>
        <v/>
      </c>
      <c r="H1815" s="1" t="str">
        <f aca="false">IF(C1815="","",INDEX(Akaun!$D$5:$D$150,MATCH(C1815,Akaun!$A$5:$A$150,0)))</f>
        <v/>
      </c>
    </row>
    <row r="1816" customFormat="false" ht="15" hidden="false" customHeight="true" outlineLevel="0" collapsed="false">
      <c r="G1816" s="1" t="str">
        <f aca="false">IF(C1816="","",INDEX(Akaun!$F$5:$F$150,MATCH(C1816,Akaun!$A$5:$A$150,0)))</f>
        <v/>
      </c>
      <c r="H1816" s="1" t="str">
        <f aca="false">IF(C1816="","",INDEX(Akaun!$D$5:$D$150,MATCH(C1816,Akaun!$A$5:$A$150,0)))</f>
        <v/>
      </c>
    </row>
    <row r="1817" customFormat="false" ht="15" hidden="false" customHeight="true" outlineLevel="0" collapsed="false">
      <c r="G1817" s="1" t="str">
        <f aca="false">IF(C1817="","",INDEX(Akaun!$F$5:$F$150,MATCH(C1817,Akaun!$A$5:$A$150,0)))</f>
        <v/>
      </c>
      <c r="H1817" s="1" t="str">
        <f aca="false">IF(C1817="","",INDEX(Akaun!$D$5:$D$150,MATCH(C1817,Akaun!$A$5:$A$150,0)))</f>
        <v/>
      </c>
    </row>
    <row r="1818" customFormat="false" ht="15" hidden="false" customHeight="true" outlineLevel="0" collapsed="false">
      <c r="G1818" s="1" t="str">
        <f aca="false">IF(C1818="","",INDEX(Akaun!$F$5:$F$150,MATCH(C1818,Akaun!$A$5:$A$150,0)))</f>
        <v/>
      </c>
      <c r="H1818" s="1" t="str">
        <f aca="false">IF(C1818="","",INDEX(Akaun!$D$5:$D$150,MATCH(C1818,Akaun!$A$5:$A$150,0)))</f>
        <v/>
      </c>
    </row>
    <row r="1819" customFormat="false" ht="15" hidden="false" customHeight="true" outlineLevel="0" collapsed="false">
      <c r="G1819" s="1" t="str">
        <f aca="false">IF(C1819="","",INDEX(Akaun!$F$5:$F$150,MATCH(C1819,Akaun!$A$5:$A$150,0)))</f>
        <v/>
      </c>
      <c r="H1819" s="1" t="str">
        <f aca="false">IF(C1819="","",INDEX(Akaun!$D$5:$D$150,MATCH(C1819,Akaun!$A$5:$A$150,0)))</f>
        <v/>
      </c>
    </row>
    <row r="1820" customFormat="false" ht="15" hidden="false" customHeight="true" outlineLevel="0" collapsed="false">
      <c r="G1820" s="1" t="str">
        <f aca="false">IF(C1820="","",INDEX(Akaun!$F$5:$F$150,MATCH(C1820,Akaun!$A$5:$A$150,0)))</f>
        <v/>
      </c>
      <c r="H1820" s="1" t="str">
        <f aca="false">IF(C1820="","",INDEX(Akaun!$D$5:$D$150,MATCH(C1820,Akaun!$A$5:$A$150,0)))</f>
        <v/>
      </c>
    </row>
    <row r="1821" customFormat="false" ht="15" hidden="false" customHeight="true" outlineLevel="0" collapsed="false">
      <c r="G1821" s="1" t="str">
        <f aca="false">IF(C1821="","",INDEX(Akaun!$F$5:$F$150,MATCH(C1821,Akaun!$A$5:$A$150,0)))</f>
        <v/>
      </c>
      <c r="H1821" s="1" t="str">
        <f aca="false">IF(C1821="","",INDEX(Akaun!$D$5:$D$150,MATCH(C1821,Akaun!$A$5:$A$150,0)))</f>
        <v/>
      </c>
    </row>
    <row r="1822" customFormat="false" ht="15" hidden="false" customHeight="true" outlineLevel="0" collapsed="false">
      <c r="G1822" s="1" t="str">
        <f aca="false">IF(C1822="","",INDEX(Akaun!$F$5:$F$150,MATCH(C1822,Akaun!$A$5:$A$150,0)))</f>
        <v/>
      </c>
      <c r="H1822" s="1" t="str">
        <f aca="false">IF(C1822="","",INDEX(Akaun!$D$5:$D$150,MATCH(C1822,Akaun!$A$5:$A$150,0)))</f>
        <v/>
      </c>
    </row>
    <row r="1823" customFormat="false" ht="15" hidden="false" customHeight="true" outlineLevel="0" collapsed="false">
      <c r="G1823" s="1" t="str">
        <f aca="false">IF(C1823="","",INDEX(Akaun!$F$5:$F$150,MATCH(C1823,Akaun!$A$5:$A$150,0)))</f>
        <v/>
      </c>
      <c r="H1823" s="1" t="str">
        <f aca="false">IF(C1823="","",INDEX(Akaun!$D$5:$D$150,MATCH(C1823,Akaun!$A$5:$A$150,0)))</f>
        <v/>
      </c>
    </row>
    <row r="1824" customFormat="false" ht="15" hidden="false" customHeight="true" outlineLevel="0" collapsed="false">
      <c r="G1824" s="1" t="str">
        <f aca="false">IF(C1824="","",INDEX(Akaun!$F$5:$F$150,MATCH(C1824,Akaun!$A$5:$A$150,0)))</f>
        <v/>
      </c>
      <c r="H1824" s="1" t="str">
        <f aca="false">IF(C1824="","",INDEX(Akaun!$D$5:$D$150,MATCH(C1824,Akaun!$A$5:$A$150,0)))</f>
        <v/>
      </c>
    </row>
    <row r="1825" customFormat="false" ht="15" hidden="false" customHeight="true" outlineLevel="0" collapsed="false">
      <c r="G1825" s="1" t="str">
        <f aca="false">IF(C1825="","",INDEX(Akaun!$F$5:$F$150,MATCH(C1825,Akaun!$A$5:$A$150,0)))</f>
        <v/>
      </c>
      <c r="H1825" s="1" t="str">
        <f aca="false">IF(C1825="","",INDEX(Akaun!$D$5:$D$150,MATCH(C1825,Akaun!$A$5:$A$150,0)))</f>
        <v/>
      </c>
    </row>
    <row r="1826" customFormat="false" ht="15" hidden="false" customHeight="true" outlineLevel="0" collapsed="false">
      <c r="G1826" s="1" t="str">
        <f aca="false">IF(C1826="","",INDEX(Akaun!$F$5:$F$150,MATCH(C1826,Akaun!$A$5:$A$150,0)))</f>
        <v/>
      </c>
      <c r="H1826" s="1" t="str">
        <f aca="false">IF(C1826="","",INDEX(Akaun!$D$5:$D$150,MATCH(C1826,Akaun!$A$5:$A$150,0)))</f>
        <v/>
      </c>
    </row>
    <row r="1827" customFormat="false" ht="15" hidden="false" customHeight="true" outlineLevel="0" collapsed="false">
      <c r="G1827" s="1" t="str">
        <f aca="false">IF(C1827="","",INDEX(Akaun!$F$5:$F$150,MATCH(C1827,Akaun!$A$5:$A$150,0)))</f>
        <v/>
      </c>
      <c r="H1827" s="1" t="str">
        <f aca="false">IF(C1827="","",INDEX(Akaun!$D$5:$D$150,MATCH(C1827,Akaun!$A$5:$A$150,0)))</f>
        <v/>
      </c>
    </row>
    <row r="1828" customFormat="false" ht="15" hidden="false" customHeight="true" outlineLevel="0" collapsed="false">
      <c r="G1828" s="1" t="str">
        <f aca="false">IF(C1828="","",INDEX(Akaun!$F$5:$F$150,MATCH(C1828,Akaun!$A$5:$A$150,0)))</f>
        <v/>
      </c>
      <c r="H1828" s="1" t="str">
        <f aca="false">IF(C1828="","",INDEX(Akaun!$D$5:$D$150,MATCH(C1828,Akaun!$A$5:$A$150,0)))</f>
        <v/>
      </c>
    </row>
    <row r="1829" customFormat="false" ht="15" hidden="false" customHeight="true" outlineLevel="0" collapsed="false">
      <c r="G1829" s="1" t="str">
        <f aca="false">IF(C1829="","",INDEX(Akaun!$F$5:$F$150,MATCH(C1829,Akaun!$A$5:$A$150,0)))</f>
        <v/>
      </c>
      <c r="H1829" s="1" t="str">
        <f aca="false">IF(C1829="","",INDEX(Akaun!$D$5:$D$150,MATCH(C1829,Akaun!$A$5:$A$150,0)))</f>
        <v/>
      </c>
    </row>
    <row r="1830" customFormat="false" ht="15" hidden="false" customHeight="true" outlineLevel="0" collapsed="false">
      <c r="G1830" s="1" t="str">
        <f aca="false">IF(C1830="","",INDEX(Akaun!$F$5:$F$150,MATCH(C1830,Akaun!$A$5:$A$150,0)))</f>
        <v/>
      </c>
      <c r="H1830" s="1" t="str">
        <f aca="false">IF(C1830="","",INDEX(Akaun!$D$5:$D$150,MATCH(C1830,Akaun!$A$5:$A$150,0)))</f>
        <v/>
      </c>
    </row>
    <row r="1831" customFormat="false" ht="15" hidden="false" customHeight="true" outlineLevel="0" collapsed="false">
      <c r="G1831" s="1" t="str">
        <f aca="false">IF(C1831="","",INDEX(Akaun!$F$5:$F$150,MATCH(C1831,Akaun!$A$5:$A$150,0)))</f>
        <v/>
      </c>
      <c r="H1831" s="1" t="str">
        <f aca="false">IF(C1831="","",INDEX(Akaun!$D$5:$D$150,MATCH(C1831,Akaun!$A$5:$A$150,0)))</f>
        <v/>
      </c>
    </row>
    <row r="1832" customFormat="false" ht="15" hidden="false" customHeight="true" outlineLevel="0" collapsed="false">
      <c r="G1832" s="1" t="str">
        <f aca="false">IF(C1832="","",INDEX(Akaun!$F$5:$F$150,MATCH(C1832,Akaun!$A$5:$A$150,0)))</f>
        <v/>
      </c>
      <c r="H1832" s="1" t="str">
        <f aca="false">IF(C1832="","",INDEX(Akaun!$D$5:$D$150,MATCH(C1832,Akaun!$A$5:$A$150,0)))</f>
        <v/>
      </c>
    </row>
    <row r="1833" customFormat="false" ht="15" hidden="false" customHeight="true" outlineLevel="0" collapsed="false">
      <c r="G1833" s="1" t="str">
        <f aca="false">IF(C1833="","",INDEX(Akaun!$F$5:$F$150,MATCH(C1833,Akaun!$A$5:$A$150,0)))</f>
        <v/>
      </c>
      <c r="H1833" s="1" t="str">
        <f aca="false">IF(C1833="","",INDEX(Akaun!$D$5:$D$150,MATCH(C1833,Akaun!$A$5:$A$150,0)))</f>
        <v/>
      </c>
    </row>
    <row r="1834" customFormat="false" ht="15" hidden="false" customHeight="true" outlineLevel="0" collapsed="false">
      <c r="G1834" s="1" t="str">
        <f aca="false">IF(C1834="","",INDEX(Akaun!$F$5:$F$150,MATCH(C1834,Akaun!$A$5:$A$150,0)))</f>
        <v/>
      </c>
      <c r="H1834" s="1" t="str">
        <f aca="false">IF(C1834="","",INDEX(Akaun!$D$5:$D$150,MATCH(C1834,Akaun!$A$5:$A$150,0)))</f>
        <v/>
      </c>
    </row>
    <row r="1835" customFormat="false" ht="15" hidden="false" customHeight="true" outlineLevel="0" collapsed="false">
      <c r="G1835" s="1" t="str">
        <f aca="false">IF(C1835="","",INDEX(Akaun!$F$5:$F$150,MATCH(C1835,Akaun!$A$5:$A$150,0)))</f>
        <v/>
      </c>
      <c r="H1835" s="1" t="str">
        <f aca="false">IF(C1835="","",INDEX(Akaun!$D$5:$D$150,MATCH(C1835,Akaun!$A$5:$A$150,0)))</f>
        <v/>
      </c>
    </row>
    <row r="1836" customFormat="false" ht="15" hidden="false" customHeight="true" outlineLevel="0" collapsed="false">
      <c r="G1836" s="1" t="str">
        <f aca="false">IF(C1836="","",INDEX(Akaun!$F$5:$F$150,MATCH(C1836,Akaun!$A$5:$A$150,0)))</f>
        <v/>
      </c>
      <c r="H1836" s="1" t="str">
        <f aca="false">IF(C1836="","",INDEX(Akaun!$D$5:$D$150,MATCH(C1836,Akaun!$A$5:$A$150,0)))</f>
        <v/>
      </c>
    </row>
    <row r="1837" customFormat="false" ht="15" hidden="false" customHeight="true" outlineLevel="0" collapsed="false">
      <c r="G1837" s="1" t="str">
        <f aca="false">IF(C1837="","",INDEX(Akaun!$F$5:$F$150,MATCH(C1837,Akaun!$A$5:$A$150,0)))</f>
        <v/>
      </c>
      <c r="H1837" s="1" t="str">
        <f aca="false">IF(C1837="","",INDEX(Akaun!$D$5:$D$150,MATCH(C1837,Akaun!$A$5:$A$150,0)))</f>
        <v/>
      </c>
    </row>
    <row r="1838" customFormat="false" ht="15" hidden="false" customHeight="true" outlineLevel="0" collapsed="false">
      <c r="G1838" s="1" t="str">
        <f aca="false">IF(C1838="","",INDEX(Akaun!$F$5:$F$150,MATCH(C1838,Akaun!$A$5:$A$150,0)))</f>
        <v/>
      </c>
      <c r="H1838" s="1" t="str">
        <f aca="false">IF(C1838="","",INDEX(Akaun!$D$5:$D$150,MATCH(C1838,Akaun!$A$5:$A$150,0)))</f>
        <v/>
      </c>
    </row>
    <row r="1839" customFormat="false" ht="15" hidden="false" customHeight="true" outlineLevel="0" collapsed="false">
      <c r="G1839" s="1" t="str">
        <f aca="false">IF(C1839="","",INDEX(Akaun!$F$5:$F$150,MATCH(C1839,Akaun!$A$5:$A$150,0)))</f>
        <v/>
      </c>
      <c r="H1839" s="1" t="str">
        <f aca="false">IF(C1839="","",INDEX(Akaun!$D$5:$D$150,MATCH(C1839,Akaun!$A$5:$A$150,0)))</f>
        <v/>
      </c>
    </row>
    <row r="1840" customFormat="false" ht="15" hidden="false" customHeight="true" outlineLevel="0" collapsed="false">
      <c r="G1840" s="1" t="str">
        <f aca="false">IF(C1840="","",INDEX(Akaun!$F$5:$F$150,MATCH(C1840,Akaun!$A$5:$A$150,0)))</f>
        <v/>
      </c>
      <c r="H1840" s="1" t="str">
        <f aca="false">IF(C1840="","",INDEX(Akaun!$D$5:$D$150,MATCH(C1840,Akaun!$A$5:$A$150,0)))</f>
        <v/>
      </c>
    </row>
    <row r="1841" customFormat="false" ht="15" hidden="false" customHeight="true" outlineLevel="0" collapsed="false">
      <c r="G1841" s="1" t="str">
        <f aca="false">IF(C1841="","",INDEX(Akaun!$F$5:$F$150,MATCH(C1841,Akaun!$A$5:$A$150,0)))</f>
        <v/>
      </c>
      <c r="H1841" s="1" t="str">
        <f aca="false">IF(C1841="","",INDEX(Akaun!$D$5:$D$150,MATCH(C1841,Akaun!$A$5:$A$150,0)))</f>
        <v/>
      </c>
    </row>
    <row r="1842" customFormat="false" ht="15" hidden="false" customHeight="true" outlineLevel="0" collapsed="false">
      <c r="G1842" s="1" t="str">
        <f aca="false">IF(C1842="","",INDEX(Akaun!$F$5:$F$150,MATCH(C1842,Akaun!$A$5:$A$150,0)))</f>
        <v/>
      </c>
      <c r="H1842" s="1" t="str">
        <f aca="false">IF(C1842="","",INDEX(Akaun!$D$5:$D$150,MATCH(C1842,Akaun!$A$5:$A$150,0)))</f>
        <v/>
      </c>
    </row>
    <row r="1843" customFormat="false" ht="15" hidden="false" customHeight="true" outlineLevel="0" collapsed="false">
      <c r="G1843" s="1" t="str">
        <f aca="false">IF(C1843="","",INDEX(Akaun!$F$5:$F$150,MATCH(C1843,Akaun!$A$5:$A$150,0)))</f>
        <v/>
      </c>
      <c r="H1843" s="1" t="str">
        <f aca="false">IF(C1843="","",INDEX(Akaun!$D$5:$D$150,MATCH(C1843,Akaun!$A$5:$A$150,0)))</f>
        <v/>
      </c>
    </row>
    <row r="1844" customFormat="false" ht="15" hidden="false" customHeight="true" outlineLevel="0" collapsed="false">
      <c r="G1844" s="1" t="str">
        <f aca="false">IF(C1844="","",INDEX(Akaun!$F$5:$F$150,MATCH(C1844,Akaun!$A$5:$A$150,0)))</f>
        <v/>
      </c>
      <c r="H1844" s="1" t="str">
        <f aca="false">IF(C1844="","",INDEX(Akaun!$D$5:$D$150,MATCH(C1844,Akaun!$A$5:$A$150,0)))</f>
        <v/>
      </c>
    </row>
    <row r="1845" customFormat="false" ht="15" hidden="false" customHeight="true" outlineLevel="0" collapsed="false">
      <c r="G1845" s="1" t="str">
        <f aca="false">IF(C1845="","",INDEX(Akaun!$F$5:$F$150,MATCH(C1845,Akaun!$A$5:$A$150,0)))</f>
        <v/>
      </c>
      <c r="H1845" s="1" t="str">
        <f aca="false">IF(C1845="","",INDEX(Akaun!$D$5:$D$150,MATCH(C1845,Akaun!$A$5:$A$150,0)))</f>
        <v/>
      </c>
    </row>
    <row r="1846" customFormat="false" ht="15" hidden="false" customHeight="true" outlineLevel="0" collapsed="false">
      <c r="G1846" s="1" t="str">
        <f aca="false">IF(C1846="","",INDEX(Akaun!$F$5:$F$150,MATCH(C1846,Akaun!$A$5:$A$150,0)))</f>
        <v/>
      </c>
      <c r="H1846" s="1" t="str">
        <f aca="false">IF(C1846="","",INDEX(Akaun!$D$5:$D$150,MATCH(C1846,Akaun!$A$5:$A$150,0)))</f>
        <v/>
      </c>
    </row>
    <row r="1847" customFormat="false" ht="15" hidden="false" customHeight="true" outlineLevel="0" collapsed="false">
      <c r="G1847" s="1" t="str">
        <f aca="false">IF(C1847="","",INDEX(Akaun!$F$5:$F$150,MATCH(C1847,Akaun!$A$5:$A$150,0)))</f>
        <v/>
      </c>
      <c r="H1847" s="1" t="str">
        <f aca="false">IF(C1847="","",INDEX(Akaun!$D$5:$D$150,MATCH(C1847,Akaun!$A$5:$A$150,0)))</f>
        <v/>
      </c>
    </row>
    <row r="1848" customFormat="false" ht="15" hidden="false" customHeight="true" outlineLevel="0" collapsed="false">
      <c r="G1848" s="1" t="str">
        <f aca="false">IF(C1848="","",INDEX(Akaun!$F$5:$F$150,MATCH(C1848,Akaun!$A$5:$A$150,0)))</f>
        <v/>
      </c>
      <c r="H1848" s="1" t="str">
        <f aca="false">IF(C1848="","",INDEX(Akaun!$D$5:$D$150,MATCH(C1848,Akaun!$A$5:$A$150,0)))</f>
        <v/>
      </c>
    </row>
    <row r="1849" customFormat="false" ht="15" hidden="false" customHeight="true" outlineLevel="0" collapsed="false">
      <c r="G1849" s="1" t="str">
        <f aca="false">IF(C1849="","",INDEX(Akaun!$F$5:$F$150,MATCH(C1849,Akaun!$A$5:$A$150,0)))</f>
        <v/>
      </c>
      <c r="H1849" s="1" t="str">
        <f aca="false">IF(C1849="","",INDEX(Akaun!$D$5:$D$150,MATCH(C1849,Akaun!$A$5:$A$150,0)))</f>
        <v/>
      </c>
    </row>
    <row r="1850" customFormat="false" ht="15" hidden="false" customHeight="true" outlineLevel="0" collapsed="false">
      <c r="G1850" s="1" t="str">
        <f aca="false">IF(C1850="","",INDEX(Akaun!$F$5:$F$150,MATCH(C1850,Akaun!$A$5:$A$150,0)))</f>
        <v/>
      </c>
      <c r="H1850" s="1" t="str">
        <f aca="false">IF(C1850="","",INDEX(Akaun!$D$5:$D$150,MATCH(C1850,Akaun!$A$5:$A$150,0)))</f>
        <v/>
      </c>
    </row>
    <row r="1851" customFormat="false" ht="15" hidden="false" customHeight="true" outlineLevel="0" collapsed="false">
      <c r="G1851" s="1" t="str">
        <f aca="false">IF(C1851="","",INDEX(Akaun!$F$5:$F$150,MATCH(C1851,Akaun!$A$5:$A$150,0)))</f>
        <v/>
      </c>
      <c r="H1851" s="1" t="str">
        <f aca="false">IF(C1851="","",INDEX(Akaun!$D$5:$D$150,MATCH(C1851,Akaun!$A$5:$A$150,0)))</f>
        <v/>
      </c>
    </row>
    <row r="1852" customFormat="false" ht="15" hidden="false" customHeight="true" outlineLevel="0" collapsed="false">
      <c r="G1852" s="1" t="str">
        <f aca="false">IF(C1852="","",INDEX(Akaun!$F$5:$F$150,MATCH(C1852,Akaun!$A$5:$A$150,0)))</f>
        <v/>
      </c>
      <c r="H1852" s="1" t="str">
        <f aca="false">IF(C1852="","",INDEX(Akaun!$D$5:$D$150,MATCH(C1852,Akaun!$A$5:$A$150,0)))</f>
        <v/>
      </c>
    </row>
    <row r="1853" customFormat="false" ht="15" hidden="false" customHeight="true" outlineLevel="0" collapsed="false">
      <c r="G1853" s="1" t="str">
        <f aca="false">IF(C1853="","",INDEX(Akaun!$F$5:$F$150,MATCH(C1853,Akaun!$A$5:$A$150,0)))</f>
        <v/>
      </c>
      <c r="H1853" s="1" t="str">
        <f aca="false">IF(C1853="","",INDEX(Akaun!$D$5:$D$150,MATCH(C1853,Akaun!$A$5:$A$150,0)))</f>
        <v/>
      </c>
    </row>
    <row r="1854" customFormat="false" ht="15" hidden="false" customHeight="true" outlineLevel="0" collapsed="false">
      <c r="G1854" s="1" t="str">
        <f aca="false">IF(C1854="","",INDEX(Akaun!$F$5:$F$150,MATCH(C1854,Akaun!$A$5:$A$150,0)))</f>
        <v/>
      </c>
      <c r="H1854" s="1" t="str">
        <f aca="false">IF(C1854="","",INDEX(Akaun!$D$5:$D$150,MATCH(C1854,Akaun!$A$5:$A$150,0)))</f>
        <v/>
      </c>
    </row>
    <row r="1855" customFormat="false" ht="15" hidden="false" customHeight="true" outlineLevel="0" collapsed="false">
      <c r="G1855" s="1" t="str">
        <f aca="false">IF(C1855="","",INDEX(Akaun!$F$5:$F$150,MATCH(C1855,Akaun!$A$5:$A$150,0)))</f>
        <v/>
      </c>
      <c r="H1855" s="1" t="str">
        <f aca="false">IF(C1855="","",INDEX(Akaun!$D$5:$D$150,MATCH(C1855,Akaun!$A$5:$A$150,0)))</f>
        <v/>
      </c>
    </row>
    <row r="1856" customFormat="false" ht="15" hidden="false" customHeight="true" outlineLevel="0" collapsed="false">
      <c r="G1856" s="1" t="str">
        <f aca="false">IF(C1856="","",INDEX(Akaun!$F$5:$F$150,MATCH(C1856,Akaun!$A$5:$A$150,0)))</f>
        <v/>
      </c>
      <c r="H1856" s="1" t="str">
        <f aca="false">IF(C1856="","",INDEX(Akaun!$D$5:$D$150,MATCH(C1856,Akaun!$A$5:$A$150,0)))</f>
        <v/>
      </c>
    </row>
    <row r="1857" customFormat="false" ht="15" hidden="false" customHeight="true" outlineLevel="0" collapsed="false">
      <c r="G1857" s="1" t="str">
        <f aca="false">IF(C1857="","",INDEX(Akaun!$F$5:$F$150,MATCH(C1857,Akaun!$A$5:$A$150,0)))</f>
        <v/>
      </c>
      <c r="H1857" s="1" t="str">
        <f aca="false">IF(C1857="","",INDEX(Akaun!$D$5:$D$150,MATCH(C1857,Akaun!$A$5:$A$150,0)))</f>
        <v/>
      </c>
    </row>
    <row r="1858" customFormat="false" ht="15" hidden="false" customHeight="true" outlineLevel="0" collapsed="false">
      <c r="G1858" s="1" t="str">
        <f aca="false">IF(C1858="","",INDEX(Akaun!$F$5:$F$150,MATCH(C1858,Akaun!$A$5:$A$150,0)))</f>
        <v/>
      </c>
      <c r="H1858" s="1" t="str">
        <f aca="false">IF(C1858="","",INDEX(Akaun!$D$5:$D$150,MATCH(C1858,Akaun!$A$5:$A$150,0)))</f>
        <v/>
      </c>
    </row>
    <row r="1859" customFormat="false" ht="15" hidden="false" customHeight="true" outlineLevel="0" collapsed="false">
      <c r="G1859" s="1" t="str">
        <f aca="false">IF(C1859="","",INDEX(Akaun!$F$5:$F$150,MATCH(C1859,Akaun!$A$5:$A$150,0)))</f>
        <v/>
      </c>
      <c r="H1859" s="1" t="str">
        <f aca="false">IF(C1859="","",INDEX(Akaun!$D$5:$D$150,MATCH(C1859,Akaun!$A$5:$A$150,0)))</f>
        <v/>
      </c>
    </row>
    <row r="1860" customFormat="false" ht="15" hidden="false" customHeight="true" outlineLevel="0" collapsed="false">
      <c r="G1860" s="1" t="str">
        <f aca="false">IF(C1860="","",INDEX(Akaun!$F$5:$F$150,MATCH(C1860,Akaun!$A$5:$A$150,0)))</f>
        <v/>
      </c>
      <c r="H1860" s="1" t="str">
        <f aca="false">IF(C1860="","",INDEX(Akaun!$D$5:$D$150,MATCH(C1860,Akaun!$A$5:$A$150,0)))</f>
        <v/>
      </c>
    </row>
    <row r="1861" customFormat="false" ht="15" hidden="false" customHeight="true" outlineLevel="0" collapsed="false">
      <c r="G1861" s="1" t="str">
        <f aca="false">IF(C1861="","",INDEX(Akaun!$F$5:$F$150,MATCH(C1861,Akaun!$A$5:$A$150,0)))</f>
        <v/>
      </c>
      <c r="H1861" s="1" t="str">
        <f aca="false">IF(C1861="","",INDEX(Akaun!$D$5:$D$150,MATCH(C1861,Akaun!$A$5:$A$150,0)))</f>
        <v/>
      </c>
    </row>
    <row r="1862" customFormat="false" ht="15" hidden="false" customHeight="true" outlineLevel="0" collapsed="false">
      <c r="G1862" s="1" t="str">
        <f aca="false">IF(C1862="","",INDEX(Akaun!$F$5:$F$150,MATCH(C1862,Akaun!$A$5:$A$150,0)))</f>
        <v/>
      </c>
      <c r="H1862" s="1" t="str">
        <f aca="false">IF(C1862="","",INDEX(Akaun!$D$5:$D$150,MATCH(C1862,Akaun!$A$5:$A$150,0)))</f>
        <v/>
      </c>
    </row>
    <row r="1863" customFormat="false" ht="15" hidden="false" customHeight="true" outlineLevel="0" collapsed="false">
      <c r="G1863" s="1" t="str">
        <f aca="false">IF(C1863="","",INDEX(Akaun!$F$5:$F$150,MATCH(C1863,Akaun!$A$5:$A$150,0)))</f>
        <v/>
      </c>
      <c r="H1863" s="1" t="str">
        <f aca="false">IF(C1863="","",INDEX(Akaun!$D$5:$D$150,MATCH(C1863,Akaun!$A$5:$A$150,0)))</f>
        <v/>
      </c>
    </row>
    <row r="1864" customFormat="false" ht="15" hidden="false" customHeight="true" outlineLevel="0" collapsed="false">
      <c r="G1864" s="1" t="str">
        <f aca="false">IF(C1864="","",INDEX(Akaun!$F$5:$F$150,MATCH(C1864,Akaun!$A$5:$A$150,0)))</f>
        <v/>
      </c>
      <c r="H1864" s="1" t="str">
        <f aca="false">IF(C1864="","",INDEX(Akaun!$D$5:$D$150,MATCH(C1864,Akaun!$A$5:$A$150,0)))</f>
        <v/>
      </c>
    </row>
    <row r="1865" customFormat="false" ht="15" hidden="false" customHeight="true" outlineLevel="0" collapsed="false">
      <c r="G1865" s="1" t="str">
        <f aca="false">IF(C1865="","",INDEX(Akaun!$F$5:$F$150,MATCH(C1865,Akaun!$A$5:$A$150,0)))</f>
        <v/>
      </c>
      <c r="H1865" s="1" t="str">
        <f aca="false">IF(C1865="","",INDEX(Akaun!$D$5:$D$150,MATCH(C1865,Akaun!$A$5:$A$150,0)))</f>
        <v/>
      </c>
    </row>
    <row r="1866" customFormat="false" ht="15" hidden="false" customHeight="true" outlineLevel="0" collapsed="false">
      <c r="G1866" s="1" t="str">
        <f aca="false">IF(C1866="","",INDEX(Akaun!$F$5:$F$150,MATCH(C1866,Akaun!$A$5:$A$150,0)))</f>
        <v/>
      </c>
      <c r="H1866" s="1" t="str">
        <f aca="false">IF(C1866="","",INDEX(Akaun!$D$5:$D$150,MATCH(C1866,Akaun!$A$5:$A$150,0)))</f>
        <v/>
      </c>
    </row>
    <row r="1867" customFormat="false" ht="15" hidden="false" customHeight="true" outlineLevel="0" collapsed="false">
      <c r="G1867" s="1" t="str">
        <f aca="false">IF(C1867="","",INDEX(Akaun!$F$5:$F$150,MATCH(C1867,Akaun!$A$5:$A$150,0)))</f>
        <v/>
      </c>
      <c r="H1867" s="1" t="str">
        <f aca="false">IF(C1867="","",INDEX(Akaun!$D$5:$D$150,MATCH(C1867,Akaun!$A$5:$A$150,0)))</f>
        <v/>
      </c>
    </row>
    <row r="1868" customFormat="false" ht="15" hidden="false" customHeight="true" outlineLevel="0" collapsed="false">
      <c r="G1868" s="1" t="str">
        <f aca="false">IF(C1868="","",INDEX(Akaun!$F$5:$F$150,MATCH(C1868,Akaun!$A$5:$A$150,0)))</f>
        <v/>
      </c>
      <c r="H1868" s="1" t="str">
        <f aca="false">IF(C1868="","",INDEX(Akaun!$D$5:$D$150,MATCH(C1868,Akaun!$A$5:$A$150,0)))</f>
        <v/>
      </c>
    </row>
    <row r="1869" customFormat="false" ht="15" hidden="false" customHeight="true" outlineLevel="0" collapsed="false">
      <c r="G1869" s="1" t="str">
        <f aca="false">IF(C1869="","",INDEX(Akaun!$F$5:$F$150,MATCH(C1869,Akaun!$A$5:$A$150,0)))</f>
        <v/>
      </c>
      <c r="H1869" s="1" t="str">
        <f aca="false">IF(C1869="","",INDEX(Akaun!$D$5:$D$150,MATCH(C1869,Akaun!$A$5:$A$150,0)))</f>
        <v/>
      </c>
    </row>
    <row r="1870" customFormat="false" ht="15" hidden="false" customHeight="true" outlineLevel="0" collapsed="false">
      <c r="G1870" s="1" t="str">
        <f aca="false">IF(C1870="","",INDEX(Akaun!$F$5:$F$150,MATCH(C1870,Akaun!$A$5:$A$150,0)))</f>
        <v/>
      </c>
      <c r="H1870" s="1" t="str">
        <f aca="false">IF(C1870="","",INDEX(Akaun!$D$5:$D$150,MATCH(C1870,Akaun!$A$5:$A$150,0)))</f>
        <v/>
      </c>
    </row>
    <row r="1871" customFormat="false" ht="15" hidden="false" customHeight="true" outlineLevel="0" collapsed="false">
      <c r="G1871" s="1" t="str">
        <f aca="false">IF(C1871="","",INDEX(Akaun!$F$5:$F$150,MATCH(C1871,Akaun!$A$5:$A$150,0)))</f>
        <v/>
      </c>
      <c r="H1871" s="1" t="str">
        <f aca="false">IF(C1871="","",INDEX(Akaun!$D$5:$D$150,MATCH(C1871,Akaun!$A$5:$A$150,0)))</f>
        <v/>
      </c>
    </row>
    <row r="1872" customFormat="false" ht="15" hidden="false" customHeight="true" outlineLevel="0" collapsed="false">
      <c r="G1872" s="1" t="str">
        <f aca="false">IF(C1872="","",INDEX(Akaun!$F$5:$F$150,MATCH(C1872,Akaun!$A$5:$A$150,0)))</f>
        <v/>
      </c>
      <c r="H1872" s="1" t="str">
        <f aca="false">IF(C1872="","",INDEX(Akaun!$D$5:$D$150,MATCH(C1872,Akaun!$A$5:$A$150,0)))</f>
        <v/>
      </c>
    </row>
    <row r="1873" customFormat="false" ht="15" hidden="false" customHeight="true" outlineLevel="0" collapsed="false">
      <c r="G1873" s="1" t="str">
        <f aca="false">IF(C1873="","",INDEX(Akaun!$F$5:$F$150,MATCH(C1873,Akaun!$A$5:$A$150,0)))</f>
        <v/>
      </c>
      <c r="H1873" s="1" t="str">
        <f aca="false">IF(C1873="","",INDEX(Akaun!$D$5:$D$150,MATCH(C1873,Akaun!$A$5:$A$150,0)))</f>
        <v/>
      </c>
    </row>
    <row r="1874" customFormat="false" ht="15" hidden="false" customHeight="true" outlineLevel="0" collapsed="false">
      <c r="G1874" s="1" t="str">
        <f aca="false">IF(C1874="","",INDEX(Akaun!$F$5:$F$150,MATCH(C1874,Akaun!$A$5:$A$150,0)))</f>
        <v/>
      </c>
      <c r="H1874" s="1" t="str">
        <f aca="false">IF(C1874="","",INDEX(Akaun!$D$5:$D$150,MATCH(C1874,Akaun!$A$5:$A$150,0)))</f>
        <v/>
      </c>
    </row>
    <row r="1875" customFormat="false" ht="15" hidden="false" customHeight="true" outlineLevel="0" collapsed="false">
      <c r="G1875" s="1" t="str">
        <f aca="false">IF(C1875="","",INDEX(Akaun!$F$5:$F$150,MATCH(C1875,Akaun!$A$5:$A$150,0)))</f>
        <v/>
      </c>
      <c r="H1875" s="1" t="str">
        <f aca="false">IF(C1875="","",INDEX(Akaun!$D$5:$D$150,MATCH(C1875,Akaun!$A$5:$A$150,0)))</f>
        <v/>
      </c>
    </row>
    <row r="1876" customFormat="false" ht="15" hidden="false" customHeight="true" outlineLevel="0" collapsed="false">
      <c r="G1876" s="1" t="str">
        <f aca="false">IF(C1876="","",INDEX(Akaun!$F$5:$F$150,MATCH(C1876,Akaun!$A$5:$A$150,0)))</f>
        <v/>
      </c>
      <c r="H1876" s="1" t="str">
        <f aca="false">IF(C1876="","",INDEX(Akaun!$D$5:$D$150,MATCH(C1876,Akaun!$A$5:$A$150,0)))</f>
        <v/>
      </c>
    </row>
    <row r="1877" customFormat="false" ht="15" hidden="false" customHeight="true" outlineLevel="0" collapsed="false">
      <c r="G1877" s="1" t="str">
        <f aca="false">IF(C1877="","",INDEX(Akaun!$F$5:$F$150,MATCH(C1877,Akaun!$A$5:$A$150,0)))</f>
        <v/>
      </c>
      <c r="H1877" s="1" t="str">
        <f aca="false">IF(C1877="","",INDEX(Akaun!$D$5:$D$150,MATCH(C1877,Akaun!$A$5:$A$150,0)))</f>
        <v/>
      </c>
    </row>
    <row r="1878" customFormat="false" ht="15" hidden="false" customHeight="true" outlineLevel="0" collapsed="false">
      <c r="G1878" s="1" t="str">
        <f aca="false">IF(C1878="","",INDEX(Akaun!$F$5:$F$150,MATCH(C1878,Akaun!$A$5:$A$150,0)))</f>
        <v/>
      </c>
      <c r="H1878" s="1" t="str">
        <f aca="false">IF(C1878="","",INDEX(Akaun!$D$5:$D$150,MATCH(C1878,Akaun!$A$5:$A$150,0)))</f>
        <v/>
      </c>
    </row>
    <row r="1879" customFormat="false" ht="15" hidden="false" customHeight="true" outlineLevel="0" collapsed="false">
      <c r="G1879" s="1" t="str">
        <f aca="false">IF(C1879="","",INDEX(Akaun!$F$5:$F$150,MATCH(C1879,Akaun!$A$5:$A$150,0)))</f>
        <v/>
      </c>
      <c r="H1879" s="1" t="str">
        <f aca="false">IF(C1879="","",INDEX(Akaun!$D$5:$D$150,MATCH(C1879,Akaun!$A$5:$A$150,0)))</f>
        <v/>
      </c>
    </row>
    <row r="1880" customFormat="false" ht="15" hidden="false" customHeight="true" outlineLevel="0" collapsed="false">
      <c r="G1880" s="1" t="str">
        <f aca="false">IF(C1880="","",INDEX(Akaun!$F$5:$F$150,MATCH(C1880,Akaun!$A$5:$A$150,0)))</f>
        <v/>
      </c>
      <c r="H1880" s="1" t="str">
        <f aca="false">IF(C1880="","",INDEX(Akaun!$D$5:$D$150,MATCH(C1880,Akaun!$A$5:$A$150,0)))</f>
        <v/>
      </c>
    </row>
    <row r="1881" customFormat="false" ht="15" hidden="false" customHeight="true" outlineLevel="0" collapsed="false">
      <c r="G1881" s="1" t="str">
        <f aca="false">IF(C1881="","",INDEX(Akaun!$F$5:$F$150,MATCH(C1881,Akaun!$A$5:$A$150,0)))</f>
        <v/>
      </c>
      <c r="H1881" s="1" t="str">
        <f aca="false">IF(C1881="","",INDEX(Akaun!$D$5:$D$150,MATCH(C1881,Akaun!$A$5:$A$150,0)))</f>
        <v/>
      </c>
    </row>
    <row r="1882" customFormat="false" ht="15" hidden="false" customHeight="true" outlineLevel="0" collapsed="false">
      <c r="G1882" s="1" t="str">
        <f aca="false">IF(C1882="","",INDEX(Akaun!$F$5:$F$150,MATCH(C1882,Akaun!$A$5:$A$150,0)))</f>
        <v/>
      </c>
      <c r="H1882" s="1" t="str">
        <f aca="false">IF(C1882="","",INDEX(Akaun!$D$5:$D$150,MATCH(C1882,Akaun!$A$5:$A$150,0)))</f>
        <v/>
      </c>
    </row>
    <row r="1883" customFormat="false" ht="15" hidden="false" customHeight="true" outlineLevel="0" collapsed="false">
      <c r="G1883" s="1" t="str">
        <f aca="false">IF(C1883="","",INDEX(Akaun!$F$5:$F$150,MATCH(C1883,Akaun!$A$5:$A$150,0)))</f>
        <v/>
      </c>
      <c r="H1883" s="1" t="str">
        <f aca="false">IF(C1883="","",INDEX(Akaun!$D$5:$D$150,MATCH(C1883,Akaun!$A$5:$A$150,0)))</f>
        <v/>
      </c>
    </row>
    <row r="1884" customFormat="false" ht="15" hidden="false" customHeight="true" outlineLevel="0" collapsed="false">
      <c r="G1884" s="1" t="str">
        <f aca="false">IF(C1884="","",INDEX(Akaun!$F$5:$F$150,MATCH(C1884,Akaun!$A$5:$A$150,0)))</f>
        <v/>
      </c>
      <c r="H1884" s="1" t="str">
        <f aca="false">IF(C1884="","",INDEX(Akaun!$D$5:$D$150,MATCH(C1884,Akaun!$A$5:$A$150,0)))</f>
        <v/>
      </c>
    </row>
    <row r="1885" customFormat="false" ht="15" hidden="false" customHeight="true" outlineLevel="0" collapsed="false">
      <c r="G1885" s="1" t="str">
        <f aca="false">IF(C1885="","",INDEX(Akaun!$F$5:$F$150,MATCH(C1885,Akaun!$A$5:$A$150,0)))</f>
        <v/>
      </c>
      <c r="H1885" s="1" t="str">
        <f aca="false">IF(C1885="","",INDEX(Akaun!$D$5:$D$150,MATCH(C1885,Akaun!$A$5:$A$150,0)))</f>
        <v/>
      </c>
    </row>
    <row r="1886" customFormat="false" ht="15" hidden="false" customHeight="true" outlineLevel="0" collapsed="false">
      <c r="G1886" s="1" t="str">
        <f aca="false">IF(C1886="","",INDEX(Akaun!$F$5:$F$150,MATCH(C1886,Akaun!$A$5:$A$150,0)))</f>
        <v/>
      </c>
      <c r="H1886" s="1" t="str">
        <f aca="false">IF(C1886="","",INDEX(Akaun!$D$5:$D$150,MATCH(C1886,Akaun!$A$5:$A$150,0)))</f>
        <v/>
      </c>
    </row>
    <row r="1887" customFormat="false" ht="15" hidden="false" customHeight="true" outlineLevel="0" collapsed="false">
      <c r="G1887" s="1" t="str">
        <f aca="false">IF(C1887="","",INDEX(Akaun!$F$5:$F$150,MATCH(C1887,Akaun!$A$5:$A$150,0)))</f>
        <v/>
      </c>
      <c r="H1887" s="1" t="str">
        <f aca="false">IF(C1887="","",INDEX(Akaun!$D$5:$D$150,MATCH(C1887,Akaun!$A$5:$A$150,0)))</f>
        <v/>
      </c>
    </row>
    <row r="1888" customFormat="false" ht="15" hidden="false" customHeight="true" outlineLevel="0" collapsed="false">
      <c r="G1888" s="1" t="str">
        <f aca="false">IF(C1888="","",INDEX(Akaun!$F$5:$F$150,MATCH(C1888,Akaun!$A$5:$A$150,0)))</f>
        <v/>
      </c>
      <c r="H1888" s="1" t="str">
        <f aca="false">IF(C1888="","",INDEX(Akaun!$D$5:$D$150,MATCH(C1888,Akaun!$A$5:$A$150,0)))</f>
        <v/>
      </c>
    </row>
    <row r="1889" customFormat="false" ht="15" hidden="false" customHeight="true" outlineLevel="0" collapsed="false">
      <c r="G1889" s="1" t="str">
        <f aca="false">IF(C1889="","",INDEX(Akaun!$F$5:$F$150,MATCH(C1889,Akaun!$A$5:$A$150,0)))</f>
        <v/>
      </c>
      <c r="H1889" s="1" t="str">
        <f aca="false">IF(C1889="","",INDEX(Akaun!$D$5:$D$150,MATCH(C1889,Akaun!$A$5:$A$150,0)))</f>
        <v/>
      </c>
    </row>
    <row r="1890" customFormat="false" ht="15" hidden="false" customHeight="true" outlineLevel="0" collapsed="false">
      <c r="G1890" s="1" t="str">
        <f aca="false">IF(C1890="","",INDEX(Akaun!$F$5:$F$150,MATCH(C1890,Akaun!$A$5:$A$150,0)))</f>
        <v/>
      </c>
      <c r="H1890" s="1" t="str">
        <f aca="false">IF(C1890="","",INDEX(Akaun!$D$5:$D$150,MATCH(C1890,Akaun!$A$5:$A$150,0)))</f>
        <v/>
      </c>
    </row>
    <row r="1891" customFormat="false" ht="15" hidden="false" customHeight="true" outlineLevel="0" collapsed="false">
      <c r="G1891" s="1" t="str">
        <f aca="false">IF(C1891="","",INDEX(Akaun!$F$5:$F$150,MATCH(C1891,Akaun!$A$5:$A$150,0)))</f>
        <v/>
      </c>
      <c r="H1891" s="1" t="str">
        <f aca="false">IF(C1891="","",INDEX(Akaun!$D$5:$D$150,MATCH(C1891,Akaun!$A$5:$A$150,0)))</f>
        <v/>
      </c>
    </row>
    <row r="1892" customFormat="false" ht="15" hidden="false" customHeight="true" outlineLevel="0" collapsed="false">
      <c r="G1892" s="1" t="str">
        <f aca="false">IF(C1892="","",INDEX(Akaun!$F$5:$F$150,MATCH(C1892,Akaun!$A$5:$A$150,0)))</f>
        <v/>
      </c>
      <c r="H1892" s="1" t="str">
        <f aca="false">IF(C1892="","",INDEX(Akaun!$D$5:$D$150,MATCH(C1892,Akaun!$A$5:$A$150,0)))</f>
        <v/>
      </c>
    </row>
    <row r="1893" customFormat="false" ht="15" hidden="false" customHeight="true" outlineLevel="0" collapsed="false">
      <c r="G1893" s="1" t="str">
        <f aca="false">IF(C1893="","",INDEX(Akaun!$F$5:$F$150,MATCH(C1893,Akaun!$A$5:$A$150,0)))</f>
        <v/>
      </c>
      <c r="H1893" s="1" t="str">
        <f aca="false">IF(C1893="","",INDEX(Akaun!$D$5:$D$150,MATCH(C1893,Akaun!$A$5:$A$150,0)))</f>
        <v/>
      </c>
    </row>
    <row r="1894" customFormat="false" ht="15" hidden="false" customHeight="true" outlineLevel="0" collapsed="false">
      <c r="G1894" s="1" t="str">
        <f aca="false">IF(C1894="","",INDEX(Akaun!$F$5:$F$150,MATCH(C1894,Akaun!$A$5:$A$150,0)))</f>
        <v/>
      </c>
      <c r="H1894" s="1" t="str">
        <f aca="false">IF(C1894="","",INDEX(Akaun!$D$5:$D$150,MATCH(C1894,Akaun!$A$5:$A$150,0)))</f>
        <v/>
      </c>
    </row>
    <row r="1895" customFormat="false" ht="15" hidden="false" customHeight="true" outlineLevel="0" collapsed="false">
      <c r="G1895" s="1" t="str">
        <f aca="false">IF(C1895="","",INDEX(Akaun!$F$5:$F$150,MATCH(C1895,Akaun!$A$5:$A$150,0)))</f>
        <v/>
      </c>
      <c r="H1895" s="1" t="str">
        <f aca="false">IF(C1895="","",INDEX(Akaun!$D$5:$D$150,MATCH(C1895,Akaun!$A$5:$A$150,0)))</f>
        <v/>
      </c>
    </row>
    <row r="1896" customFormat="false" ht="15" hidden="false" customHeight="true" outlineLevel="0" collapsed="false">
      <c r="G1896" s="1" t="str">
        <f aca="false">IF(C1896="","",INDEX(Akaun!$F$5:$F$150,MATCH(C1896,Akaun!$A$5:$A$150,0)))</f>
        <v/>
      </c>
      <c r="H1896" s="1" t="str">
        <f aca="false">IF(C1896="","",INDEX(Akaun!$D$5:$D$150,MATCH(C1896,Akaun!$A$5:$A$150,0)))</f>
        <v/>
      </c>
    </row>
    <row r="1897" customFormat="false" ht="15" hidden="false" customHeight="true" outlineLevel="0" collapsed="false">
      <c r="G1897" s="1" t="str">
        <f aca="false">IF(C1897="","",INDEX(Akaun!$F$5:$F$150,MATCH(C1897,Akaun!$A$5:$A$150,0)))</f>
        <v/>
      </c>
      <c r="H1897" s="1" t="str">
        <f aca="false">IF(C1897="","",INDEX(Akaun!$D$5:$D$150,MATCH(C1897,Akaun!$A$5:$A$150,0)))</f>
        <v/>
      </c>
    </row>
    <row r="1898" customFormat="false" ht="15" hidden="false" customHeight="true" outlineLevel="0" collapsed="false">
      <c r="G1898" s="1" t="str">
        <f aca="false">IF(C1898="","",INDEX(Akaun!$F$5:$F$150,MATCH(C1898,Akaun!$A$5:$A$150,0)))</f>
        <v/>
      </c>
      <c r="H1898" s="1" t="str">
        <f aca="false">IF(C1898="","",INDEX(Akaun!$D$5:$D$150,MATCH(C1898,Akaun!$A$5:$A$150,0)))</f>
        <v/>
      </c>
    </row>
    <row r="1899" customFormat="false" ht="15" hidden="false" customHeight="true" outlineLevel="0" collapsed="false">
      <c r="G1899" s="1" t="str">
        <f aca="false">IF(C1899="","",INDEX(Akaun!$F$5:$F$150,MATCH(C1899,Akaun!$A$5:$A$150,0)))</f>
        <v/>
      </c>
      <c r="H1899" s="1" t="str">
        <f aca="false">IF(C1899="","",INDEX(Akaun!$D$5:$D$150,MATCH(C1899,Akaun!$A$5:$A$150,0)))</f>
        <v/>
      </c>
    </row>
    <row r="1900" customFormat="false" ht="15" hidden="false" customHeight="true" outlineLevel="0" collapsed="false">
      <c r="G1900" s="1" t="str">
        <f aca="false">IF(C1900="","",INDEX(Akaun!$F$5:$F$150,MATCH(C1900,Akaun!$A$5:$A$150,0)))</f>
        <v/>
      </c>
      <c r="H1900" s="1" t="str">
        <f aca="false">IF(C1900="","",INDEX(Akaun!$D$5:$D$150,MATCH(C1900,Akaun!$A$5:$A$150,0)))</f>
        <v/>
      </c>
    </row>
    <row r="1901" customFormat="false" ht="15" hidden="false" customHeight="true" outlineLevel="0" collapsed="false">
      <c r="G1901" s="1" t="str">
        <f aca="false">IF(C1901="","",INDEX(Akaun!$F$5:$F$150,MATCH(C1901,Akaun!$A$5:$A$150,0)))</f>
        <v/>
      </c>
      <c r="H1901" s="1" t="str">
        <f aca="false">IF(C1901="","",INDEX(Akaun!$D$5:$D$150,MATCH(C1901,Akaun!$A$5:$A$150,0)))</f>
        <v/>
      </c>
    </row>
    <row r="1902" customFormat="false" ht="15" hidden="false" customHeight="true" outlineLevel="0" collapsed="false">
      <c r="G1902" s="1" t="str">
        <f aca="false">IF(C1902="","",INDEX(Akaun!$F$5:$F$150,MATCH(C1902,Akaun!$A$5:$A$150,0)))</f>
        <v/>
      </c>
      <c r="H1902" s="1" t="str">
        <f aca="false">IF(C1902="","",INDEX(Akaun!$D$5:$D$150,MATCH(C1902,Akaun!$A$5:$A$150,0)))</f>
        <v/>
      </c>
    </row>
    <row r="1903" customFormat="false" ht="15" hidden="false" customHeight="true" outlineLevel="0" collapsed="false">
      <c r="G1903" s="1" t="str">
        <f aca="false">IF(C1903="","",INDEX(Akaun!$F$5:$F$150,MATCH(C1903,Akaun!$A$5:$A$150,0)))</f>
        <v/>
      </c>
      <c r="H1903" s="1" t="str">
        <f aca="false">IF(C1903="","",INDEX(Akaun!$D$5:$D$150,MATCH(C1903,Akaun!$A$5:$A$150,0)))</f>
        <v/>
      </c>
    </row>
    <row r="1904" customFormat="false" ht="15" hidden="false" customHeight="true" outlineLevel="0" collapsed="false">
      <c r="G1904" s="1" t="str">
        <f aca="false">IF(C1904="","",INDEX(Akaun!$F$5:$F$150,MATCH(C1904,Akaun!$A$5:$A$150,0)))</f>
        <v/>
      </c>
      <c r="H1904" s="1" t="str">
        <f aca="false">IF(C1904="","",INDEX(Akaun!$D$5:$D$150,MATCH(C1904,Akaun!$A$5:$A$150,0)))</f>
        <v/>
      </c>
    </row>
    <row r="1905" customFormat="false" ht="15" hidden="false" customHeight="true" outlineLevel="0" collapsed="false">
      <c r="G1905" s="1" t="str">
        <f aca="false">IF(C1905="","",INDEX(Akaun!$F$5:$F$150,MATCH(C1905,Akaun!$A$5:$A$150,0)))</f>
        <v/>
      </c>
      <c r="H1905" s="1" t="str">
        <f aca="false">IF(C1905="","",INDEX(Akaun!$D$5:$D$150,MATCH(C1905,Akaun!$A$5:$A$150,0)))</f>
        <v/>
      </c>
    </row>
    <row r="1906" customFormat="false" ht="15" hidden="false" customHeight="true" outlineLevel="0" collapsed="false">
      <c r="G1906" s="1" t="str">
        <f aca="false">IF(C1906="","",INDEX(Akaun!$F$5:$F$150,MATCH(C1906,Akaun!$A$5:$A$150,0)))</f>
        <v/>
      </c>
      <c r="H1906" s="1" t="str">
        <f aca="false">IF(C1906="","",INDEX(Akaun!$D$5:$D$150,MATCH(C1906,Akaun!$A$5:$A$150,0)))</f>
        <v/>
      </c>
    </row>
    <row r="1907" customFormat="false" ht="15" hidden="false" customHeight="true" outlineLevel="0" collapsed="false">
      <c r="G1907" s="1" t="str">
        <f aca="false">IF(C1907="","",INDEX(Akaun!$F$5:$F$150,MATCH(C1907,Akaun!$A$5:$A$150,0)))</f>
        <v/>
      </c>
      <c r="H1907" s="1" t="str">
        <f aca="false">IF(C1907="","",INDEX(Akaun!$D$5:$D$150,MATCH(C1907,Akaun!$A$5:$A$150,0)))</f>
        <v/>
      </c>
    </row>
    <row r="1908" customFormat="false" ht="15" hidden="false" customHeight="true" outlineLevel="0" collapsed="false">
      <c r="G1908" s="1" t="str">
        <f aca="false">IF(C1908="","",INDEX(Akaun!$F$5:$F$150,MATCH(C1908,Akaun!$A$5:$A$150,0)))</f>
        <v/>
      </c>
      <c r="H1908" s="1" t="str">
        <f aca="false">IF(C1908="","",INDEX(Akaun!$D$5:$D$150,MATCH(C1908,Akaun!$A$5:$A$150,0)))</f>
        <v/>
      </c>
    </row>
    <row r="1909" customFormat="false" ht="15" hidden="false" customHeight="true" outlineLevel="0" collapsed="false">
      <c r="G1909" s="1" t="str">
        <f aca="false">IF(C1909="","",INDEX(Akaun!$F$5:$F$150,MATCH(C1909,Akaun!$A$5:$A$150,0)))</f>
        <v/>
      </c>
      <c r="H1909" s="1" t="str">
        <f aca="false">IF(C1909="","",INDEX(Akaun!$D$5:$D$150,MATCH(C1909,Akaun!$A$5:$A$150,0)))</f>
        <v/>
      </c>
    </row>
    <row r="1910" customFormat="false" ht="15" hidden="false" customHeight="true" outlineLevel="0" collapsed="false">
      <c r="G1910" s="1" t="str">
        <f aca="false">IF(C1910="","",INDEX(Akaun!$F$5:$F$150,MATCH(C1910,Akaun!$A$5:$A$150,0)))</f>
        <v/>
      </c>
      <c r="H1910" s="1" t="str">
        <f aca="false">IF(C1910="","",INDEX(Akaun!$D$5:$D$150,MATCH(C1910,Akaun!$A$5:$A$150,0)))</f>
        <v/>
      </c>
    </row>
    <row r="1911" customFormat="false" ht="15" hidden="false" customHeight="true" outlineLevel="0" collapsed="false">
      <c r="G1911" s="1" t="str">
        <f aca="false">IF(C1911="","",INDEX(Akaun!$F$5:$F$150,MATCH(C1911,Akaun!$A$5:$A$150,0)))</f>
        <v/>
      </c>
      <c r="H1911" s="1" t="str">
        <f aca="false">IF(C1911="","",INDEX(Akaun!$D$5:$D$150,MATCH(C1911,Akaun!$A$5:$A$150,0)))</f>
        <v/>
      </c>
    </row>
    <row r="1912" customFormat="false" ht="15" hidden="false" customHeight="true" outlineLevel="0" collapsed="false">
      <c r="G1912" s="1" t="str">
        <f aca="false">IF(C1912="","",INDEX(Akaun!$F$5:$F$150,MATCH(C1912,Akaun!$A$5:$A$150,0)))</f>
        <v/>
      </c>
      <c r="H1912" s="1" t="str">
        <f aca="false">IF(C1912="","",INDEX(Akaun!$D$5:$D$150,MATCH(C1912,Akaun!$A$5:$A$150,0)))</f>
        <v/>
      </c>
    </row>
    <row r="1913" customFormat="false" ht="15" hidden="false" customHeight="true" outlineLevel="0" collapsed="false">
      <c r="G1913" s="1" t="str">
        <f aca="false">IF(C1913="","",INDEX(Akaun!$F$5:$F$150,MATCH(C1913,Akaun!$A$5:$A$150,0)))</f>
        <v/>
      </c>
      <c r="H1913" s="1" t="str">
        <f aca="false">IF(C1913="","",INDEX(Akaun!$D$5:$D$150,MATCH(C1913,Akaun!$A$5:$A$150,0)))</f>
        <v/>
      </c>
    </row>
    <row r="1914" customFormat="false" ht="15" hidden="false" customHeight="true" outlineLevel="0" collapsed="false">
      <c r="G1914" s="1" t="str">
        <f aca="false">IF(C1914="","",INDEX(Akaun!$F$5:$F$150,MATCH(C1914,Akaun!$A$5:$A$150,0)))</f>
        <v/>
      </c>
      <c r="H1914" s="1" t="str">
        <f aca="false">IF(C1914="","",INDEX(Akaun!$D$5:$D$150,MATCH(C1914,Akaun!$A$5:$A$150,0)))</f>
        <v/>
      </c>
    </row>
    <row r="1915" customFormat="false" ht="15" hidden="false" customHeight="true" outlineLevel="0" collapsed="false">
      <c r="G1915" s="1" t="str">
        <f aca="false">IF(C1915="","",INDEX(Akaun!$F$5:$F$150,MATCH(C1915,Akaun!$A$5:$A$150,0)))</f>
        <v/>
      </c>
      <c r="H1915" s="1" t="str">
        <f aca="false">IF(C1915="","",INDEX(Akaun!$D$5:$D$150,MATCH(C1915,Akaun!$A$5:$A$150,0)))</f>
        <v/>
      </c>
    </row>
    <row r="1916" customFormat="false" ht="15" hidden="false" customHeight="true" outlineLevel="0" collapsed="false">
      <c r="G1916" s="1" t="str">
        <f aca="false">IF(C1916="","",INDEX(Akaun!$F$5:$F$150,MATCH(C1916,Akaun!$A$5:$A$150,0)))</f>
        <v/>
      </c>
      <c r="H1916" s="1" t="str">
        <f aca="false">IF(C1916="","",INDEX(Akaun!$D$5:$D$150,MATCH(C1916,Akaun!$A$5:$A$150,0)))</f>
        <v/>
      </c>
    </row>
    <row r="1917" customFormat="false" ht="15" hidden="false" customHeight="true" outlineLevel="0" collapsed="false">
      <c r="G1917" s="1" t="str">
        <f aca="false">IF(C1917="","",INDEX(Akaun!$F$5:$F$150,MATCH(C1917,Akaun!$A$5:$A$150,0)))</f>
        <v/>
      </c>
      <c r="H1917" s="1" t="str">
        <f aca="false">IF(C1917="","",INDEX(Akaun!$D$5:$D$150,MATCH(C1917,Akaun!$A$5:$A$150,0)))</f>
        <v/>
      </c>
    </row>
    <row r="1918" customFormat="false" ht="15" hidden="false" customHeight="true" outlineLevel="0" collapsed="false">
      <c r="G1918" s="1" t="str">
        <f aca="false">IF(C1918="","",INDEX(Akaun!$F$5:$F$150,MATCH(C1918,Akaun!$A$5:$A$150,0)))</f>
        <v/>
      </c>
      <c r="H1918" s="1" t="str">
        <f aca="false">IF(C1918="","",INDEX(Akaun!$D$5:$D$150,MATCH(C1918,Akaun!$A$5:$A$150,0)))</f>
        <v/>
      </c>
    </row>
    <row r="1919" customFormat="false" ht="15" hidden="false" customHeight="true" outlineLevel="0" collapsed="false">
      <c r="G1919" s="1" t="str">
        <f aca="false">IF(C1919="","",INDEX(Akaun!$F$5:$F$150,MATCH(C1919,Akaun!$A$5:$A$150,0)))</f>
        <v/>
      </c>
      <c r="H1919" s="1" t="str">
        <f aca="false">IF(C1919="","",INDEX(Akaun!$D$5:$D$150,MATCH(C1919,Akaun!$A$5:$A$150,0)))</f>
        <v/>
      </c>
    </row>
    <row r="1920" customFormat="false" ht="15" hidden="false" customHeight="true" outlineLevel="0" collapsed="false">
      <c r="G1920" s="1" t="str">
        <f aca="false">IF(C1920="","",INDEX(Akaun!$F$5:$F$150,MATCH(C1920,Akaun!$A$5:$A$150,0)))</f>
        <v/>
      </c>
      <c r="H1920" s="1" t="str">
        <f aca="false">IF(C1920="","",INDEX(Akaun!$D$5:$D$150,MATCH(C1920,Akaun!$A$5:$A$150,0)))</f>
        <v/>
      </c>
    </row>
    <row r="1921" customFormat="false" ht="15" hidden="false" customHeight="true" outlineLevel="0" collapsed="false">
      <c r="G1921" s="1" t="str">
        <f aca="false">IF(C1921="","",INDEX(Akaun!$F$5:$F$150,MATCH(C1921,Akaun!$A$5:$A$150,0)))</f>
        <v/>
      </c>
      <c r="H1921" s="1" t="str">
        <f aca="false">IF(C1921="","",INDEX(Akaun!$D$5:$D$150,MATCH(C1921,Akaun!$A$5:$A$150,0)))</f>
        <v/>
      </c>
    </row>
    <row r="1922" customFormat="false" ht="15" hidden="false" customHeight="true" outlineLevel="0" collapsed="false">
      <c r="G1922" s="1" t="str">
        <f aca="false">IF(C1922="","",INDEX(Akaun!$F$5:$F$150,MATCH(C1922,Akaun!$A$5:$A$150,0)))</f>
        <v/>
      </c>
      <c r="H1922" s="1" t="str">
        <f aca="false">IF(C1922="","",INDEX(Akaun!$D$5:$D$150,MATCH(C1922,Akaun!$A$5:$A$150,0)))</f>
        <v/>
      </c>
    </row>
    <row r="1923" customFormat="false" ht="15" hidden="false" customHeight="true" outlineLevel="0" collapsed="false">
      <c r="G1923" s="1" t="str">
        <f aca="false">IF(C1923="","",INDEX(Akaun!$F$5:$F$150,MATCH(C1923,Akaun!$A$5:$A$150,0)))</f>
        <v/>
      </c>
      <c r="H1923" s="1" t="str">
        <f aca="false">IF(C1923="","",INDEX(Akaun!$D$5:$D$150,MATCH(C1923,Akaun!$A$5:$A$150,0)))</f>
        <v/>
      </c>
    </row>
    <row r="1924" customFormat="false" ht="15" hidden="false" customHeight="true" outlineLevel="0" collapsed="false">
      <c r="G1924" s="1" t="str">
        <f aca="false">IF(C1924="","",INDEX(Akaun!$F$5:$F$150,MATCH(C1924,Akaun!$A$5:$A$150,0)))</f>
        <v/>
      </c>
      <c r="H1924" s="1" t="str">
        <f aca="false">IF(C1924="","",INDEX(Akaun!$D$5:$D$150,MATCH(C1924,Akaun!$A$5:$A$150,0)))</f>
        <v/>
      </c>
    </row>
    <row r="1925" customFormat="false" ht="15" hidden="false" customHeight="true" outlineLevel="0" collapsed="false">
      <c r="G1925" s="1" t="str">
        <f aca="false">IF(C1925="","",INDEX(Akaun!$F$5:$F$150,MATCH(C1925,Akaun!$A$5:$A$150,0)))</f>
        <v/>
      </c>
      <c r="H1925" s="1" t="str">
        <f aca="false">IF(C1925="","",INDEX(Akaun!$D$5:$D$150,MATCH(C1925,Akaun!$A$5:$A$150,0)))</f>
        <v/>
      </c>
    </row>
    <row r="1926" customFormat="false" ht="15" hidden="false" customHeight="true" outlineLevel="0" collapsed="false">
      <c r="G1926" s="1" t="str">
        <f aca="false">IF(C1926="","",INDEX(Akaun!$F$5:$F$150,MATCH(C1926,Akaun!$A$5:$A$150,0)))</f>
        <v/>
      </c>
      <c r="H1926" s="1" t="str">
        <f aca="false">IF(C1926="","",INDEX(Akaun!$D$5:$D$150,MATCH(C1926,Akaun!$A$5:$A$150,0)))</f>
        <v/>
      </c>
    </row>
    <row r="1927" customFormat="false" ht="15" hidden="false" customHeight="true" outlineLevel="0" collapsed="false">
      <c r="G1927" s="1" t="str">
        <f aca="false">IF(C1927="","",INDEX(Akaun!$F$5:$F$150,MATCH(C1927,Akaun!$A$5:$A$150,0)))</f>
        <v/>
      </c>
      <c r="H1927" s="1" t="str">
        <f aca="false">IF(C1927="","",INDEX(Akaun!$D$5:$D$150,MATCH(C1927,Akaun!$A$5:$A$150,0)))</f>
        <v/>
      </c>
    </row>
    <row r="1928" customFormat="false" ht="15" hidden="false" customHeight="true" outlineLevel="0" collapsed="false">
      <c r="G1928" s="1" t="str">
        <f aca="false">IF(C1928="","",INDEX(Akaun!$F$5:$F$150,MATCH(C1928,Akaun!$A$5:$A$150,0)))</f>
        <v/>
      </c>
      <c r="H1928" s="1" t="str">
        <f aca="false">IF(C1928="","",INDEX(Akaun!$D$5:$D$150,MATCH(C1928,Akaun!$A$5:$A$150,0)))</f>
        <v/>
      </c>
    </row>
    <row r="1929" customFormat="false" ht="15" hidden="false" customHeight="true" outlineLevel="0" collapsed="false">
      <c r="G1929" s="1" t="str">
        <f aca="false">IF(C1929="","",INDEX(Akaun!$F$5:$F$150,MATCH(C1929,Akaun!$A$5:$A$150,0)))</f>
        <v/>
      </c>
      <c r="H1929" s="1" t="str">
        <f aca="false">IF(C1929="","",INDEX(Akaun!$D$5:$D$150,MATCH(C1929,Akaun!$A$5:$A$150,0)))</f>
        <v/>
      </c>
    </row>
    <row r="1930" customFormat="false" ht="15" hidden="false" customHeight="true" outlineLevel="0" collapsed="false">
      <c r="G1930" s="1" t="str">
        <f aca="false">IF(C1930="","",INDEX(Akaun!$F$5:$F$150,MATCH(C1930,Akaun!$A$5:$A$150,0)))</f>
        <v/>
      </c>
      <c r="H1930" s="1" t="str">
        <f aca="false">IF(C1930="","",INDEX(Akaun!$D$5:$D$150,MATCH(C1930,Akaun!$A$5:$A$150,0)))</f>
        <v/>
      </c>
    </row>
    <row r="1931" customFormat="false" ht="15" hidden="false" customHeight="true" outlineLevel="0" collapsed="false">
      <c r="G1931" s="1" t="str">
        <f aca="false">IF(C1931="","",INDEX(Akaun!$F$5:$F$150,MATCH(C1931,Akaun!$A$5:$A$150,0)))</f>
        <v/>
      </c>
      <c r="H1931" s="1" t="str">
        <f aca="false">IF(C1931="","",INDEX(Akaun!$D$5:$D$150,MATCH(C1931,Akaun!$A$5:$A$150,0)))</f>
        <v/>
      </c>
    </row>
    <row r="1932" customFormat="false" ht="15" hidden="false" customHeight="true" outlineLevel="0" collapsed="false">
      <c r="G1932" s="1" t="str">
        <f aca="false">IF(C1932="","",INDEX(Akaun!$F$5:$F$150,MATCH(C1932,Akaun!$A$5:$A$150,0)))</f>
        <v/>
      </c>
      <c r="H1932" s="1" t="str">
        <f aca="false">IF(C1932="","",INDEX(Akaun!$D$5:$D$150,MATCH(C1932,Akaun!$A$5:$A$150,0)))</f>
        <v/>
      </c>
    </row>
    <row r="1933" customFormat="false" ht="15" hidden="false" customHeight="true" outlineLevel="0" collapsed="false">
      <c r="G1933" s="1" t="str">
        <f aca="false">IF(C1933="","",INDEX(Akaun!$F$5:$F$150,MATCH(C1933,Akaun!$A$5:$A$150,0)))</f>
        <v/>
      </c>
      <c r="H1933" s="1" t="str">
        <f aca="false">IF(C1933="","",INDEX(Akaun!$D$5:$D$150,MATCH(C1933,Akaun!$A$5:$A$150,0)))</f>
        <v/>
      </c>
    </row>
    <row r="1934" customFormat="false" ht="15" hidden="false" customHeight="true" outlineLevel="0" collapsed="false">
      <c r="G1934" s="1" t="str">
        <f aca="false">IF(C1934="","",INDEX(Akaun!$F$5:$F$150,MATCH(C1934,Akaun!$A$5:$A$150,0)))</f>
        <v/>
      </c>
      <c r="H1934" s="1" t="str">
        <f aca="false">IF(C1934="","",INDEX(Akaun!$D$5:$D$150,MATCH(C1934,Akaun!$A$5:$A$150,0)))</f>
        <v/>
      </c>
    </row>
    <row r="1935" customFormat="false" ht="15" hidden="false" customHeight="true" outlineLevel="0" collapsed="false">
      <c r="G1935" s="1" t="str">
        <f aca="false">IF(C1935="","",INDEX(Akaun!$F$5:$F$150,MATCH(C1935,Akaun!$A$5:$A$150,0)))</f>
        <v/>
      </c>
      <c r="H1935" s="1" t="str">
        <f aca="false">IF(C1935="","",INDEX(Akaun!$D$5:$D$150,MATCH(C1935,Akaun!$A$5:$A$150,0)))</f>
        <v/>
      </c>
    </row>
    <row r="1936" customFormat="false" ht="15" hidden="false" customHeight="true" outlineLevel="0" collapsed="false">
      <c r="G1936" s="1" t="str">
        <f aca="false">IF(C1936="","",INDEX(Akaun!$F$5:$F$150,MATCH(C1936,Akaun!$A$5:$A$150,0)))</f>
        <v/>
      </c>
      <c r="H1936" s="1" t="str">
        <f aca="false">IF(C1936="","",INDEX(Akaun!$D$5:$D$150,MATCH(C1936,Akaun!$A$5:$A$150,0)))</f>
        <v/>
      </c>
    </row>
    <row r="1937" customFormat="false" ht="15" hidden="false" customHeight="true" outlineLevel="0" collapsed="false">
      <c r="G1937" s="1" t="str">
        <f aca="false">IF(C1937="","",INDEX(Akaun!$F$5:$F$150,MATCH(C1937,Akaun!$A$5:$A$150,0)))</f>
        <v/>
      </c>
      <c r="H1937" s="1" t="str">
        <f aca="false">IF(C1937="","",INDEX(Akaun!$D$5:$D$150,MATCH(C1937,Akaun!$A$5:$A$150,0)))</f>
        <v/>
      </c>
    </row>
    <row r="1938" customFormat="false" ht="15" hidden="false" customHeight="true" outlineLevel="0" collapsed="false">
      <c r="G1938" s="1" t="str">
        <f aca="false">IF(C1938="","",INDEX(Akaun!$F$5:$F$150,MATCH(C1938,Akaun!$A$5:$A$150,0)))</f>
        <v/>
      </c>
      <c r="H1938" s="1" t="str">
        <f aca="false">IF(C1938="","",INDEX(Akaun!$D$5:$D$150,MATCH(C1938,Akaun!$A$5:$A$150,0)))</f>
        <v/>
      </c>
    </row>
    <row r="1939" customFormat="false" ht="15" hidden="false" customHeight="true" outlineLevel="0" collapsed="false">
      <c r="G1939" s="1" t="str">
        <f aca="false">IF(C1939="","",INDEX(Akaun!$F$5:$F$150,MATCH(C1939,Akaun!$A$5:$A$150,0)))</f>
        <v/>
      </c>
      <c r="H1939" s="1" t="str">
        <f aca="false">IF(C1939="","",INDEX(Akaun!$D$5:$D$150,MATCH(C1939,Akaun!$A$5:$A$150,0)))</f>
        <v/>
      </c>
    </row>
    <row r="1940" customFormat="false" ht="15" hidden="false" customHeight="true" outlineLevel="0" collapsed="false">
      <c r="G1940" s="1" t="str">
        <f aca="false">IF(C1940="","",INDEX(Akaun!$F$5:$F$150,MATCH(C1940,Akaun!$A$5:$A$150,0)))</f>
        <v/>
      </c>
      <c r="H1940" s="1" t="str">
        <f aca="false">IF(C1940="","",INDEX(Akaun!$D$5:$D$150,MATCH(C1940,Akaun!$A$5:$A$150,0)))</f>
        <v/>
      </c>
    </row>
    <row r="1941" customFormat="false" ht="15" hidden="false" customHeight="true" outlineLevel="0" collapsed="false">
      <c r="G1941" s="1" t="str">
        <f aca="false">IF(C1941="","",INDEX(Akaun!$F$5:$F$150,MATCH(C1941,Akaun!$A$5:$A$150,0)))</f>
        <v/>
      </c>
      <c r="H1941" s="1" t="str">
        <f aca="false">IF(C1941="","",INDEX(Akaun!$D$5:$D$150,MATCH(C1941,Akaun!$A$5:$A$150,0)))</f>
        <v/>
      </c>
    </row>
    <row r="1942" customFormat="false" ht="15" hidden="false" customHeight="true" outlineLevel="0" collapsed="false">
      <c r="G1942" s="1" t="str">
        <f aca="false">IF(C1942="","",INDEX(Akaun!$F$5:$F$150,MATCH(C1942,Akaun!$A$5:$A$150,0)))</f>
        <v/>
      </c>
      <c r="H1942" s="1" t="str">
        <f aca="false">IF(C1942="","",INDEX(Akaun!$D$5:$D$150,MATCH(C1942,Akaun!$A$5:$A$150,0)))</f>
        <v/>
      </c>
    </row>
    <row r="1943" customFormat="false" ht="15" hidden="false" customHeight="true" outlineLevel="0" collapsed="false">
      <c r="G1943" s="1" t="str">
        <f aca="false">IF(C1943="","",INDEX(Akaun!$F$5:$F$150,MATCH(C1943,Akaun!$A$5:$A$150,0)))</f>
        <v/>
      </c>
      <c r="H1943" s="1" t="str">
        <f aca="false">IF(C1943="","",INDEX(Akaun!$D$5:$D$150,MATCH(C1943,Akaun!$A$5:$A$150,0)))</f>
        <v/>
      </c>
    </row>
    <row r="1944" customFormat="false" ht="15" hidden="false" customHeight="true" outlineLevel="0" collapsed="false">
      <c r="G1944" s="1" t="str">
        <f aca="false">IF(C1944="","",INDEX(Akaun!$F$5:$F$150,MATCH(C1944,Akaun!$A$5:$A$150,0)))</f>
        <v/>
      </c>
      <c r="H1944" s="1" t="str">
        <f aca="false">IF(C1944="","",INDEX(Akaun!$D$5:$D$150,MATCH(C1944,Akaun!$A$5:$A$150,0)))</f>
        <v/>
      </c>
    </row>
    <row r="1945" customFormat="false" ht="15" hidden="false" customHeight="true" outlineLevel="0" collapsed="false">
      <c r="G1945" s="1" t="str">
        <f aca="false">IF(C1945="","",INDEX(Akaun!$F$5:$F$150,MATCH(C1945,Akaun!$A$5:$A$150,0)))</f>
        <v/>
      </c>
      <c r="H1945" s="1" t="str">
        <f aca="false">IF(C1945="","",INDEX(Akaun!$D$5:$D$150,MATCH(C1945,Akaun!$A$5:$A$150,0)))</f>
        <v/>
      </c>
    </row>
    <row r="1946" customFormat="false" ht="15" hidden="false" customHeight="true" outlineLevel="0" collapsed="false">
      <c r="G1946" s="1" t="str">
        <f aca="false">IF(C1946="","",INDEX(Akaun!$F$5:$F$150,MATCH(C1946,Akaun!$A$5:$A$150,0)))</f>
        <v/>
      </c>
      <c r="H1946" s="1" t="str">
        <f aca="false">IF(C1946="","",INDEX(Akaun!$D$5:$D$150,MATCH(C1946,Akaun!$A$5:$A$150,0)))</f>
        <v/>
      </c>
    </row>
    <row r="1947" customFormat="false" ht="15" hidden="false" customHeight="true" outlineLevel="0" collapsed="false">
      <c r="G1947" s="1" t="str">
        <f aca="false">IF(C1947="","",INDEX(Akaun!$F$5:$F$150,MATCH(C1947,Akaun!$A$5:$A$150,0)))</f>
        <v/>
      </c>
      <c r="H1947" s="1" t="str">
        <f aca="false">IF(C1947="","",INDEX(Akaun!$D$5:$D$150,MATCH(C1947,Akaun!$A$5:$A$150,0)))</f>
        <v/>
      </c>
    </row>
    <row r="1948" customFormat="false" ht="15" hidden="false" customHeight="true" outlineLevel="0" collapsed="false">
      <c r="G1948" s="1" t="str">
        <f aca="false">IF(C1948="","",INDEX(Akaun!$F$5:$F$150,MATCH(C1948,Akaun!$A$5:$A$150,0)))</f>
        <v/>
      </c>
      <c r="H1948" s="1" t="str">
        <f aca="false">IF(C1948="","",INDEX(Akaun!$D$5:$D$150,MATCH(C1948,Akaun!$A$5:$A$150,0)))</f>
        <v/>
      </c>
    </row>
    <row r="1949" customFormat="false" ht="15" hidden="false" customHeight="true" outlineLevel="0" collapsed="false">
      <c r="G1949" s="1" t="str">
        <f aca="false">IF(C1949="","",INDEX(Akaun!$F$5:$F$150,MATCH(C1949,Akaun!$A$5:$A$150,0)))</f>
        <v/>
      </c>
      <c r="H1949" s="1" t="str">
        <f aca="false">IF(C1949="","",INDEX(Akaun!$D$5:$D$150,MATCH(C1949,Akaun!$A$5:$A$150,0)))</f>
        <v/>
      </c>
    </row>
    <row r="1950" customFormat="false" ht="15" hidden="false" customHeight="true" outlineLevel="0" collapsed="false">
      <c r="G1950" s="1" t="str">
        <f aca="false">IF(C1950="","",INDEX(Akaun!$F$5:$F$150,MATCH(C1950,Akaun!$A$5:$A$150,0)))</f>
        <v/>
      </c>
      <c r="H1950" s="1" t="str">
        <f aca="false">IF(C1950="","",INDEX(Akaun!$D$5:$D$150,MATCH(C1950,Akaun!$A$5:$A$150,0)))</f>
        <v/>
      </c>
    </row>
    <row r="1951" customFormat="false" ht="15" hidden="false" customHeight="true" outlineLevel="0" collapsed="false">
      <c r="G1951" s="1" t="str">
        <f aca="false">IF(C1951="","",INDEX(Akaun!$F$5:$F$150,MATCH(C1951,Akaun!$A$5:$A$150,0)))</f>
        <v/>
      </c>
      <c r="H1951" s="1" t="str">
        <f aca="false">IF(C1951="","",INDEX(Akaun!$D$5:$D$150,MATCH(C1951,Akaun!$A$5:$A$150,0)))</f>
        <v/>
      </c>
    </row>
    <row r="1952" customFormat="false" ht="15" hidden="false" customHeight="true" outlineLevel="0" collapsed="false">
      <c r="G1952" s="1" t="str">
        <f aca="false">IF(C1952="","",INDEX(Akaun!$F$5:$F$150,MATCH(C1952,Akaun!$A$5:$A$150,0)))</f>
        <v/>
      </c>
      <c r="H1952" s="1" t="str">
        <f aca="false">IF(C1952="","",INDEX(Akaun!$D$5:$D$150,MATCH(C1952,Akaun!$A$5:$A$150,0)))</f>
        <v/>
      </c>
    </row>
    <row r="1953" customFormat="false" ht="15" hidden="false" customHeight="true" outlineLevel="0" collapsed="false">
      <c r="G1953" s="1" t="str">
        <f aca="false">IF(C1953="","",INDEX(Akaun!$F$5:$F$150,MATCH(C1953,Akaun!$A$5:$A$150,0)))</f>
        <v/>
      </c>
      <c r="H1953" s="1" t="str">
        <f aca="false">IF(C1953="","",INDEX(Akaun!$D$5:$D$150,MATCH(C1953,Akaun!$A$5:$A$150,0)))</f>
        <v/>
      </c>
    </row>
    <row r="1954" customFormat="false" ht="15" hidden="false" customHeight="true" outlineLevel="0" collapsed="false">
      <c r="G1954" s="1" t="str">
        <f aca="false">IF(C1954="","",INDEX(Akaun!$F$5:$F$150,MATCH(C1954,Akaun!$A$5:$A$150,0)))</f>
        <v/>
      </c>
      <c r="H1954" s="1" t="str">
        <f aca="false">IF(C1954="","",INDEX(Akaun!$D$5:$D$150,MATCH(C1954,Akaun!$A$5:$A$150,0)))</f>
        <v/>
      </c>
    </row>
    <row r="1955" customFormat="false" ht="15" hidden="false" customHeight="true" outlineLevel="0" collapsed="false">
      <c r="G1955" s="1" t="str">
        <f aca="false">IF(C1955="","",INDEX(Akaun!$F$5:$F$150,MATCH(C1955,Akaun!$A$5:$A$150,0)))</f>
        <v/>
      </c>
      <c r="H1955" s="1" t="str">
        <f aca="false">IF(C1955="","",INDEX(Akaun!$D$5:$D$150,MATCH(C1955,Akaun!$A$5:$A$150,0)))</f>
        <v/>
      </c>
    </row>
    <row r="1956" customFormat="false" ht="15" hidden="false" customHeight="true" outlineLevel="0" collapsed="false">
      <c r="G1956" s="1" t="str">
        <f aca="false">IF(C1956="","",INDEX(Akaun!$F$5:$F$150,MATCH(C1956,Akaun!$A$5:$A$150,0)))</f>
        <v/>
      </c>
      <c r="H1956" s="1" t="str">
        <f aca="false">IF(C1956="","",INDEX(Akaun!$D$5:$D$150,MATCH(C1956,Akaun!$A$5:$A$150,0)))</f>
        <v/>
      </c>
    </row>
    <row r="1957" customFormat="false" ht="15" hidden="false" customHeight="true" outlineLevel="0" collapsed="false">
      <c r="G1957" s="1" t="str">
        <f aca="false">IF(C1957="","",INDEX(Akaun!$F$5:$F$150,MATCH(C1957,Akaun!$A$5:$A$150,0)))</f>
        <v/>
      </c>
      <c r="H1957" s="1" t="str">
        <f aca="false">IF(C1957="","",INDEX(Akaun!$D$5:$D$150,MATCH(C1957,Akaun!$A$5:$A$150,0)))</f>
        <v/>
      </c>
    </row>
    <row r="1958" customFormat="false" ht="15" hidden="false" customHeight="true" outlineLevel="0" collapsed="false">
      <c r="G1958" s="1" t="str">
        <f aca="false">IF(C1958="","",INDEX(Akaun!$F$5:$F$150,MATCH(C1958,Akaun!$A$5:$A$150,0)))</f>
        <v/>
      </c>
      <c r="H1958" s="1" t="str">
        <f aca="false">IF(C1958="","",INDEX(Akaun!$D$5:$D$150,MATCH(C1958,Akaun!$A$5:$A$150,0)))</f>
        <v/>
      </c>
    </row>
    <row r="1959" customFormat="false" ht="15" hidden="false" customHeight="true" outlineLevel="0" collapsed="false">
      <c r="G1959" s="1" t="str">
        <f aca="false">IF(C1959="","",INDEX(Akaun!$F$5:$F$150,MATCH(C1959,Akaun!$A$5:$A$150,0)))</f>
        <v/>
      </c>
      <c r="H1959" s="1" t="str">
        <f aca="false">IF(C1959="","",INDEX(Akaun!$D$5:$D$150,MATCH(C1959,Akaun!$A$5:$A$150,0)))</f>
        <v/>
      </c>
    </row>
    <row r="1960" customFormat="false" ht="15" hidden="false" customHeight="true" outlineLevel="0" collapsed="false">
      <c r="G1960" s="1" t="str">
        <f aca="false">IF(C1960="","",INDEX(Akaun!$F$5:$F$150,MATCH(C1960,Akaun!$A$5:$A$150,0)))</f>
        <v/>
      </c>
      <c r="H1960" s="1" t="str">
        <f aca="false">IF(C1960="","",INDEX(Akaun!$D$5:$D$150,MATCH(C1960,Akaun!$A$5:$A$150,0)))</f>
        <v/>
      </c>
    </row>
    <row r="1961" customFormat="false" ht="15" hidden="false" customHeight="true" outlineLevel="0" collapsed="false">
      <c r="G1961" s="1" t="str">
        <f aca="false">IF(C1961="","",INDEX(Akaun!$F$5:$F$150,MATCH(C1961,Akaun!$A$5:$A$150,0)))</f>
        <v/>
      </c>
      <c r="H1961" s="1" t="str">
        <f aca="false">IF(C1961="","",INDEX(Akaun!$D$5:$D$150,MATCH(C1961,Akaun!$A$5:$A$150,0)))</f>
        <v/>
      </c>
    </row>
    <row r="1962" customFormat="false" ht="15" hidden="false" customHeight="true" outlineLevel="0" collapsed="false">
      <c r="G1962" s="1" t="str">
        <f aca="false">IF(C1962="","",INDEX(Akaun!$F$5:$F$150,MATCH(C1962,Akaun!$A$5:$A$150,0)))</f>
        <v/>
      </c>
      <c r="H1962" s="1" t="str">
        <f aca="false">IF(C1962="","",INDEX(Akaun!$D$5:$D$150,MATCH(C1962,Akaun!$A$5:$A$150,0)))</f>
        <v/>
      </c>
    </row>
    <row r="1963" customFormat="false" ht="15" hidden="false" customHeight="true" outlineLevel="0" collapsed="false">
      <c r="G1963" s="1" t="str">
        <f aca="false">IF(C1963="","",INDEX(Akaun!$F$5:$F$150,MATCH(C1963,Akaun!$A$5:$A$150,0)))</f>
        <v/>
      </c>
      <c r="H1963" s="1" t="str">
        <f aca="false">IF(C1963="","",INDEX(Akaun!$D$5:$D$150,MATCH(C1963,Akaun!$A$5:$A$150,0)))</f>
        <v/>
      </c>
    </row>
    <row r="1964" customFormat="false" ht="15" hidden="false" customHeight="true" outlineLevel="0" collapsed="false">
      <c r="G1964" s="1" t="str">
        <f aca="false">IF(C1964="","",INDEX(Akaun!$F$5:$F$150,MATCH(C1964,Akaun!$A$5:$A$150,0)))</f>
        <v/>
      </c>
      <c r="H1964" s="1" t="str">
        <f aca="false">IF(C1964="","",INDEX(Akaun!$D$5:$D$150,MATCH(C1964,Akaun!$A$5:$A$150,0)))</f>
        <v/>
      </c>
    </row>
    <row r="1965" customFormat="false" ht="15" hidden="false" customHeight="true" outlineLevel="0" collapsed="false">
      <c r="G1965" s="1" t="str">
        <f aca="false">IF(C1965="","",INDEX(Akaun!$F$5:$F$150,MATCH(C1965,Akaun!$A$5:$A$150,0)))</f>
        <v/>
      </c>
      <c r="H1965" s="1" t="str">
        <f aca="false">IF(C1965="","",INDEX(Akaun!$D$5:$D$150,MATCH(C1965,Akaun!$A$5:$A$150,0)))</f>
        <v/>
      </c>
    </row>
    <row r="1966" customFormat="false" ht="15" hidden="false" customHeight="true" outlineLevel="0" collapsed="false">
      <c r="G1966" s="1" t="str">
        <f aca="false">IF(C1966="","",INDEX(Akaun!$F$5:$F$150,MATCH(C1966,Akaun!$A$5:$A$150,0)))</f>
        <v/>
      </c>
      <c r="H1966" s="1" t="str">
        <f aca="false">IF(C1966="","",INDEX(Akaun!$D$5:$D$150,MATCH(C1966,Akaun!$A$5:$A$150,0)))</f>
        <v/>
      </c>
    </row>
    <row r="1967" customFormat="false" ht="15" hidden="false" customHeight="true" outlineLevel="0" collapsed="false">
      <c r="G1967" s="1" t="str">
        <f aca="false">IF(C1967="","",INDEX(Akaun!$F$5:$F$150,MATCH(C1967,Akaun!$A$5:$A$150,0)))</f>
        <v/>
      </c>
      <c r="H1967" s="1" t="str">
        <f aca="false">IF(C1967="","",INDEX(Akaun!$D$5:$D$150,MATCH(C1967,Akaun!$A$5:$A$150,0)))</f>
        <v/>
      </c>
    </row>
    <row r="1968" customFormat="false" ht="15" hidden="false" customHeight="true" outlineLevel="0" collapsed="false">
      <c r="G1968" s="1" t="str">
        <f aca="false">IF(C1968="","",INDEX(Akaun!$F$5:$F$150,MATCH(C1968,Akaun!$A$5:$A$150,0)))</f>
        <v/>
      </c>
      <c r="H1968" s="1" t="str">
        <f aca="false">IF(C1968="","",INDEX(Akaun!$D$5:$D$150,MATCH(C1968,Akaun!$A$5:$A$150,0)))</f>
        <v/>
      </c>
    </row>
    <row r="1969" customFormat="false" ht="15" hidden="false" customHeight="true" outlineLevel="0" collapsed="false">
      <c r="G1969" s="1" t="str">
        <f aca="false">IF(C1969="","",INDEX(Akaun!$F$5:$F$150,MATCH(C1969,Akaun!$A$5:$A$150,0)))</f>
        <v/>
      </c>
      <c r="H1969" s="1" t="str">
        <f aca="false">IF(C1969="","",INDEX(Akaun!$D$5:$D$150,MATCH(C1969,Akaun!$A$5:$A$150,0)))</f>
        <v/>
      </c>
    </row>
    <row r="1970" customFormat="false" ht="15" hidden="false" customHeight="true" outlineLevel="0" collapsed="false">
      <c r="G1970" s="1" t="str">
        <f aca="false">IF(C1970="","",INDEX(Akaun!$F$5:$F$150,MATCH(C1970,Akaun!$A$5:$A$150,0)))</f>
        <v/>
      </c>
      <c r="H1970" s="1" t="str">
        <f aca="false">IF(C1970="","",INDEX(Akaun!$D$5:$D$150,MATCH(C1970,Akaun!$A$5:$A$150,0)))</f>
        <v/>
      </c>
    </row>
    <row r="1971" customFormat="false" ht="15" hidden="false" customHeight="true" outlineLevel="0" collapsed="false">
      <c r="G1971" s="1" t="str">
        <f aca="false">IF(C1971="","",INDEX(Akaun!$F$5:$F$150,MATCH(C1971,Akaun!$A$5:$A$150,0)))</f>
        <v/>
      </c>
      <c r="H1971" s="1" t="str">
        <f aca="false">IF(C1971="","",INDEX(Akaun!$D$5:$D$150,MATCH(C1971,Akaun!$A$5:$A$150,0)))</f>
        <v/>
      </c>
    </row>
    <row r="1972" customFormat="false" ht="15" hidden="false" customHeight="true" outlineLevel="0" collapsed="false">
      <c r="G1972" s="1" t="str">
        <f aca="false">IF(C1972="","",INDEX(Akaun!$F$5:$F$150,MATCH(C1972,Akaun!$A$5:$A$150,0)))</f>
        <v/>
      </c>
      <c r="H1972" s="1" t="str">
        <f aca="false">IF(C1972="","",INDEX(Akaun!$D$5:$D$150,MATCH(C1972,Akaun!$A$5:$A$150,0)))</f>
        <v/>
      </c>
    </row>
    <row r="1973" customFormat="false" ht="15" hidden="false" customHeight="true" outlineLevel="0" collapsed="false">
      <c r="G1973" s="1" t="str">
        <f aca="false">IF(C1973="","",INDEX(Akaun!$F$5:$F$150,MATCH(C1973,Akaun!$A$5:$A$150,0)))</f>
        <v/>
      </c>
      <c r="H1973" s="1" t="str">
        <f aca="false">IF(C1973="","",INDEX(Akaun!$D$5:$D$150,MATCH(C1973,Akaun!$A$5:$A$150,0)))</f>
        <v/>
      </c>
    </row>
    <row r="1974" customFormat="false" ht="15" hidden="false" customHeight="true" outlineLevel="0" collapsed="false">
      <c r="G1974" s="1" t="str">
        <f aca="false">IF(C1974="","",INDEX(Akaun!$F$5:$F$150,MATCH(C1974,Akaun!$A$5:$A$150,0)))</f>
        <v/>
      </c>
      <c r="H1974" s="1" t="str">
        <f aca="false">IF(C1974="","",INDEX(Akaun!$D$5:$D$150,MATCH(C1974,Akaun!$A$5:$A$150,0)))</f>
        <v/>
      </c>
    </row>
    <row r="1975" customFormat="false" ht="15" hidden="false" customHeight="true" outlineLevel="0" collapsed="false">
      <c r="G1975" s="1" t="str">
        <f aca="false">IF(C1975="","",INDEX(Akaun!$F$5:$F$150,MATCH(C1975,Akaun!$A$5:$A$150,0)))</f>
        <v/>
      </c>
      <c r="H1975" s="1" t="str">
        <f aca="false">IF(C1975="","",INDEX(Akaun!$D$5:$D$150,MATCH(C1975,Akaun!$A$5:$A$150,0)))</f>
        <v/>
      </c>
    </row>
    <row r="1976" customFormat="false" ht="15" hidden="false" customHeight="true" outlineLevel="0" collapsed="false">
      <c r="G1976" s="1" t="str">
        <f aca="false">IF(C1976="","",INDEX(Akaun!$F$5:$F$150,MATCH(C1976,Akaun!$A$5:$A$150,0)))</f>
        <v/>
      </c>
      <c r="H1976" s="1" t="str">
        <f aca="false">IF(C1976="","",INDEX(Akaun!$D$5:$D$150,MATCH(C1976,Akaun!$A$5:$A$150,0)))</f>
        <v/>
      </c>
    </row>
    <row r="1977" customFormat="false" ht="15" hidden="false" customHeight="true" outlineLevel="0" collapsed="false">
      <c r="G1977" s="1" t="str">
        <f aca="false">IF(C1977="","",INDEX(Akaun!$F$5:$F$150,MATCH(C1977,Akaun!$A$5:$A$150,0)))</f>
        <v/>
      </c>
      <c r="H1977" s="1" t="str">
        <f aca="false">IF(C1977="","",INDEX(Akaun!$D$5:$D$150,MATCH(C1977,Akaun!$A$5:$A$150,0)))</f>
        <v/>
      </c>
    </row>
    <row r="1978" customFormat="false" ht="15" hidden="false" customHeight="true" outlineLevel="0" collapsed="false">
      <c r="G1978" s="1" t="str">
        <f aca="false">IF(C1978="","",INDEX(Akaun!$F$5:$F$150,MATCH(C1978,Akaun!$A$5:$A$150,0)))</f>
        <v/>
      </c>
      <c r="H1978" s="1" t="str">
        <f aca="false">IF(C1978="","",INDEX(Akaun!$D$5:$D$150,MATCH(C1978,Akaun!$A$5:$A$150,0)))</f>
        <v/>
      </c>
    </row>
    <row r="1979" customFormat="false" ht="15" hidden="false" customHeight="true" outlineLevel="0" collapsed="false">
      <c r="G1979" s="1" t="str">
        <f aca="false">IF(C1979="","",INDEX(Akaun!$F$5:$F$150,MATCH(C1979,Akaun!$A$5:$A$150,0)))</f>
        <v/>
      </c>
      <c r="H1979" s="1" t="str">
        <f aca="false">IF(C1979="","",INDEX(Akaun!$D$5:$D$150,MATCH(C1979,Akaun!$A$5:$A$150,0)))</f>
        <v/>
      </c>
    </row>
    <row r="1980" customFormat="false" ht="15" hidden="false" customHeight="true" outlineLevel="0" collapsed="false">
      <c r="G1980" s="1" t="str">
        <f aca="false">IF(C1980="","",INDEX(Akaun!$F$5:$F$150,MATCH(C1980,Akaun!$A$5:$A$150,0)))</f>
        <v/>
      </c>
      <c r="H1980" s="1" t="str">
        <f aca="false">IF(C1980="","",INDEX(Akaun!$D$5:$D$150,MATCH(C1980,Akaun!$A$5:$A$150,0)))</f>
        <v/>
      </c>
    </row>
    <row r="1981" customFormat="false" ht="15" hidden="false" customHeight="true" outlineLevel="0" collapsed="false">
      <c r="G1981" s="1" t="str">
        <f aca="false">IF(C1981="","",INDEX(Akaun!$F$5:$F$150,MATCH(C1981,Akaun!$A$5:$A$150,0)))</f>
        <v/>
      </c>
      <c r="H1981" s="1" t="str">
        <f aca="false">IF(C1981="","",INDEX(Akaun!$D$5:$D$150,MATCH(C1981,Akaun!$A$5:$A$150,0)))</f>
        <v/>
      </c>
    </row>
    <row r="1982" customFormat="false" ht="15" hidden="false" customHeight="true" outlineLevel="0" collapsed="false">
      <c r="G1982" s="1" t="str">
        <f aca="false">IF(C1982="","",INDEX(Akaun!$F$5:$F$150,MATCH(C1982,Akaun!$A$5:$A$150,0)))</f>
        <v/>
      </c>
      <c r="H1982" s="1" t="str">
        <f aca="false">IF(C1982="","",INDEX(Akaun!$D$5:$D$150,MATCH(C1982,Akaun!$A$5:$A$150,0)))</f>
        <v/>
      </c>
    </row>
    <row r="1983" customFormat="false" ht="15" hidden="false" customHeight="true" outlineLevel="0" collapsed="false">
      <c r="G1983" s="1" t="str">
        <f aca="false">IF(C1983="","",INDEX(Akaun!$F$5:$F$150,MATCH(C1983,Akaun!$A$5:$A$150,0)))</f>
        <v/>
      </c>
      <c r="H1983" s="1" t="str">
        <f aca="false">IF(C1983="","",INDEX(Akaun!$D$5:$D$150,MATCH(C1983,Akaun!$A$5:$A$150,0)))</f>
        <v/>
      </c>
    </row>
    <row r="1984" customFormat="false" ht="15" hidden="false" customHeight="true" outlineLevel="0" collapsed="false">
      <c r="G1984" s="1" t="str">
        <f aca="false">IF(C1984="","",INDEX(Akaun!$F$5:$F$150,MATCH(C1984,Akaun!$A$5:$A$150,0)))</f>
        <v/>
      </c>
      <c r="H1984" s="1" t="str">
        <f aca="false">IF(C1984="","",INDEX(Akaun!$D$5:$D$150,MATCH(C1984,Akaun!$A$5:$A$150,0)))</f>
        <v/>
      </c>
    </row>
    <row r="1985" customFormat="false" ht="15" hidden="false" customHeight="true" outlineLevel="0" collapsed="false">
      <c r="G1985" s="1" t="str">
        <f aca="false">IF(C1985="","",INDEX(Akaun!$F$5:$F$150,MATCH(C1985,Akaun!$A$5:$A$150,0)))</f>
        <v/>
      </c>
      <c r="H1985" s="1" t="str">
        <f aca="false">IF(C1985="","",INDEX(Akaun!$D$5:$D$150,MATCH(C1985,Akaun!$A$5:$A$150,0)))</f>
        <v/>
      </c>
    </row>
    <row r="1986" customFormat="false" ht="15" hidden="false" customHeight="true" outlineLevel="0" collapsed="false">
      <c r="G1986" s="1" t="str">
        <f aca="false">IF(C1986="","",INDEX(Akaun!$F$5:$F$150,MATCH(C1986,Akaun!$A$5:$A$150,0)))</f>
        <v/>
      </c>
      <c r="H1986" s="1" t="str">
        <f aca="false">IF(C1986="","",INDEX(Akaun!$D$5:$D$150,MATCH(C1986,Akaun!$A$5:$A$150,0)))</f>
        <v/>
      </c>
    </row>
    <row r="1987" customFormat="false" ht="15" hidden="false" customHeight="true" outlineLevel="0" collapsed="false">
      <c r="G1987" s="1" t="str">
        <f aca="false">IF(C1987="","",INDEX(Akaun!$F$5:$F$150,MATCH(C1987,Akaun!$A$5:$A$150,0)))</f>
        <v/>
      </c>
      <c r="H1987" s="1" t="str">
        <f aca="false">IF(C1987="","",INDEX(Akaun!$D$5:$D$150,MATCH(C1987,Akaun!$A$5:$A$150,0)))</f>
        <v/>
      </c>
    </row>
    <row r="1988" customFormat="false" ht="15" hidden="false" customHeight="true" outlineLevel="0" collapsed="false">
      <c r="G1988" s="1" t="str">
        <f aca="false">IF(C1988="","",INDEX(Akaun!$F$5:$F$150,MATCH(C1988,Akaun!$A$5:$A$150,0)))</f>
        <v/>
      </c>
      <c r="H1988" s="1" t="str">
        <f aca="false">IF(C1988="","",INDEX(Akaun!$D$5:$D$150,MATCH(C1988,Akaun!$A$5:$A$150,0)))</f>
        <v/>
      </c>
    </row>
    <row r="1989" customFormat="false" ht="15" hidden="false" customHeight="true" outlineLevel="0" collapsed="false">
      <c r="G1989" s="1" t="str">
        <f aca="false">IF(C1989="","",INDEX(Akaun!$F$5:$F$150,MATCH(C1989,Akaun!$A$5:$A$150,0)))</f>
        <v/>
      </c>
      <c r="H1989" s="1" t="str">
        <f aca="false">IF(C1989="","",INDEX(Akaun!$D$5:$D$150,MATCH(C1989,Akaun!$A$5:$A$150,0)))</f>
        <v/>
      </c>
    </row>
    <row r="1990" customFormat="false" ht="15" hidden="false" customHeight="true" outlineLevel="0" collapsed="false">
      <c r="G1990" s="1" t="str">
        <f aca="false">IF(C1990="","",INDEX(Akaun!$F$5:$F$150,MATCH(C1990,Akaun!$A$5:$A$150,0)))</f>
        <v/>
      </c>
      <c r="H1990" s="1" t="str">
        <f aca="false">IF(C1990="","",INDEX(Akaun!$D$5:$D$150,MATCH(C1990,Akaun!$A$5:$A$150,0)))</f>
        <v/>
      </c>
    </row>
    <row r="1991" customFormat="false" ht="15" hidden="false" customHeight="true" outlineLevel="0" collapsed="false">
      <c r="G1991" s="1" t="str">
        <f aca="false">IF(C1991="","",INDEX(Akaun!$F$5:$F$150,MATCH(C1991,Akaun!$A$5:$A$150,0)))</f>
        <v/>
      </c>
      <c r="H1991" s="1" t="str">
        <f aca="false">IF(C1991="","",INDEX(Akaun!$D$5:$D$150,MATCH(C1991,Akaun!$A$5:$A$150,0)))</f>
        <v/>
      </c>
    </row>
    <row r="1992" customFormat="false" ht="15" hidden="false" customHeight="true" outlineLevel="0" collapsed="false">
      <c r="G1992" s="1" t="str">
        <f aca="false">IF(C1992="","",INDEX(Akaun!$F$5:$F$150,MATCH(C1992,Akaun!$A$5:$A$150,0)))</f>
        <v/>
      </c>
      <c r="H1992" s="1" t="str">
        <f aca="false">IF(C1992="","",INDEX(Akaun!$D$5:$D$150,MATCH(C1992,Akaun!$A$5:$A$150,0)))</f>
        <v/>
      </c>
    </row>
    <row r="1993" customFormat="false" ht="15" hidden="false" customHeight="true" outlineLevel="0" collapsed="false">
      <c r="G1993" s="1" t="str">
        <f aca="false">IF(C1993="","",INDEX(Akaun!$F$5:$F$150,MATCH(C1993,Akaun!$A$5:$A$150,0)))</f>
        <v/>
      </c>
      <c r="H1993" s="1" t="str">
        <f aca="false">IF(C1993="","",INDEX(Akaun!$D$5:$D$150,MATCH(C1993,Akaun!$A$5:$A$150,0)))</f>
        <v/>
      </c>
    </row>
    <row r="1994" customFormat="false" ht="15" hidden="false" customHeight="true" outlineLevel="0" collapsed="false">
      <c r="G1994" s="1" t="str">
        <f aca="false">IF(C1994="","",INDEX(Akaun!$F$5:$F$150,MATCH(C1994,Akaun!$A$5:$A$150,0)))</f>
        <v/>
      </c>
      <c r="H1994" s="1" t="str">
        <f aca="false">IF(C1994="","",INDEX(Akaun!$D$5:$D$150,MATCH(C1994,Akaun!$A$5:$A$150,0)))</f>
        <v/>
      </c>
    </row>
    <row r="1995" customFormat="false" ht="15" hidden="false" customHeight="true" outlineLevel="0" collapsed="false">
      <c r="G1995" s="1" t="str">
        <f aca="false">IF(C1995="","",INDEX(Akaun!$F$5:$F$150,MATCH(C1995,Akaun!$A$5:$A$150,0)))</f>
        <v/>
      </c>
      <c r="H1995" s="1" t="str">
        <f aca="false">IF(C1995="","",INDEX(Akaun!$D$5:$D$150,MATCH(C1995,Akaun!$A$5:$A$150,0)))</f>
        <v/>
      </c>
    </row>
    <row r="1996" customFormat="false" ht="15" hidden="false" customHeight="true" outlineLevel="0" collapsed="false">
      <c r="G1996" s="1" t="str">
        <f aca="false">IF(C1996="","",INDEX(Akaun!$F$5:$F$150,MATCH(C1996,Akaun!$A$5:$A$150,0)))</f>
        <v/>
      </c>
      <c r="H1996" s="1" t="str">
        <f aca="false">IF(C1996="","",INDEX(Akaun!$D$5:$D$150,MATCH(C1996,Akaun!$A$5:$A$150,0)))</f>
        <v/>
      </c>
    </row>
    <row r="1997" customFormat="false" ht="15" hidden="false" customHeight="true" outlineLevel="0" collapsed="false">
      <c r="G1997" s="1" t="str">
        <f aca="false">IF(C1997="","",INDEX(Akaun!$F$5:$F$150,MATCH(C1997,Akaun!$A$5:$A$150,0)))</f>
        <v/>
      </c>
      <c r="H1997" s="1" t="str">
        <f aca="false">IF(C1997="","",INDEX(Akaun!$D$5:$D$150,MATCH(C1997,Akaun!$A$5:$A$150,0)))</f>
        <v/>
      </c>
    </row>
    <row r="1998" customFormat="false" ht="15" hidden="false" customHeight="true" outlineLevel="0" collapsed="false">
      <c r="G1998" s="1" t="str">
        <f aca="false">IF(C1998="","",INDEX(Akaun!$F$5:$F$150,MATCH(C1998,Akaun!$A$5:$A$150,0)))</f>
        <v/>
      </c>
      <c r="H1998" s="1" t="str">
        <f aca="false">IF(C1998="","",INDEX(Akaun!$D$5:$D$150,MATCH(C1998,Akaun!$A$5:$A$150,0)))</f>
        <v/>
      </c>
    </row>
    <row r="1999" customFormat="false" ht="15" hidden="false" customHeight="true" outlineLevel="0" collapsed="false">
      <c r="G1999" s="1" t="str">
        <f aca="false">IF(C1999="","",INDEX(Akaun!$F$5:$F$150,MATCH(C1999,Akaun!$A$5:$A$150,0)))</f>
        <v/>
      </c>
      <c r="H1999" s="1" t="str">
        <f aca="false">IF(C1999="","",INDEX(Akaun!$D$5:$D$150,MATCH(C1999,Akaun!$A$5:$A$150,0)))</f>
        <v/>
      </c>
    </row>
    <row r="2000" customFormat="false" ht="15" hidden="false" customHeight="true" outlineLevel="0" collapsed="false">
      <c r="G2000" s="1" t="str">
        <f aca="false">IF(C2000="","",INDEX(Akaun!$F$5:$F$150,MATCH(C2000,Akaun!$A$5:$A$150,0)))</f>
        <v/>
      </c>
      <c r="H2000" s="1" t="str">
        <f aca="false">IF(C2000="","",INDEX(Akaun!$D$5:$D$150,MATCH(C2000,Akaun!$A$5:$A$150,0)))</f>
        <v/>
      </c>
    </row>
    <row r="2001" customFormat="false" ht="15" hidden="false" customHeight="true" outlineLevel="0" collapsed="false">
      <c r="G2001" s="1" t="str">
        <f aca="false">IF(C2001="","",INDEX(Akaun!$F$5:$F$150,MATCH(C2001,Akaun!$A$5:$A$150,0)))</f>
        <v/>
      </c>
      <c r="H2001" s="1" t="str">
        <f aca="false">IF(C2001="","",INDEX(Akaun!$D$5:$D$150,MATCH(C2001,Akaun!$A$5:$A$150,0)))</f>
        <v/>
      </c>
    </row>
    <row r="2002" customFormat="false" ht="15" hidden="false" customHeight="true" outlineLevel="0" collapsed="false">
      <c r="G2002" s="1" t="str">
        <f aca="false">IF(C2002="","",INDEX(Akaun!$F$5:$F$150,MATCH(C2002,Akaun!$A$5:$A$150,0)))</f>
        <v/>
      </c>
      <c r="H2002" s="1" t="str">
        <f aca="false">IF(C2002="","",INDEX(Akaun!$D$5:$D$150,MATCH(C2002,Akaun!$A$5:$A$150,0)))</f>
        <v/>
      </c>
    </row>
    <row r="2003" customFormat="false" ht="15" hidden="false" customHeight="true" outlineLevel="0" collapsed="false">
      <c r="G2003" s="1" t="str">
        <f aca="false">IF(C2003="","",INDEX(Akaun!$F$5:$F$150,MATCH(C2003,Akaun!$A$5:$A$150,0)))</f>
        <v/>
      </c>
      <c r="H2003" s="1" t="str">
        <f aca="false">IF(C2003="","",INDEX(Akaun!$D$5:$D$150,MATCH(C2003,Akaun!$A$5:$A$150,0)))</f>
        <v/>
      </c>
    </row>
    <row r="2004" customFormat="false" ht="15" hidden="false" customHeight="true" outlineLevel="0" collapsed="false">
      <c r="G2004" s="1" t="str">
        <f aca="false">IF(C2004="","",INDEX(Akaun!$F$5:$F$150,MATCH(C2004,Akaun!$A$5:$A$150,0)))</f>
        <v/>
      </c>
      <c r="H2004" s="1" t="str">
        <f aca="false">IF(C2004="","",INDEX(Akaun!$D$5:$D$150,MATCH(C2004,Akaun!$A$5:$A$150,0)))</f>
        <v/>
      </c>
    </row>
    <row r="2005" customFormat="false" ht="15" hidden="false" customHeight="true" outlineLevel="0" collapsed="false">
      <c r="G2005" s="1" t="str">
        <f aca="false">IF(C2005="","",INDEX(Akaun!$F$5:$F$150,MATCH(C2005,Akaun!$A$5:$A$150,0)))</f>
        <v/>
      </c>
      <c r="H2005" s="1" t="str">
        <f aca="false">IF(C2005="","",INDEX(Akaun!$D$5:$D$150,MATCH(C2005,Akaun!$A$5:$A$150,0)))</f>
        <v/>
      </c>
    </row>
    <row r="2006" customFormat="false" ht="15" hidden="false" customHeight="true" outlineLevel="0" collapsed="false">
      <c r="G2006" s="1" t="str">
        <f aca="false">IF(C2006="","",INDEX(Akaun!$F$5:$F$150,MATCH(C2006,Akaun!$A$5:$A$150,0)))</f>
        <v/>
      </c>
      <c r="H2006" s="1" t="str">
        <f aca="false">IF(C2006="","",INDEX(Akaun!$D$5:$D$150,MATCH(C2006,Akaun!$A$5:$A$150,0)))</f>
        <v/>
      </c>
    </row>
    <row r="2007" customFormat="false" ht="15" hidden="false" customHeight="true" outlineLevel="0" collapsed="false">
      <c r="G2007" s="1" t="str">
        <f aca="false">IF(C2007="","",INDEX(Akaun!$F$5:$F$150,MATCH(C2007,Akaun!$A$5:$A$150,0)))</f>
        <v/>
      </c>
      <c r="H2007" s="1" t="str">
        <f aca="false">IF(C2007="","",INDEX(Akaun!$D$5:$D$150,MATCH(C2007,Akaun!$A$5:$A$150,0)))</f>
        <v/>
      </c>
    </row>
    <row r="2008" customFormat="false" ht="15" hidden="false" customHeight="true" outlineLevel="0" collapsed="false">
      <c r="G2008" s="1" t="str">
        <f aca="false">IF(C2008="","",INDEX(Akaun!$F$5:$F$150,MATCH(C2008,Akaun!$A$5:$A$150,0)))</f>
        <v/>
      </c>
      <c r="H2008" s="1" t="str">
        <f aca="false">IF(C2008="","",INDEX(Akaun!$D$5:$D$150,MATCH(C2008,Akaun!$A$5:$A$150,0)))</f>
        <v/>
      </c>
    </row>
    <row r="2009" customFormat="false" ht="15" hidden="false" customHeight="true" outlineLevel="0" collapsed="false">
      <c r="G2009" s="1" t="str">
        <f aca="false">IF(C2009="","",INDEX(Akaun!$F$5:$F$150,MATCH(C2009,Akaun!$A$5:$A$150,0)))</f>
        <v/>
      </c>
      <c r="H2009" s="1" t="str">
        <f aca="false">IF(C2009="","",INDEX(Akaun!$D$5:$D$150,MATCH(C2009,Akaun!$A$5:$A$150,0)))</f>
        <v/>
      </c>
    </row>
    <row r="2010" customFormat="false" ht="15" hidden="false" customHeight="true" outlineLevel="0" collapsed="false">
      <c r="G2010" s="1" t="str">
        <f aca="false">IF(C2010="","",INDEX(Akaun!$F$5:$F$150,MATCH(C2010,Akaun!$A$5:$A$150,0)))</f>
        <v/>
      </c>
      <c r="H2010" s="1" t="str">
        <f aca="false">IF(C2010="","",INDEX(Akaun!$D$5:$D$150,MATCH(C2010,Akaun!$A$5:$A$150,0)))</f>
        <v/>
      </c>
    </row>
    <row r="2011" customFormat="false" ht="15" hidden="false" customHeight="true" outlineLevel="0" collapsed="false">
      <c r="G2011" s="1" t="str">
        <f aca="false">IF(C2011="","",INDEX(Akaun!$F$5:$F$150,MATCH(C2011,Akaun!$A$5:$A$150,0)))</f>
        <v/>
      </c>
      <c r="H2011" s="1" t="str">
        <f aca="false">IF(C2011="","",INDEX(Akaun!$D$5:$D$150,MATCH(C2011,Akaun!$A$5:$A$150,0)))</f>
        <v/>
      </c>
    </row>
    <row r="2012" customFormat="false" ht="15" hidden="false" customHeight="true" outlineLevel="0" collapsed="false">
      <c r="G2012" s="1" t="str">
        <f aca="false">IF(C2012="","",INDEX(Akaun!$F$5:$F$150,MATCH(C2012,Akaun!$A$5:$A$150,0)))</f>
        <v/>
      </c>
      <c r="H2012" s="1" t="str">
        <f aca="false">IF(C2012="","",INDEX(Akaun!$D$5:$D$150,MATCH(C2012,Akaun!$A$5:$A$150,0)))</f>
        <v/>
      </c>
    </row>
    <row r="2013" customFormat="false" ht="15" hidden="false" customHeight="true" outlineLevel="0" collapsed="false">
      <c r="G2013" s="1" t="str">
        <f aca="false">IF(C2013="","",INDEX(Akaun!$F$5:$F$150,MATCH(C2013,Akaun!$A$5:$A$150,0)))</f>
        <v/>
      </c>
      <c r="H2013" s="1" t="str">
        <f aca="false">IF(C2013="","",INDEX(Akaun!$D$5:$D$150,MATCH(C2013,Akaun!$A$5:$A$150,0)))</f>
        <v/>
      </c>
    </row>
    <row r="2014" customFormat="false" ht="15" hidden="false" customHeight="true" outlineLevel="0" collapsed="false">
      <c r="G2014" s="1" t="str">
        <f aca="false">IF(C2014="","",INDEX(Akaun!$F$5:$F$150,MATCH(C2014,Akaun!$A$5:$A$150,0)))</f>
        <v/>
      </c>
      <c r="H2014" s="1" t="str">
        <f aca="false">IF(C2014="","",INDEX(Akaun!$D$5:$D$150,MATCH(C2014,Akaun!$A$5:$A$150,0)))</f>
        <v/>
      </c>
    </row>
    <row r="2015" customFormat="false" ht="15" hidden="false" customHeight="true" outlineLevel="0" collapsed="false">
      <c r="G2015" s="1" t="str">
        <f aca="false">IF(C2015="","",INDEX(Akaun!$F$5:$F$150,MATCH(C2015,Akaun!$A$5:$A$150,0)))</f>
        <v/>
      </c>
      <c r="H2015" s="1" t="str">
        <f aca="false">IF(C2015="","",INDEX(Akaun!$D$5:$D$150,MATCH(C2015,Akaun!$A$5:$A$150,0)))</f>
        <v/>
      </c>
    </row>
    <row r="2016" customFormat="false" ht="15" hidden="false" customHeight="true" outlineLevel="0" collapsed="false">
      <c r="G2016" s="1" t="str">
        <f aca="false">IF(C2016="","",INDEX(Akaun!$F$5:$F$150,MATCH(C2016,Akaun!$A$5:$A$150,0)))</f>
        <v/>
      </c>
      <c r="H2016" s="1" t="str">
        <f aca="false">IF(C2016="","",INDEX(Akaun!$D$5:$D$150,MATCH(C2016,Akaun!$A$5:$A$150,0)))</f>
        <v/>
      </c>
    </row>
    <row r="2017" customFormat="false" ht="15" hidden="false" customHeight="true" outlineLevel="0" collapsed="false">
      <c r="G2017" s="1" t="str">
        <f aca="false">IF(C2017="","",INDEX(Akaun!$F$5:$F$150,MATCH(C2017,Akaun!$A$5:$A$150,0)))</f>
        <v/>
      </c>
      <c r="H2017" s="1" t="str">
        <f aca="false">IF(C2017="","",INDEX(Akaun!$D$5:$D$150,MATCH(C2017,Akaun!$A$5:$A$150,0)))</f>
        <v/>
      </c>
    </row>
    <row r="2018" customFormat="false" ht="15" hidden="false" customHeight="true" outlineLevel="0" collapsed="false">
      <c r="G2018" s="1" t="str">
        <f aca="false">IF(C2018="","",INDEX(Akaun!$F$5:$F$150,MATCH(C2018,Akaun!$A$5:$A$150,0)))</f>
        <v/>
      </c>
      <c r="H2018" s="1" t="str">
        <f aca="false">IF(C2018="","",INDEX(Akaun!$D$5:$D$150,MATCH(C2018,Akaun!$A$5:$A$150,0)))</f>
        <v/>
      </c>
    </row>
    <row r="2019" customFormat="false" ht="15" hidden="false" customHeight="true" outlineLevel="0" collapsed="false">
      <c r="G2019" s="1" t="str">
        <f aca="false">IF(C2019="","",INDEX(Akaun!$F$5:$F$150,MATCH(C2019,Akaun!$A$5:$A$150,0)))</f>
        <v/>
      </c>
      <c r="H2019" s="1" t="str">
        <f aca="false">IF(C2019="","",INDEX(Akaun!$D$5:$D$150,MATCH(C2019,Akaun!$A$5:$A$150,0)))</f>
        <v/>
      </c>
    </row>
    <row r="2020" customFormat="false" ht="15" hidden="false" customHeight="true" outlineLevel="0" collapsed="false">
      <c r="G2020" s="1" t="str">
        <f aca="false">IF(C2020="","",INDEX(Akaun!$F$5:$F$150,MATCH(C2020,Akaun!$A$5:$A$150,0)))</f>
        <v/>
      </c>
      <c r="H2020" s="1" t="str">
        <f aca="false">IF(C2020="","",INDEX(Akaun!$D$5:$D$150,MATCH(C2020,Akaun!$A$5:$A$150,0)))</f>
        <v/>
      </c>
    </row>
    <row r="2021" customFormat="false" ht="15" hidden="false" customHeight="true" outlineLevel="0" collapsed="false">
      <c r="G2021" s="1" t="str">
        <f aca="false">IF(C2021="","",INDEX(Akaun!$F$5:$F$150,MATCH(C2021,Akaun!$A$5:$A$150,0)))</f>
        <v/>
      </c>
      <c r="H2021" s="1" t="str">
        <f aca="false">IF(C2021="","",INDEX(Akaun!$D$5:$D$150,MATCH(C2021,Akaun!$A$5:$A$150,0)))</f>
        <v/>
      </c>
    </row>
    <row r="2022" customFormat="false" ht="15" hidden="false" customHeight="true" outlineLevel="0" collapsed="false">
      <c r="G2022" s="1" t="str">
        <f aca="false">IF(C2022="","",INDEX(Akaun!$F$5:$F$150,MATCH(C2022,Akaun!$A$5:$A$150,0)))</f>
        <v/>
      </c>
      <c r="H2022" s="1" t="str">
        <f aca="false">IF(C2022="","",INDEX(Akaun!$D$5:$D$150,MATCH(C2022,Akaun!$A$5:$A$150,0)))</f>
        <v/>
      </c>
    </row>
    <row r="2023" customFormat="false" ht="15" hidden="false" customHeight="true" outlineLevel="0" collapsed="false">
      <c r="G2023" s="1" t="str">
        <f aca="false">IF(C2023="","",INDEX(Akaun!$F$5:$F$150,MATCH(C2023,Akaun!$A$5:$A$150,0)))</f>
        <v/>
      </c>
      <c r="H2023" s="1" t="str">
        <f aca="false">IF(C2023="","",INDEX(Akaun!$D$5:$D$150,MATCH(C2023,Akaun!$A$5:$A$150,0)))</f>
        <v/>
      </c>
    </row>
    <row r="2024" customFormat="false" ht="15" hidden="false" customHeight="true" outlineLevel="0" collapsed="false">
      <c r="G2024" s="1" t="str">
        <f aca="false">IF(C2024="","",INDEX(Akaun!$F$5:$F$150,MATCH(C2024,Akaun!$A$5:$A$150,0)))</f>
        <v/>
      </c>
      <c r="H2024" s="1" t="str">
        <f aca="false">IF(C2024="","",INDEX(Akaun!$D$5:$D$150,MATCH(C2024,Akaun!$A$5:$A$150,0)))</f>
        <v/>
      </c>
    </row>
    <row r="2025" customFormat="false" ht="15" hidden="false" customHeight="true" outlineLevel="0" collapsed="false">
      <c r="G2025" s="1" t="str">
        <f aca="false">IF(C2025="","",INDEX(Akaun!$F$5:$F$150,MATCH(C2025,Akaun!$A$5:$A$150,0)))</f>
        <v/>
      </c>
      <c r="H2025" s="1" t="str">
        <f aca="false">IF(C2025="","",INDEX(Akaun!$D$5:$D$150,MATCH(C2025,Akaun!$A$5:$A$150,0)))</f>
        <v/>
      </c>
    </row>
    <row r="2026" customFormat="false" ht="15" hidden="false" customHeight="true" outlineLevel="0" collapsed="false">
      <c r="G2026" s="1" t="str">
        <f aca="false">IF(C2026="","",INDEX(Akaun!$F$5:$F$150,MATCH(C2026,Akaun!$A$5:$A$150,0)))</f>
        <v/>
      </c>
      <c r="H2026" s="1" t="str">
        <f aca="false">IF(C2026="","",INDEX(Akaun!$D$5:$D$150,MATCH(C2026,Akaun!$A$5:$A$150,0)))</f>
        <v/>
      </c>
    </row>
    <row r="2027" customFormat="false" ht="15" hidden="false" customHeight="true" outlineLevel="0" collapsed="false">
      <c r="G2027" s="1" t="str">
        <f aca="false">IF(C2027="","",INDEX(Akaun!$F$5:$F$150,MATCH(C2027,Akaun!$A$5:$A$150,0)))</f>
        <v/>
      </c>
      <c r="H2027" s="1" t="str">
        <f aca="false">IF(C2027="","",INDEX(Akaun!$D$5:$D$150,MATCH(C2027,Akaun!$A$5:$A$150,0)))</f>
        <v/>
      </c>
    </row>
    <row r="2028" customFormat="false" ht="15" hidden="false" customHeight="true" outlineLevel="0" collapsed="false">
      <c r="G2028" s="1" t="str">
        <f aca="false">IF(C2028="","",INDEX(Akaun!$F$5:$F$150,MATCH(C2028,Akaun!$A$5:$A$150,0)))</f>
        <v/>
      </c>
      <c r="H2028" s="1" t="str">
        <f aca="false">IF(C2028="","",INDEX(Akaun!$D$5:$D$150,MATCH(C2028,Akaun!$A$5:$A$150,0)))</f>
        <v/>
      </c>
    </row>
    <row r="2029" customFormat="false" ht="15" hidden="false" customHeight="true" outlineLevel="0" collapsed="false">
      <c r="G2029" s="1" t="str">
        <f aca="false">IF(C2029="","",INDEX(Akaun!$F$5:$F$150,MATCH(C2029,Akaun!$A$5:$A$150,0)))</f>
        <v/>
      </c>
      <c r="H2029" s="1" t="str">
        <f aca="false">IF(C2029="","",INDEX(Akaun!$D$5:$D$150,MATCH(C2029,Akaun!$A$5:$A$150,0)))</f>
        <v/>
      </c>
    </row>
    <row r="2030" customFormat="false" ht="15" hidden="false" customHeight="true" outlineLevel="0" collapsed="false">
      <c r="G2030" s="1" t="str">
        <f aca="false">IF(C2030="","",INDEX(Akaun!$F$5:$F$150,MATCH(C2030,Akaun!$A$5:$A$150,0)))</f>
        <v/>
      </c>
      <c r="H2030" s="1" t="str">
        <f aca="false">IF(C2030="","",INDEX(Akaun!$D$5:$D$150,MATCH(C2030,Akaun!$A$5:$A$150,0)))</f>
        <v/>
      </c>
    </row>
    <row r="2031" customFormat="false" ht="15" hidden="false" customHeight="true" outlineLevel="0" collapsed="false">
      <c r="G2031" s="1" t="str">
        <f aca="false">IF(C2031="","",INDEX(Akaun!$F$5:$F$150,MATCH(C2031,Akaun!$A$5:$A$150,0)))</f>
        <v/>
      </c>
      <c r="H2031" s="1" t="str">
        <f aca="false">IF(C2031="","",INDEX(Akaun!$D$5:$D$150,MATCH(C2031,Akaun!$A$5:$A$150,0)))</f>
        <v/>
      </c>
    </row>
    <row r="2032" customFormat="false" ht="15" hidden="false" customHeight="true" outlineLevel="0" collapsed="false">
      <c r="G2032" s="1" t="str">
        <f aca="false">IF(C2032="","",INDEX(Akaun!$F$5:$F$150,MATCH(C2032,Akaun!$A$5:$A$150,0)))</f>
        <v/>
      </c>
      <c r="H2032" s="1" t="str">
        <f aca="false">IF(C2032="","",INDEX(Akaun!$D$5:$D$150,MATCH(C2032,Akaun!$A$5:$A$150,0)))</f>
        <v/>
      </c>
    </row>
    <row r="2033" customFormat="false" ht="15" hidden="false" customHeight="true" outlineLevel="0" collapsed="false">
      <c r="G2033" s="1" t="str">
        <f aca="false">IF(C2033="","",INDEX(Akaun!$F$5:$F$150,MATCH(C2033,Akaun!$A$5:$A$150,0)))</f>
        <v/>
      </c>
      <c r="H2033" s="1" t="str">
        <f aca="false">IF(C2033="","",INDEX(Akaun!$D$5:$D$150,MATCH(C2033,Akaun!$A$5:$A$150,0)))</f>
        <v/>
      </c>
    </row>
    <row r="2034" customFormat="false" ht="15" hidden="false" customHeight="true" outlineLevel="0" collapsed="false">
      <c r="G2034" s="1" t="str">
        <f aca="false">IF(C2034="","",INDEX(Akaun!$F$5:$F$150,MATCH(C2034,Akaun!$A$5:$A$150,0)))</f>
        <v/>
      </c>
      <c r="H2034" s="1" t="str">
        <f aca="false">IF(C2034="","",INDEX(Akaun!$D$5:$D$150,MATCH(C2034,Akaun!$A$5:$A$150,0)))</f>
        <v/>
      </c>
    </row>
    <row r="2035" customFormat="false" ht="15" hidden="false" customHeight="true" outlineLevel="0" collapsed="false">
      <c r="G2035" s="1" t="str">
        <f aca="false">IF(C2035="","",INDEX(Akaun!$F$5:$F$150,MATCH(C2035,Akaun!$A$5:$A$150,0)))</f>
        <v/>
      </c>
      <c r="H2035" s="1" t="str">
        <f aca="false">IF(C2035="","",INDEX(Akaun!$D$5:$D$150,MATCH(C2035,Akaun!$A$5:$A$150,0)))</f>
        <v/>
      </c>
    </row>
    <row r="2036" customFormat="false" ht="15" hidden="false" customHeight="true" outlineLevel="0" collapsed="false">
      <c r="G2036" s="1" t="str">
        <f aca="false">IF(C2036="","",INDEX(Akaun!$F$5:$F$150,MATCH(C2036,Akaun!$A$5:$A$150,0)))</f>
        <v/>
      </c>
      <c r="H2036" s="1" t="str">
        <f aca="false">IF(C2036="","",INDEX(Akaun!$D$5:$D$150,MATCH(C2036,Akaun!$A$5:$A$150,0)))</f>
        <v/>
      </c>
    </row>
    <row r="2037" customFormat="false" ht="15" hidden="false" customHeight="true" outlineLevel="0" collapsed="false">
      <c r="G2037" s="1" t="str">
        <f aca="false">IF(C2037="","",INDEX(Akaun!$F$5:$F$150,MATCH(C2037,Akaun!$A$5:$A$150,0)))</f>
        <v/>
      </c>
      <c r="H2037" s="1" t="str">
        <f aca="false">IF(C2037="","",INDEX(Akaun!$D$5:$D$150,MATCH(C2037,Akaun!$A$5:$A$150,0)))</f>
        <v/>
      </c>
    </row>
    <row r="2038" customFormat="false" ht="15" hidden="false" customHeight="true" outlineLevel="0" collapsed="false">
      <c r="G2038" s="1" t="str">
        <f aca="false">IF(C2038="","",INDEX(Akaun!$F$5:$F$150,MATCH(C2038,Akaun!$A$5:$A$150,0)))</f>
        <v/>
      </c>
      <c r="H2038" s="1" t="str">
        <f aca="false">IF(C2038="","",INDEX(Akaun!$D$5:$D$150,MATCH(C2038,Akaun!$A$5:$A$150,0)))</f>
        <v/>
      </c>
    </row>
    <row r="2039" customFormat="false" ht="15" hidden="false" customHeight="true" outlineLevel="0" collapsed="false">
      <c r="G2039" s="1" t="str">
        <f aca="false">IF(C2039="","",INDEX(Akaun!$F$5:$F$150,MATCH(C2039,Akaun!$A$5:$A$150,0)))</f>
        <v/>
      </c>
      <c r="H2039" s="1" t="str">
        <f aca="false">IF(C2039="","",INDEX(Akaun!$D$5:$D$150,MATCH(C2039,Akaun!$A$5:$A$150,0)))</f>
        <v/>
      </c>
    </row>
    <row r="2040" customFormat="false" ht="15" hidden="false" customHeight="true" outlineLevel="0" collapsed="false">
      <c r="G2040" s="1" t="str">
        <f aca="false">IF(C2040="","",INDEX(Akaun!$F$5:$F$150,MATCH(C2040,Akaun!$A$5:$A$150,0)))</f>
        <v/>
      </c>
      <c r="H2040" s="1" t="str">
        <f aca="false">IF(C2040="","",INDEX(Akaun!$D$5:$D$150,MATCH(C2040,Akaun!$A$5:$A$150,0)))</f>
        <v/>
      </c>
    </row>
    <row r="2041" customFormat="false" ht="15" hidden="false" customHeight="true" outlineLevel="0" collapsed="false">
      <c r="G2041" s="1" t="str">
        <f aca="false">IF(C2041="","",INDEX(Akaun!$F$5:$F$150,MATCH(C2041,Akaun!$A$5:$A$150,0)))</f>
        <v/>
      </c>
      <c r="H2041" s="1" t="str">
        <f aca="false">IF(C2041="","",INDEX(Akaun!$D$5:$D$150,MATCH(C2041,Akaun!$A$5:$A$150,0)))</f>
        <v/>
      </c>
    </row>
    <row r="2042" customFormat="false" ht="15" hidden="false" customHeight="true" outlineLevel="0" collapsed="false">
      <c r="G2042" s="1" t="str">
        <f aca="false">IF(C2042="","",INDEX(Akaun!$F$5:$F$150,MATCH(C2042,Akaun!$A$5:$A$150,0)))</f>
        <v/>
      </c>
      <c r="H2042" s="1" t="str">
        <f aca="false">IF(C2042="","",INDEX(Akaun!$D$5:$D$150,MATCH(C2042,Akaun!$A$5:$A$150,0)))</f>
        <v/>
      </c>
    </row>
    <row r="2043" customFormat="false" ht="15" hidden="false" customHeight="true" outlineLevel="0" collapsed="false">
      <c r="G2043" s="1" t="str">
        <f aca="false">IF(C2043="","",INDEX(Akaun!$F$5:$F$150,MATCH(C2043,Akaun!$A$5:$A$150,0)))</f>
        <v/>
      </c>
      <c r="H2043" s="1" t="str">
        <f aca="false">IF(C2043="","",INDEX(Akaun!$D$5:$D$150,MATCH(C2043,Akaun!$A$5:$A$150,0)))</f>
        <v/>
      </c>
    </row>
    <row r="2044" customFormat="false" ht="15" hidden="false" customHeight="true" outlineLevel="0" collapsed="false">
      <c r="G2044" s="1" t="str">
        <f aca="false">IF(C2044="","",INDEX(Akaun!$F$5:$F$150,MATCH(C2044,Akaun!$A$5:$A$150,0)))</f>
        <v/>
      </c>
      <c r="H2044" s="1" t="str">
        <f aca="false">IF(C2044="","",INDEX(Akaun!$D$5:$D$150,MATCH(C2044,Akaun!$A$5:$A$150,0)))</f>
        <v/>
      </c>
    </row>
    <row r="2045" customFormat="false" ht="15" hidden="false" customHeight="true" outlineLevel="0" collapsed="false">
      <c r="G2045" s="1" t="str">
        <f aca="false">IF(C2045="","",INDEX(Akaun!$F$5:$F$150,MATCH(C2045,Akaun!$A$5:$A$150,0)))</f>
        <v/>
      </c>
      <c r="H2045" s="1" t="str">
        <f aca="false">IF(C2045="","",INDEX(Akaun!$D$5:$D$150,MATCH(C2045,Akaun!$A$5:$A$150,0)))</f>
        <v/>
      </c>
    </row>
    <row r="2046" customFormat="false" ht="15" hidden="false" customHeight="true" outlineLevel="0" collapsed="false">
      <c r="G2046" s="1" t="str">
        <f aca="false">IF(C2046="","",INDEX(Akaun!$F$5:$F$150,MATCH(C2046,Akaun!$A$5:$A$150,0)))</f>
        <v/>
      </c>
      <c r="H2046" s="1" t="str">
        <f aca="false">IF(C2046="","",INDEX(Akaun!$D$5:$D$150,MATCH(C2046,Akaun!$A$5:$A$150,0)))</f>
        <v/>
      </c>
    </row>
    <row r="2047" customFormat="false" ht="15" hidden="false" customHeight="true" outlineLevel="0" collapsed="false">
      <c r="G2047" s="1" t="str">
        <f aca="false">IF(C2047="","",INDEX(Akaun!$F$5:$F$150,MATCH(C2047,Akaun!$A$5:$A$150,0)))</f>
        <v/>
      </c>
      <c r="H2047" s="1" t="str">
        <f aca="false">IF(C2047="","",INDEX(Akaun!$D$5:$D$150,MATCH(C2047,Akaun!$A$5:$A$150,0)))</f>
        <v/>
      </c>
    </row>
    <row r="2048" customFormat="false" ht="15" hidden="false" customHeight="true" outlineLevel="0" collapsed="false">
      <c r="G2048" s="1" t="str">
        <f aca="false">IF(C2048="","",INDEX(Akaun!$F$5:$F$150,MATCH(C2048,Akaun!$A$5:$A$150,0)))</f>
        <v/>
      </c>
      <c r="H2048" s="1" t="str">
        <f aca="false">IF(C2048="","",INDEX(Akaun!$D$5:$D$150,MATCH(C2048,Akaun!$A$5:$A$150,0)))</f>
        <v/>
      </c>
    </row>
    <row r="2049" customFormat="false" ht="15" hidden="false" customHeight="true" outlineLevel="0" collapsed="false">
      <c r="G2049" s="1" t="str">
        <f aca="false">IF(C2049="","",INDEX(Akaun!$F$5:$F$150,MATCH(C2049,Akaun!$A$5:$A$150,0)))</f>
        <v/>
      </c>
      <c r="H2049" s="1" t="str">
        <f aca="false">IF(C2049="","",INDEX(Akaun!$D$5:$D$150,MATCH(C2049,Akaun!$A$5:$A$150,0)))</f>
        <v/>
      </c>
    </row>
    <row r="2050" customFormat="false" ht="15" hidden="false" customHeight="true" outlineLevel="0" collapsed="false">
      <c r="G2050" s="1" t="str">
        <f aca="false">IF(C2050="","",INDEX(Akaun!$F$5:$F$150,MATCH(C2050,Akaun!$A$5:$A$150,0)))</f>
        <v/>
      </c>
      <c r="H2050" s="1" t="str">
        <f aca="false">IF(C2050="","",INDEX(Akaun!$D$5:$D$150,MATCH(C2050,Akaun!$A$5:$A$150,0)))</f>
        <v/>
      </c>
    </row>
    <row r="2051" customFormat="false" ht="15" hidden="false" customHeight="true" outlineLevel="0" collapsed="false">
      <c r="G2051" s="1" t="str">
        <f aca="false">IF(C2051="","",INDEX(Akaun!$F$5:$F$150,MATCH(C2051,Akaun!$A$5:$A$150,0)))</f>
        <v/>
      </c>
      <c r="H2051" s="1" t="str">
        <f aca="false">IF(C2051="","",INDEX(Akaun!$D$5:$D$150,MATCH(C2051,Akaun!$A$5:$A$150,0)))</f>
        <v/>
      </c>
    </row>
    <row r="2052" customFormat="false" ht="15" hidden="false" customHeight="true" outlineLevel="0" collapsed="false">
      <c r="G2052" s="1" t="str">
        <f aca="false">IF(C2052="","",INDEX(Akaun!$F$5:$F$150,MATCH(C2052,Akaun!$A$5:$A$150,0)))</f>
        <v/>
      </c>
      <c r="H2052" s="1" t="str">
        <f aca="false">IF(C2052="","",INDEX(Akaun!$D$5:$D$150,MATCH(C2052,Akaun!$A$5:$A$150,0)))</f>
        <v/>
      </c>
    </row>
    <row r="2053" customFormat="false" ht="15" hidden="false" customHeight="true" outlineLevel="0" collapsed="false">
      <c r="G2053" s="1" t="str">
        <f aca="false">IF(C2053="","",INDEX(Akaun!$F$5:$F$150,MATCH(C2053,Akaun!$A$5:$A$150,0)))</f>
        <v/>
      </c>
      <c r="H2053" s="1" t="str">
        <f aca="false">IF(C2053="","",INDEX(Akaun!$D$5:$D$150,MATCH(C2053,Akaun!$A$5:$A$150,0)))</f>
        <v/>
      </c>
    </row>
    <row r="2054" customFormat="false" ht="15" hidden="false" customHeight="true" outlineLevel="0" collapsed="false">
      <c r="G2054" s="1" t="str">
        <f aca="false">IF(C2054="","",INDEX(Akaun!$F$5:$F$150,MATCH(C2054,Akaun!$A$5:$A$150,0)))</f>
        <v/>
      </c>
      <c r="H2054" s="1" t="str">
        <f aca="false">IF(C2054="","",INDEX(Akaun!$D$5:$D$150,MATCH(C2054,Akaun!$A$5:$A$150,0)))</f>
        <v/>
      </c>
    </row>
    <row r="2055" customFormat="false" ht="15" hidden="false" customHeight="true" outlineLevel="0" collapsed="false">
      <c r="G2055" s="1" t="str">
        <f aca="false">IF(C2055="","",INDEX(Akaun!$F$5:$F$150,MATCH(C2055,Akaun!$A$5:$A$150,0)))</f>
        <v/>
      </c>
      <c r="H2055" s="1" t="str">
        <f aca="false">IF(C2055="","",INDEX(Akaun!$D$5:$D$150,MATCH(C2055,Akaun!$A$5:$A$150,0)))</f>
        <v/>
      </c>
    </row>
    <row r="2056" customFormat="false" ht="15" hidden="false" customHeight="true" outlineLevel="0" collapsed="false">
      <c r="G2056" s="1" t="str">
        <f aca="false">IF(C2056="","",INDEX(Akaun!$F$5:$F$150,MATCH(C2056,Akaun!$A$5:$A$150,0)))</f>
        <v/>
      </c>
      <c r="H2056" s="1" t="str">
        <f aca="false">IF(C2056="","",INDEX(Akaun!$D$5:$D$150,MATCH(C2056,Akaun!$A$5:$A$150,0)))</f>
        <v/>
      </c>
    </row>
    <row r="2057" customFormat="false" ht="15" hidden="false" customHeight="true" outlineLevel="0" collapsed="false">
      <c r="G2057" s="1" t="str">
        <f aca="false">IF(C2057="","",INDEX(Akaun!$F$5:$F$150,MATCH(C2057,Akaun!$A$5:$A$150,0)))</f>
        <v/>
      </c>
      <c r="H2057" s="1" t="str">
        <f aca="false">IF(C2057="","",INDEX(Akaun!$D$5:$D$150,MATCH(C2057,Akaun!$A$5:$A$150,0)))</f>
        <v/>
      </c>
    </row>
    <row r="2058" customFormat="false" ht="15" hidden="false" customHeight="true" outlineLevel="0" collapsed="false">
      <c r="G2058" s="1" t="str">
        <f aca="false">IF(C2058="","",INDEX(Akaun!$F$5:$F$150,MATCH(C2058,Akaun!$A$5:$A$150,0)))</f>
        <v/>
      </c>
      <c r="H2058" s="1" t="str">
        <f aca="false">IF(C2058="","",INDEX(Akaun!$D$5:$D$150,MATCH(C2058,Akaun!$A$5:$A$150,0)))</f>
        <v/>
      </c>
    </row>
    <row r="2059" customFormat="false" ht="15" hidden="false" customHeight="true" outlineLevel="0" collapsed="false">
      <c r="G2059" s="1" t="str">
        <f aca="false">IF(C2059="","",INDEX(Akaun!$F$5:$F$150,MATCH(C2059,Akaun!$A$5:$A$150,0)))</f>
        <v/>
      </c>
      <c r="H2059" s="1" t="str">
        <f aca="false">IF(C2059="","",INDEX(Akaun!$D$5:$D$150,MATCH(C2059,Akaun!$A$5:$A$150,0)))</f>
        <v/>
      </c>
    </row>
    <row r="2060" customFormat="false" ht="15" hidden="false" customHeight="true" outlineLevel="0" collapsed="false">
      <c r="G2060" s="1" t="str">
        <f aca="false">IF(C2060="","",INDEX(Akaun!$F$5:$F$150,MATCH(C2060,Akaun!$A$5:$A$150,0)))</f>
        <v/>
      </c>
      <c r="H2060" s="1" t="str">
        <f aca="false">IF(C2060="","",INDEX(Akaun!$D$5:$D$150,MATCH(C2060,Akaun!$A$5:$A$150,0)))</f>
        <v/>
      </c>
    </row>
    <row r="2061" customFormat="false" ht="15" hidden="false" customHeight="true" outlineLevel="0" collapsed="false">
      <c r="G2061" s="1" t="str">
        <f aca="false">IF(C2061="","",INDEX(Akaun!$F$5:$F$150,MATCH(C2061,Akaun!$A$5:$A$150,0)))</f>
        <v/>
      </c>
      <c r="H2061" s="1" t="str">
        <f aca="false">IF(C2061="","",INDEX(Akaun!$D$5:$D$150,MATCH(C2061,Akaun!$A$5:$A$150,0)))</f>
        <v/>
      </c>
    </row>
    <row r="2062" customFormat="false" ht="15" hidden="false" customHeight="true" outlineLevel="0" collapsed="false">
      <c r="G2062" s="1" t="str">
        <f aca="false">IF(C2062="","",INDEX(Akaun!$F$5:$F$150,MATCH(C2062,Akaun!$A$5:$A$150,0)))</f>
        <v/>
      </c>
      <c r="H2062" s="1" t="str">
        <f aca="false">IF(C2062="","",INDEX(Akaun!$D$5:$D$150,MATCH(C2062,Akaun!$A$5:$A$150,0)))</f>
        <v/>
      </c>
    </row>
    <row r="2063" customFormat="false" ht="15" hidden="false" customHeight="true" outlineLevel="0" collapsed="false">
      <c r="G2063" s="1" t="str">
        <f aca="false">IF(C2063="","",INDEX(Akaun!$F$5:$F$150,MATCH(C2063,Akaun!$A$5:$A$150,0)))</f>
        <v/>
      </c>
      <c r="H2063" s="1" t="str">
        <f aca="false">IF(C2063="","",INDEX(Akaun!$D$5:$D$150,MATCH(C2063,Akaun!$A$5:$A$150,0)))</f>
        <v/>
      </c>
    </row>
    <row r="2064" customFormat="false" ht="15" hidden="false" customHeight="true" outlineLevel="0" collapsed="false">
      <c r="G2064" s="1" t="str">
        <f aca="false">IF(C2064="","",INDEX(Akaun!$F$5:$F$150,MATCH(C2064,Akaun!$A$5:$A$150,0)))</f>
        <v/>
      </c>
      <c r="H2064" s="1" t="str">
        <f aca="false">IF(C2064="","",INDEX(Akaun!$D$5:$D$150,MATCH(C2064,Akaun!$A$5:$A$150,0)))</f>
        <v/>
      </c>
    </row>
    <row r="2065" customFormat="false" ht="15" hidden="false" customHeight="true" outlineLevel="0" collapsed="false">
      <c r="G2065" s="1" t="str">
        <f aca="false">IF(C2065="","",INDEX(Akaun!$F$5:$F$150,MATCH(C2065,Akaun!$A$5:$A$150,0)))</f>
        <v/>
      </c>
      <c r="H2065" s="1" t="str">
        <f aca="false">IF(C2065="","",INDEX(Akaun!$D$5:$D$150,MATCH(C2065,Akaun!$A$5:$A$150,0)))</f>
        <v/>
      </c>
    </row>
    <row r="2066" customFormat="false" ht="15" hidden="false" customHeight="true" outlineLevel="0" collapsed="false">
      <c r="G2066" s="1" t="str">
        <f aca="false">IF(C2066="","",INDEX(Akaun!$F$5:$F$150,MATCH(C2066,Akaun!$A$5:$A$150,0)))</f>
        <v/>
      </c>
      <c r="H2066" s="1" t="str">
        <f aca="false">IF(C2066="","",INDEX(Akaun!$D$5:$D$150,MATCH(C2066,Akaun!$A$5:$A$150,0)))</f>
        <v/>
      </c>
    </row>
    <row r="2067" customFormat="false" ht="15" hidden="false" customHeight="true" outlineLevel="0" collapsed="false">
      <c r="G2067" s="1" t="str">
        <f aca="false">IF(C2067="","",INDEX(Akaun!$F$5:$F$150,MATCH(C2067,Akaun!$A$5:$A$150,0)))</f>
        <v/>
      </c>
      <c r="H2067" s="1" t="str">
        <f aca="false">IF(C2067="","",INDEX(Akaun!$D$5:$D$150,MATCH(C2067,Akaun!$A$5:$A$150,0)))</f>
        <v/>
      </c>
    </row>
    <row r="2068" customFormat="false" ht="15" hidden="false" customHeight="true" outlineLevel="0" collapsed="false">
      <c r="G2068" s="1" t="str">
        <f aca="false">IF(C2068="","",INDEX(Akaun!$F$5:$F$150,MATCH(C2068,Akaun!$A$5:$A$150,0)))</f>
        <v/>
      </c>
      <c r="H2068" s="1" t="str">
        <f aca="false">IF(C2068="","",INDEX(Akaun!$D$5:$D$150,MATCH(C2068,Akaun!$A$5:$A$150,0)))</f>
        <v/>
      </c>
    </row>
    <row r="2069" customFormat="false" ht="15" hidden="false" customHeight="true" outlineLevel="0" collapsed="false">
      <c r="G2069" s="1" t="str">
        <f aca="false">IF(C2069="","",INDEX(Akaun!$F$5:$F$150,MATCH(C2069,Akaun!$A$5:$A$150,0)))</f>
        <v/>
      </c>
      <c r="H2069" s="1" t="str">
        <f aca="false">IF(C2069="","",INDEX(Akaun!$D$5:$D$150,MATCH(C2069,Akaun!$A$5:$A$150,0)))</f>
        <v/>
      </c>
    </row>
    <row r="2070" customFormat="false" ht="15" hidden="false" customHeight="true" outlineLevel="0" collapsed="false">
      <c r="G2070" s="1" t="str">
        <f aca="false">IF(C2070="","",INDEX(Akaun!$F$5:$F$150,MATCH(C2070,Akaun!$A$5:$A$150,0)))</f>
        <v/>
      </c>
      <c r="H2070" s="1" t="str">
        <f aca="false">IF(C2070="","",INDEX(Akaun!$D$5:$D$150,MATCH(C2070,Akaun!$A$5:$A$150,0)))</f>
        <v/>
      </c>
    </row>
    <row r="2071" customFormat="false" ht="15" hidden="false" customHeight="true" outlineLevel="0" collapsed="false">
      <c r="G2071" s="1" t="str">
        <f aca="false">IF(C2071="","",INDEX(Akaun!$F$5:$F$150,MATCH(C2071,Akaun!$A$5:$A$150,0)))</f>
        <v/>
      </c>
      <c r="H2071" s="1" t="str">
        <f aca="false">IF(C2071="","",INDEX(Akaun!$D$5:$D$150,MATCH(C2071,Akaun!$A$5:$A$150,0)))</f>
        <v/>
      </c>
    </row>
    <row r="2072" customFormat="false" ht="15" hidden="false" customHeight="true" outlineLevel="0" collapsed="false">
      <c r="G2072" s="1" t="str">
        <f aca="false">IF(C2072="","",INDEX(Akaun!$F$5:$F$150,MATCH(C2072,Akaun!$A$5:$A$150,0)))</f>
        <v/>
      </c>
      <c r="H2072" s="1" t="str">
        <f aca="false">IF(C2072="","",INDEX(Akaun!$D$5:$D$150,MATCH(C2072,Akaun!$A$5:$A$150,0)))</f>
        <v/>
      </c>
    </row>
    <row r="2073" customFormat="false" ht="15" hidden="false" customHeight="true" outlineLevel="0" collapsed="false">
      <c r="G2073" s="1" t="str">
        <f aca="false">IF(C2073="","",INDEX(Akaun!$F$5:$F$150,MATCH(C2073,Akaun!$A$5:$A$150,0)))</f>
        <v/>
      </c>
      <c r="H2073" s="1" t="str">
        <f aca="false">IF(C2073="","",INDEX(Akaun!$D$5:$D$150,MATCH(C2073,Akaun!$A$5:$A$150,0)))</f>
        <v/>
      </c>
    </row>
    <row r="2074" customFormat="false" ht="15" hidden="false" customHeight="true" outlineLevel="0" collapsed="false">
      <c r="G2074" s="1" t="str">
        <f aca="false">IF(C2074="","",INDEX(Akaun!$F$5:$F$150,MATCH(C2074,Akaun!$A$5:$A$150,0)))</f>
        <v/>
      </c>
      <c r="H2074" s="1" t="str">
        <f aca="false">IF(C2074="","",INDEX(Akaun!$D$5:$D$150,MATCH(C2074,Akaun!$A$5:$A$150,0)))</f>
        <v/>
      </c>
    </row>
    <row r="2075" customFormat="false" ht="15" hidden="false" customHeight="true" outlineLevel="0" collapsed="false">
      <c r="G2075" s="1" t="str">
        <f aca="false">IF(C2075="","",INDEX(Akaun!$F$5:$F$150,MATCH(C2075,Akaun!$A$5:$A$150,0)))</f>
        <v/>
      </c>
      <c r="H2075" s="1" t="str">
        <f aca="false">IF(C2075="","",INDEX(Akaun!$D$5:$D$150,MATCH(C2075,Akaun!$A$5:$A$150,0)))</f>
        <v/>
      </c>
    </row>
    <row r="2076" customFormat="false" ht="15" hidden="false" customHeight="true" outlineLevel="0" collapsed="false">
      <c r="G2076" s="1" t="str">
        <f aca="false">IF(C2076="","",INDEX(Akaun!$F$5:$F$150,MATCH(C2076,Akaun!$A$5:$A$150,0)))</f>
        <v/>
      </c>
      <c r="H2076" s="1" t="str">
        <f aca="false">IF(C2076="","",INDEX(Akaun!$D$5:$D$150,MATCH(C2076,Akaun!$A$5:$A$150,0)))</f>
        <v/>
      </c>
    </row>
    <row r="2077" customFormat="false" ht="15" hidden="false" customHeight="true" outlineLevel="0" collapsed="false">
      <c r="G2077" s="1" t="str">
        <f aca="false">IF(C2077="","",INDEX(Akaun!$F$5:$F$150,MATCH(C2077,Akaun!$A$5:$A$150,0)))</f>
        <v/>
      </c>
      <c r="H2077" s="1" t="str">
        <f aca="false">IF(C2077="","",INDEX(Akaun!$D$5:$D$150,MATCH(C2077,Akaun!$A$5:$A$150,0)))</f>
        <v/>
      </c>
    </row>
    <row r="2078" customFormat="false" ht="15" hidden="false" customHeight="true" outlineLevel="0" collapsed="false">
      <c r="G2078" s="1" t="str">
        <f aca="false">IF(C2078="","",INDEX(Akaun!$F$5:$F$150,MATCH(C2078,Akaun!$A$5:$A$150,0)))</f>
        <v/>
      </c>
      <c r="H2078" s="1" t="str">
        <f aca="false">IF(C2078="","",INDEX(Akaun!$D$5:$D$150,MATCH(C2078,Akaun!$A$5:$A$150,0)))</f>
        <v/>
      </c>
    </row>
    <row r="2079" customFormat="false" ht="15" hidden="false" customHeight="true" outlineLevel="0" collapsed="false">
      <c r="G2079" s="1" t="str">
        <f aca="false">IF(C2079="","",INDEX(Akaun!$F$5:$F$150,MATCH(C2079,Akaun!$A$5:$A$150,0)))</f>
        <v/>
      </c>
      <c r="H2079" s="1" t="str">
        <f aca="false">IF(C2079="","",INDEX(Akaun!$D$5:$D$150,MATCH(C2079,Akaun!$A$5:$A$150,0)))</f>
        <v/>
      </c>
    </row>
    <row r="2080" customFormat="false" ht="15" hidden="false" customHeight="true" outlineLevel="0" collapsed="false">
      <c r="G2080" s="1" t="str">
        <f aca="false">IF(C2080="","",INDEX(Akaun!$F$5:$F$150,MATCH(C2080,Akaun!$A$5:$A$150,0)))</f>
        <v/>
      </c>
      <c r="H2080" s="1" t="str">
        <f aca="false">IF(C2080="","",INDEX(Akaun!$D$5:$D$150,MATCH(C2080,Akaun!$A$5:$A$150,0)))</f>
        <v/>
      </c>
    </row>
    <row r="2081" customFormat="false" ht="15" hidden="false" customHeight="true" outlineLevel="0" collapsed="false">
      <c r="G2081" s="1" t="str">
        <f aca="false">IF(C2081="","",INDEX(Akaun!$F$5:$F$150,MATCH(C2081,Akaun!$A$5:$A$150,0)))</f>
        <v/>
      </c>
      <c r="H2081" s="1" t="str">
        <f aca="false">IF(C2081="","",INDEX(Akaun!$D$5:$D$150,MATCH(C2081,Akaun!$A$5:$A$150,0)))</f>
        <v/>
      </c>
    </row>
    <row r="2082" customFormat="false" ht="15" hidden="false" customHeight="true" outlineLevel="0" collapsed="false">
      <c r="G2082" s="1" t="str">
        <f aca="false">IF(C2082="","",INDEX(Akaun!$F$5:$F$150,MATCH(C2082,Akaun!$A$5:$A$150,0)))</f>
        <v/>
      </c>
      <c r="H2082" s="1" t="str">
        <f aca="false">IF(C2082="","",INDEX(Akaun!$D$5:$D$150,MATCH(C2082,Akaun!$A$5:$A$150,0)))</f>
        <v/>
      </c>
    </row>
    <row r="2083" customFormat="false" ht="15" hidden="false" customHeight="true" outlineLevel="0" collapsed="false">
      <c r="G2083" s="1" t="str">
        <f aca="false">IF(C2083="","",INDEX(Akaun!$F$5:$F$150,MATCH(C2083,Akaun!$A$5:$A$150,0)))</f>
        <v/>
      </c>
      <c r="H2083" s="1" t="str">
        <f aca="false">IF(C2083="","",INDEX(Akaun!$D$5:$D$150,MATCH(C2083,Akaun!$A$5:$A$150,0)))</f>
        <v/>
      </c>
    </row>
    <row r="2084" customFormat="false" ht="15" hidden="false" customHeight="true" outlineLevel="0" collapsed="false">
      <c r="G2084" s="1" t="str">
        <f aca="false">IF(C2084="","",INDEX(Akaun!$F$5:$F$150,MATCH(C2084,Akaun!$A$5:$A$150,0)))</f>
        <v/>
      </c>
      <c r="H2084" s="1" t="str">
        <f aca="false">IF(C2084="","",INDEX(Akaun!$D$5:$D$150,MATCH(C2084,Akaun!$A$5:$A$150,0)))</f>
        <v/>
      </c>
    </row>
    <row r="2085" customFormat="false" ht="15" hidden="false" customHeight="true" outlineLevel="0" collapsed="false">
      <c r="G2085" s="1" t="str">
        <f aca="false">IF(C2085="","",INDEX(Akaun!$F$5:$F$150,MATCH(C2085,Akaun!$A$5:$A$150,0)))</f>
        <v/>
      </c>
      <c r="H2085" s="1" t="str">
        <f aca="false">IF(C2085="","",INDEX(Akaun!$D$5:$D$150,MATCH(C2085,Akaun!$A$5:$A$150,0)))</f>
        <v/>
      </c>
    </row>
    <row r="2086" customFormat="false" ht="15" hidden="false" customHeight="true" outlineLevel="0" collapsed="false">
      <c r="G2086" s="1" t="str">
        <f aca="false">IF(C2086="","",INDEX(Akaun!$F$5:$F$150,MATCH(C2086,Akaun!$A$5:$A$150,0)))</f>
        <v/>
      </c>
      <c r="H2086" s="1" t="str">
        <f aca="false">IF(C2086="","",INDEX(Akaun!$D$5:$D$150,MATCH(C2086,Akaun!$A$5:$A$150,0)))</f>
        <v/>
      </c>
    </row>
    <row r="2087" customFormat="false" ht="15" hidden="false" customHeight="true" outlineLevel="0" collapsed="false">
      <c r="G2087" s="1" t="str">
        <f aca="false">IF(C2087="","",INDEX(Akaun!$F$5:$F$150,MATCH(C2087,Akaun!$A$5:$A$150,0)))</f>
        <v/>
      </c>
      <c r="H2087" s="1" t="str">
        <f aca="false">IF(C2087="","",INDEX(Akaun!$D$5:$D$150,MATCH(C2087,Akaun!$A$5:$A$150,0)))</f>
        <v/>
      </c>
    </row>
    <row r="2088" customFormat="false" ht="15" hidden="false" customHeight="true" outlineLevel="0" collapsed="false">
      <c r="G2088" s="1" t="str">
        <f aca="false">IF(C2088="","",INDEX(Akaun!$F$5:$F$150,MATCH(C2088,Akaun!$A$5:$A$150,0)))</f>
        <v/>
      </c>
      <c r="H2088" s="1" t="str">
        <f aca="false">IF(C2088="","",INDEX(Akaun!$D$5:$D$150,MATCH(C2088,Akaun!$A$5:$A$150,0)))</f>
        <v/>
      </c>
    </row>
    <row r="2089" customFormat="false" ht="15" hidden="false" customHeight="true" outlineLevel="0" collapsed="false">
      <c r="G2089" s="1" t="str">
        <f aca="false">IF(C2089="","",INDEX(Akaun!$F$5:$F$150,MATCH(C2089,Akaun!$A$5:$A$150,0)))</f>
        <v/>
      </c>
      <c r="H2089" s="1" t="str">
        <f aca="false">IF(C2089="","",INDEX(Akaun!$D$5:$D$150,MATCH(C2089,Akaun!$A$5:$A$150,0)))</f>
        <v/>
      </c>
    </row>
    <row r="2090" customFormat="false" ht="15" hidden="false" customHeight="true" outlineLevel="0" collapsed="false">
      <c r="G2090" s="1" t="str">
        <f aca="false">IF(C2090="","",INDEX(Akaun!$F$5:$F$150,MATCH(C2090,Akaun!$A$5:$A$150,0)))</f>
        <v/>
      </c>
      <c r="H2090" s="1" t="str">
        <f aca="false">IF(C2090="","",INDEX(Akaun!$D$5:$D$150,MATCH(C2090,Akaun!$A$5:$A$150,0)))</f>
        <v/>
      </c>
    </row>
    <row r="2091" customFormat="false" ht="15" hidden="false" customHeight="true" outlineLevel="0" collapsed="false">
      <c r="G2091" s="1" t="str">
        <f aca="false">IF(C2091="","",INDEX(Akaun!$F$5:$F$150,MATCH(C2091,Akaun!$A$5:$A$150,0)))</f>
        <v/>
      </c>
      <c r="H2091" s="1" t="str">
        <f aca="false">IF(C2091="","",INDEX(Akaun!$D$5:$D$150,MATCH(C2091,Akaun!$A$5:$A$150,0)))</f>
        <v/>
      </c>
    </row>
    <row r="2092" customFormat="false" ht="15" hidden="false" customHeight="true" outlineLevel="0" collapsed="false">
      <c r="G2092" s="1" t="str">
        <f aca="false">IF(C2092="","",INDEX(Akaun!$F$5:$F$150,MATCH(C2092,Akaun!$A$5:$A$150,0)))</f>
        <v/>
      </c>
      <c r="H2092" s="1" t="str">
        <f aca="false">IF(C2092="","",INDEX(Akaun!$D$5:$D$150,MATCH(C2092,Akaun!$A$5:$A$150,0)))</f>
        <v/>
      </c>
    </row>
    <row r="2093" customFormat="false" ht="15" hidden="false" customHeight="true" outlineLevel="0" collapsed="false">
      <c r="G2093" s="1" t="str">
        <f aca="false">IF(C2093="","",INDEX(Akaun!$F$5:$F$150,MATCH(C2093,Akaun!$A$5:$A$150,0)))</f>
        <v/>
      </c>
      <c r="H2093" s="1" t="str">
        <f aca="false">IF(C2093="","",INDEX(Akaun!$D$5:$D$150,MATCH(C2093,Akaun!$A$5:$A$150,0)))</f>
        <v/>
      </c>
    </row>
    <row r="2094" customFormat="false" ht="15" hidden="false" customHeight="true" outlineLevel="0" collapsed="false">
      <c r="G2094" s="1" t="str">
        <f aca="false">IF(C2094="","",INDEX(Akaun!$F$5:$F$150,MATCH(C2094,Akaun!$A$5:$A$150,0)))</f>
        <v/>
      </c>
      <c r="H2094" s="1" t="str">
        <f aca="false">IF(C2094="","",INDEX(Akaun!$D$5:$D$150,MATCH(C2094,Akaun!$A$5:$A$150,0)))</f>
        <v/>
      </c>
    </row>
    <row r="2095" customFormat="false" ht="15" hidden="false" customHeight="true" outlineLevel="0" collapsed="false">
      <c r="G2095" s="1" t="str">
        <f aca="false">IF(C2095="","",INDEX(Akaun!$F$5:$F$150,MATCH(C2095,Akaun!$A$5:$A$150,0)))</f>
        <v/>
      </c>
      <c r="H2095" s="1" t="str">
        <f aca="false">IF(C2095="","",INDEX(Akaun!$D$5:$D$150,MATCH(C2095,Akaun!$A$5:$A$150,0)))</f>
        <v/>
      </c>
    </row>
    <row r="2096" customFormat="false" ht="15" hidden="false" customHeight="true" outlineLevel="0" collapsed="false">
      <c r="G2096" s="1" t="str">
        <f aca="false">IF(C2096="","",INDEX(Akaun!$F$5:$F$150,MATCH(C2096,Akaun!$A$5:$A$150,0)))</f>
        <v/>
      </c>
      <c r="H2096" s="1" t="str">
        <f aca="false">IF(C2096="","",INDEX(Akaun!$D$5:$D$150,MATCH(C2096,Akaun!$A$5:$A$150,0)))</f>
        <v/>
      </c>
    </row>
    <row r="2097" customFormat="false" ht="15" hidden="false" customHeight="true" outlineLevel="0" collapsed="false">
      <c r="G2097" s="1" t="str">
        <f aca="false">IF(C2097="","",INDEX(Akaun!$F$5:$F$150,MATCH(C2097,Akaun!$A$5:$A$150,0)))</f>
        <v/>
      </c>
      <c r="H2097" s="1" t="str">
        <f aca="false">IF(C2097="","",INDEX(Akaun!$D$5:$D$150,MATCH(C2097,Akaun!$A$5:$A$150,0)))</f>
        <v/>
      </c>
    </row>
    <row r="2098" customFormat="false" ht="15" hidden="false" customHeight="true" outlineLevel="0" collapsed="false">
      <c r="G2098" s="1" t="str">
        <f aca="false">IF(C2098="","",INDEX(Akaun!$F$5:$F$150,MATCH(C2098,Akaun!$A$5:$A$150,0)))</f>
        <v/>
      </c>
      <c r="H2098" s="1" t="str">
        <f aca="false">IF(C2098="","",INDEX(Akaun!$D$5:$D$150,MATCH(C2098,Akaun!$A$5:$A$150,0)))</f>
        <v/>
      </c>
    </row>
    <row r="2099" customFormat="false" ht="15" hidden="false" customHeight="true" outlineLevel="0" collapsed="false">
      <c r="G2099" s="1" t="str">
        <f aca="false">IF(C2099="","",INDEX(Akaun!$F$5:$F$150,MATCH(C2099,Akaun!$A$5:$A$150,0)))</f>
        <v/>
      </c>
      <c r="H2099" s="1" t="str">
        <f aca="false">IF(C2099="","",INDEX(Akaun!$D$5:$D$150,MATCH(C2099,Akaun!$A$5:$A$150,0)))</f>
        <v/>
      </c>
    </row>
    <row r="2100" customFormat="false" ht="15" hidden="false" customHeight="true" outlineLevel="0" collapsed="false">
      <c r="G2100" s="1" t="str">
        <f aca="false">IF(C2100="","",INDEX(Akaun!$F$5:$F$150,MATCH(C2100,Akaun!$A$5:$A$150,0)))</f>
        <v/>
      </c>
      <c r="H2100" s="1" t="str">
        <f aca="false">IF(C2100="","",INDEX(Akaun!$D$5:$D$150,MATCH(C2100,Akaun!$A$5:$A$150,0)))</f>
        <v/>
      </c>
    </row>
    <row r="2101" customFormat="false" ht="15" hidden="false" customHeight="true" outlineLevel="0" collapsed="false">
      <c r="G2101" s="1" t="str">
        <f aca="false">IF(C2101="","",INDEX(Akaun!$F$5:$F$150,MATCH(C2101,Akaun!$A$5:$A$150,0)))</f>
        <v/>
      </c>
      <c r="H2101" s="1" t="str">
        <f aca="false">IF(C2101="","",INDEX(Akaun!$D$5:$D$150,MATCH(C2101,Akaun!$A$5:$A$150,0)))</f>
        <v/>
      </c>
    </row>
    <row r="2102" customFormat="false" ht="15" hidden="false" customHeight="true" outlineLevel="0" collapsed="false">
      <c r="G2102" s="1" t="str">
        <f aca="false">IF(C2102="","",INDEX(Akaun!$F$5:$F$150,MATCH(C2102,Akaun!$A$5:$A$150,0)))</f>
        <v/>
      </c>
      <c r="H2102" s="1" t="str">
        <f aca="false">IF(C2102="","",INDEX(Akaun!$D$5:$D$150,MATCH(C2102,Akaun!$A$5:$A$150,0)))</f>
        <v/>
      </c>
    </row>
    <row r="2103" customFormat="false" ht="15" hidden="false" customHeight="true" outlineLevel="0" collapsed="false">
      <c r="G2103" s="1" t="str">
        <f aca="false">IF(C2103="","",INDEX(Akaun!$F$5:$F$150,MATCH(C2103,Akaun!$A$5:$A$150,0)))</f>
        <v/>
      </c>
      <c r="H2103" s="1" t="str">
        <f aca="false">IF(C2103="","",INDEX(Akaun!$D$5:$D$150,MATCH(C2103,Akaun!$A$5:$A$150,0)))</f>
        <v/>
      </c>
    </row>
    <row r="2104" customFormat="false" ht="15" hidden="false" customHeight="true" outlineLevel="0" collapsed="false">
      <c r="G2104" s="1" t="str">
        <f aca="false">IF(C2104="","",INDEX(Akaun!$F$5:$F$150,MATCH(C2104,Akaun!$A$5:$A$150,0)))</f>
        <v/>
      </c>
      <c r="H2104" s="1" t="str">
        <f aca="false">IF(C2104="","",INDEX(Akaun!$D$5:$D$150,MATCH(C2104,Akaun!$A$5:$A$150,0)))</f>
        <v/>
      </c>
    </row>
    <row r="2105" customFormat="false" ht="15" hidden="false" customHeight="true" outlineLevel="0" collapsed="false">
      <c r="G2105" s="1" t="str">
        <f aca="false">IF(C2105="","",INDEX(Akaun!$F$5:$F$150,MATCH(C2105,Akaun!$A$5:$A$150,0)))</f>
        <v/>
      </c>
      <c r="H2105" s="1" t="str">
        <f aca="false">IF(C2105="","",INDEX(Akaun!$D$5:$D$150,MATCH(C2105,Akaun!$A$5:$A$150,0)))</f>
        <v/>
      </c>
    </row>
    <row r="2106" customFormat="false" ht="15" hidden="false" customHeight="true" outlineLevel="0" collapsed="false">
      <c r="G2106" s="1" t="str">
        <f aca="false">IF(C2106="","",INDEX(Akaun!$F$5:$F$150,MATCH(C2106,Akaun!$A$5:$A$150,0)))</f>
        <v/>
      </c>
      <c r="H2106" s="1" t="str">
        <f aca="false">IF(C2106="","",INDEX(Akaun!$D$5:$D$150,MATCH(C2106,Akaun!$A$5:$A$150,0)))</f>
        <v/>
      </c>
    </row>
    <row r="2107" customFormat="false" ht="15" hidden="false" customHeight="true" outlineLevel="0" collapsed="false">
      <c r="G2107" s="1" t="str">
        <f aca="false">IF(C2107="","",INDEX(Akaun!$F$5:$F$150,MATCH(C2107,Akaun!$A$5:$A$150,0)))</f>
        <v/>
      </c>
      <c r="H2107" s="1" t="str">
        <f aca="false">IF(C2107="","",INDEX(Akaun!$D$5:$D$150,MATCH(C2107,Akaun!$A$5:$A$150,0)))</f>
        <v/>
      </c>
    </row>
    <row r="2108" customFormat="false" ht="15" hidden="false" customHeight="true" outlineLevel="0" collapsed="false">
      <c r="G2108" s="1" t="str">
        <f aca="false">IF(C2108="","",INDEX(Akaun!$F$5:$F$150,MATCH(C2108,Akaun!$A$5:$A$150,0)))</f>
        <v/>
      </c>
      <c r="H2108" s="1" t="str">
        <f aca="false">IF(C2108="","",INDEX(Akaun!$D$5:$D$150,MATCH(C2108,Akaun!$A$5:$A$150,0)))</f>
        <v/>
      </c>
    </row>
    <row r="2109" customFormat="false" ht="15" hidden="false" customHeight="true" outlineLevel="0" collapsed="false">
      <c r="G2109" s="1" t="str">
        <f aca="false">IF(C2109="","",INDEX(Akaun!$F$5:$F$150,MATCH(C2109,Akaun!$A$5:$A$150,0)))</f>
        <v/>
      </c>
      <c r="H2109" s="1" t="str">
        <f aca="false">IF(C2109="","",INDEX(Akaun!$D$5:$D$150,MATCH(C2109,Akaun!$A$5:$A$150,0)))</f>
        <v/>
      </c>
    </row>
    <row r="2110" customFormat="false" ht="15" hidden="false" customHeight="true" outlineLevel="0" collapsed="false">
      <c r="G2110" s="1" t="str">
        <f aca="false">IF(C2110="","",INDEX(Akaun!$F$5:$F$150,MATCH(C2110,Akaun!$A$5:$A$150,0)))</f>
        <v/>
      </c>
      <c r="H2110" s="1" t="str">
        <f aca="false">IF(C2110="","",INDEX(Akaun!$D$5:$D$150,MATCH(C2110,Akaun!$A$5:$A$150,0)))</f>
        <v/>
      </c>
    </row>
    <row r="2111" customFormat="false" ht="15" hidden="false" customHeight="true" outlineLevel="0" collapsed="false">
      <c r="G2111" s="1" t="str">
        <f aca="false">IF(C2111="","",INDEX(Akaun!$F$5:$F$150,MATCH(C2111,Akaun!$A$5:$A$150,0)))</f>
        <v/>
      </c>
      <c r="H2111" s="1" t="str">
        <f aca="false">IF(C2111="","",INDEX(Akaun!$D$5:$D$150,MATCH(C2111,Akaun!$A$5:$A$150,0)))</f>
        <v/>
      </c>
    </row>
    <row r="2112" customFormat="false" ht="15" hidden="false" customHeight="true" outlineLevel="0" collapsed="false">
      <c r="G2112" s="1" t="str">
        <f aca="false">IF(C2112="","",INDEX(Akaun!$F$5:$F$150,MATCH(C2112,Akaun!$A$5:$A$150,0)))</f>
        <v/>
      </c>
      <c r="H2112" s="1" t="str">
        <f aca="false">IF(C2112="","",INDEX(Akaun!$D$5:$D$150,MATCH(C2112,Akaun!$A$5:$A$150,0)))</f>
        <v/>
      </c>
    </row>
    <row r="2113" customFormat="false" ht="15" hidden="false" customHeight="true" outlineLevel="0" collapsed="false">
      <c r="G2113" s="1" t="str">
        <f aca="false">IF(C2113="","",INDEX(Akaun!$F$5:$F$150,MATCH(C2113,Akaun!$A$5:$A$150,0)))</f>
        <v/>
      </c>
      <c r="H2113" s="1" t="str">
        <f aca="false">IF(C2113="","",INDEX(Akaun!$D$5:$D$150,MATCH(C2113,Akaun!$A$5:$A$150,0)))</f>
        <v/>
      </c>
    </row>
    <row r="2114" customFormat="false" ht="15" hidden="false" customHeight="true" outlineLevel="0" collapsed="false">
      <c r="G2114" s="1" t="str">
        <f aca="false">IF(C2114="","",INDEX(Akaun!$F$5:$F$150,MATCH(C2114,Akaun!$A$5:$A$150,0)))</f>
        <v/>
      </c>
      <c r="H2114" s="1" t="str">
        <f aca="false">IF(C2114="","",INDEX(Akaun!$D$5:$D$150,MATCH(C2114,Akaun!$A$5:$A$150,0)))</f>
        <v/>
      </c>
    </row>
    <row r="2115" customFormat="false" ht="15" hidden="false" customHeight="true" outlineLevel="0" collapsed="false">
      <c r="G2115" s="1" t="str">
        <f aca="false">IF(C2115="","",INDEX(Akaun!$F$5:$F$150,MATCH(C2115,Akaun!$A$5:$A$150,0)))</f>
        <v/>
      </c>
      <c r="H2115" s="1" t="str">
        <f aca="false">IF(C2115="","",INDEX(Akaun!$D$5:$D$150,MATCH(C2115,Akaun!$A$5:$A$150,0)))</f>
        <v/>
      </c>
    </row>
    <row r="2116" customFormat="false" ht="15" hidden="false" customHeight="true" outlineLevel="0" collapsed="false">
      <c r="G2116" s="1" t="str">
        <f aca="false">IF(C2116="","",INDEX(Akaun!$F$5:$F$150,MATCH(C2116,Akaun!$A$5:$A$150,0)))</f>
        <v/>
      </c>
      <c r="H2116" s="1" t="str">
        <f aca="false">IF(C2116="","",INDEX(Akaun!$D$5:$D$150,MATCH(C2116,Akaun!$A$5:$A$150,0)))</f>
        <v/>
      </c>
    </row>
    <row r="2117" customFormat="false" ht="15" hidden="false" customHeight="true" outlineLevel="0" collapsed="false">
      <c r="G2117" s="1" t="str">
        <f aca="false">IF(C2117="","",INDEX(Akaun!$F$5:$F$150,MATCH(C2117,Akaun!$A$5:$A$150,0)))</f>
        <v/>
      </c>
      <c r="H2117" s="1" t="str">
        <f aca="false">IF(C2117="","",INDEX(Akaun!$D$5:$D$150,MATCH(C2117,Akaun!$A$5:$A$150,0)))</f>
        <v/>
      </c>
    </row>
    <row r="2118" customFormat="false" ht="15" hidden="false" customHeight="true" outlineLevel="0" collapsed="false">
      <c r="G2118" s="1" t="str">
        <f aca="false">IF(C2118="","",INDEX(Akaun!$F$5:$F$150,MATCH(C2118,Akaun!$A$5:$A$150,0)))</f>
        <v/>
      </c>
      <c r="H2118" s="1" t="str">
        <f aca="false">IF(C2118="","",INDEX(Akaun!$D$5:$D$150,MATCH(C2118,Akaun!$A$5:$A$150,0)))</f>
        <v/>
      </c>
    </row>
    <row r="2119" customFormat="false" ht="15" hidden="false" customHeight="true" outlineLevel="0" collapsed="false">
      <c r="G2119" s="1" t="str">
        <f aca="false">IF(C2119="","",INDEX(Akaun!$F$5:$F$150,MATCH(C2119,Akaun!$A$5:$A$150,0)))</f>
        <v/>
      </c>
      <c r="H2119" s="1" t="str">
        <f aca="false">IF(C2119="","",INDEX(Akaun!$D$5:$D$150,MATCH(C2119,Akaun!$A$5:$A$150,0)))</f>
        <v/>
      </c>
    </row>
    <row r="2120" customFormat="false" ht="15" hidden="false" customHeight="true" outlineLevel="0" collapsed="false">
      <c r="G2120" s="1" t="str">
        <f aca="false">IF(C2120="","",INDEX(Akaun!$F$5:$F$150,MATCH(C2120,Akaun!$A$5:$A$150,0)))</f>
        <v/>
      </c>
      <c r="H2120" s="1" t="str">
        <f aca="false">IF(C2120="","",INDEX(Akaun!$D$5:$D$150,MATCH(C2120,Akaun!$A$5:$A$150,0)))</f>
        <v/>
      </c>
    </row>
    <row r="2121" customFormat="false" ht="15" hidden="false" customHeight="true" outlineLevel="0" collapsed="false">
      <c r="G2121" s="1" t="str">
        <f aca="false">IF(C2121="","",INDEX(Akaun!$F$5:$F$150,MATCH(C2121,Akaun!$A$5:$A$150,0)))</f>
        <v/>
      </c>
      <c r="H2121" s="1" t="str">
        <f aca="false">IF(C2121="","",INDEX(Akaun!$D$5:$D$150,MATCH(C2121,Akaun!$A$5:$A$150,0)))</f>
        <v/>
      </c>
    </row>
    <row r="2122" customFormat="false" ht="15" hidden="false" customHeight="true" outlineLevel="0" collapsed="false">
      <c r="G2122" s="1" t="str">
        <f aca="false">IF(C2122="","",INDEX(Akaun!$F$5:$F$150,MATCH(C2122,Akaun!$A$5:$A$150,0)))</f>
        <v/>
      </c>
      <c r="H2122" s="1" t="str">
        <f aca="false">IF(C2122="","",INDEX(Akaun!$D$5:$D$150,MATCH(C2122,Akaun!$A$5:$A$150,0)))</f>
        <v/>
      </c>
    </row>
    <row r="2123" customFormat="false" ht="15" hidden="false" customHeight="true" outlineLevel="0" collapsed="false">
      <c r="G2123" s="1" t="str">
        <f aca="false">IF(C2123="","",INDEX(Akaun!$F$5:$F$150,MATCH(C2123,Akaun!$A$5:$A$150,0)))</f>
        <v/>
      </c>
      <c r="H2123" s="1" t="str">
        <f aca="false">IF(C2123="","",INDEX(Akaun!$D$5:$D$150,MATCH(C2123,Akaun!$A$5:$A$150,0)))</f>
        <v/>
      </c>
    </row>
    <row r="2124" customFormat="false" ht="15" hidden="false" customHeight="true" outlineLevel="0" collapsed="false">
      <c r="G2124" s="1" t="str">
        <f aca="false">IF(C2124="","",INDEX(Akaun!$F$5:$F$150,MATCH(C2124,Akaun!$A$5:$A$150,0)))</f>
        <v/>
      </c>
      <c r="H2124" s="1" t="str">
        <f aca="false">IF(C2124="","",INDEX(Akaun!$D$5:$D$150,MATCH(C2124,Akaun!$A$5:$A$150,0)))</f>
        <v/>
      </c>
    </row>
    <row r="2125" customFormat="false" ht="15" hidden="false" customHeight="true" outlineLevel="0" collapsed="false">
      <c r="G2125" s="1" t="str">
        <f aca="false">IF(C2125="","",INDEX(Akaun!$F$5:$F$150,MATCH(C2125,Akaun!$A$5:$A$150,0)))</f>
        <v/>
      </c>
      <c r="H2125" s="1" t="str">
        <f aca="false">IF(C2125="","",INDEX(Akaun!$D$5:$D$150,MATCH(C2125,Akaun!$A$5:$A$150,0)))</f>
        <v/>
      </c>
    </row>
    <row r="2126" customFormat="false" ht="15" hidden="false" customHeight="true" outlineLevel="0" collapsed="false">
      <c r="G2126" s="1" t="str">
        <f aca="false">IF(C2126="","",INDEX(Akaun!$F$5:$F$150,MATCH(C2126,Akaun!$A$5:$A$150,0)))</f>
        <v/>
      </c>
      <c r="H2126" s="1" t="str">
        <f aca="false">IF(C2126="","",INDEX(Akaun!$D$5:$D$150,MATCH(C2126,Akaun!$A$5:$A$150,0)))</f>
        <v/>
      </c>
    </row>
    <row r="2127" customFormat="false" ht="15" hidden="false" customHeight="true" outlineLevel="0" collapsed="false">
      <c r="G2127" s="1" t="str">
        <f aca="false">IF(C2127="","",INDEX(Akaun!$F$5:$F$150,MATCH(C2127,Akaun!$A$5:$A$150,0)))</f>
        <v/>
      </c>
      <c r="H2127" s="1" t="str">
        <f aca="false">IF(C2127="","",INDEX(Akaun!$D$5:$D$150,MATCH(C2127,Akaun!$A$5:$A$150,0)))</f>
        <v/>
      </c>
    </row>
    <row r="2128" customFormat="false" ht="15" hidden="false" customHeight="true" outlineLevel="0" collapsed="false">
      <c r="G2128" s="1" t="str">
        <f aca="false">IF(C2128="","",INDEX(Akaun!$F$5:$F$150,MATCH(C2128,Akaun!$A$5:$A$150,0)))</f>
        <v/>
      </c>
      <c r="H2128" s="1" t="str">
        <f aca="false">IF(C2128="","",INDEX(Akaun!$D$5:$D$150,MATCH(C2128,Akaun!$A$5:$A$150,0)))</f>
        <v/>
      </c>
    </row>
    <row r="2129" customFormat="false" ht="15" hidden="false" customHeight="true" outlineLevel="0" collapsed="false">
      <c r="G2129" s="1" t="str">
        <f aca="false">IF(C2129="","",INDEX(Akaun!$F$5:$F$150,MATCH(C2129,Akaun!$A$5:$A$150,0)))</f>
        <v/>
      </c>
      <c r="H2129" s="1" t="str">
        <f aca="false">IF(C2129="","",INDEX(Akaun!$D$5:$D$150,MATCH(C2129,Akaun!$A$5:$A$150,0)))</f>
        <v/>
      </c>
    </row>
    <row r="2130" customFormat="false" ht="15" hidden="false" customHeight="true" outlineLevel="0" collapsed="false">
      <c r="G2130" s="1" t="str">
        <f aca="false">IF(C2130="","",INDEX(Akaun!$F$5:$F$150,MATCH(C2130,Akaun!$A$5:$A$150,0)))</f>
        <v/>
      </c>
      <c r="H2130" s="1" t="str">
        <f aca="false">IF(C2130="","",INDEX(Akaun!$D$5:$D$150,MATCH(C2130,Akaun!$A$5:$A$150,0)))</f>
        <v/>
      </c>
    </row>
    <row r="2131" customFormat="false" ht="15" hidden="false" customHeight="true" outlineLevel="0" collapsed="false">
      <c r="G2131" s="1" t="str">
        <f aca="false">IF(C2131="","",INDEX(Akaun!$F$5:$F$150,MATCH(C2131,Akaun!$A$5:$A$150,0)))</f>
        <v/>
      </c>
      <c r="H2131" s="1" t="str">
        <f aca="false">IF(C2131="","",INDEX(Akaun!$D$5:$D$150,MATCH(C2131,Akaun!$A$5:$A$150,0)))</f>
        <v/>
      </c>
    </row>
    <row r="2132" customFormat="false" ht="15" hidden="false" customHeight="true" outlineLevel="0" collapsed="false">
      <c r="G2132" s="1" t="str">
        <f aca="false">IF(C2132="","",INDEX(Akaun!$F$5:$F$150,MATCH(C2132,Akaun!$A$5:$A$150,0)))</f>
        <v/>
      </c>
      <c r="H2132" s="1" t="str">
        <f aca="false">IF(C2132="","",INDEX(Akaun!$D$5:$D$150,MATCH(C2132,Akaun!$A$5:$A$150,0)))</f>
        <v/>
      </c>
    </row>
    <row r="2133" customFormat="false" ht="15" hidden="false" customHeight="true" outlineLevel="0" collapsed="false">
      <c r="G2133" s="1" t="str">
        <f aca="false">IF(C2133="","",INDEX(Akaun!$F$5:$F$150,MATCH(C2133,Akaun!$A$5:$A$150,0)))</f>
        <v/>
      </c>
      <c r="H2133" s="1" t="str">
        <f aca="false">IF(C2133="","",INDEX(Akaun!$D$5:$D$150,MATCH(C2133,Akaun!$A$5:$A$150,0)))</f>
        <v/>
      </c>
    </row>
    <row r="2134" customFormat="false" ht="15" hidden="false" customHeight="true" outlineLevel="0" collapsed="false">
      <c r="G2134" s="1" t="str">
        <f aca="false">IF(C2134="","",INDEX(Akaun!$F$5:$F$150,MATCH(C2134,Akaun!$A$5:$A$150,0)))</f>
        <v/>
      </c>
      <c r="H2134" s="1" t="str">
        <f aca="false">IF(C2134="","",INDEX(Akaun!$D$5:$D$150,MATCH(C2134,Akaun!$A$5:$A$150,0)))</f>
        <v/>
      </c>
    </row>
    <row r="2135" customFormat="false" ht="15" hidden="false" customHeight="true" outlineLevel="0" collapsed="false">
      <c r="G2135" s="1" t="str">
        <f aca="false">IF(C2135="","",INDEX(Akaun!$F$5:$F$150,MATCH(C2135,Akaun!$A$5:$A$150,0)))</f>
        <v/>
      </c>
      <c r="H2135" s="1" t="str">
        <f aca="false">IF(C2135="","",INDEX(Akaun!$D$5:$D$150,MATCH(C2135,Akaun!$A$5:$A$150,0)))</f>
        <v/>
      </c>
    </row>
    <row r="2136" customFormat="false" ht="15" hidden="false" customHeight="true" outlineLevel="0" collapsed="false">
      <c r="G2136" s="1" t="str">
        <f aca="false">IF(C2136="","",INDEX(Akaun!$F$5:$F$150,MATCH(C2136,Akaun!$A$5:$A$150,0)))</f>
        <v/>
      </c>
      <c r="H2136" s="1" t="str">
        <f aca="false">IF(C2136="","",INDEX(Akaun!$D$5:$D$150,MATCH(C2136,Akaun!$A$5:$A$150,0)))</f>
        <v/>
      </c>
    </row>
    <row r="2137" customFormat="false" ht="15" hidden="false" customHeight="true" outlineLevel="0" collapsed="false">
      <c r="G2137" s="1" t="str">
        <f aca="false">IF(C2137="","",INDEX(Akaun!$F$5:$F$150,MATCH(C2137,Akaun!$A$5:$A$150,0)))</f>
        <v/>
      </c>
      <c r="H2137" s="1" t="str">
        <f aca="false">IF(C2137="","",INDEX(Akaun!$D$5:$D$150,MATCH(C2137,Akaun!$A$5:$A$150,0)))</f>
        <v/>
      </c>
    </row>
    <row r="2138" customFormat="false" ht="15" hidden="false" customHeight="true" outlineLevel="0" collapsed="false">
      <c r="G2138" s="1" t="str">
        <f aca="false">IF(C2138="","",INDEX(Akaun!$F$5:$F$150,MATCH(C2138,Akaun!$A$5:$A$150,0)))</f>
        <v/>
      </c>
      <c r="H2138" s="1" t="str">
        <f aca="false">IF(C2138="","",INDEX(Akaun!$D$5:$D$150,MATCH(C2138,Akaun!$A$5:$A$150,0)))</f>
        <v/>
      </c>
    </row>
    <row r="2139" customFormat="false" ht="15" hidden="false" customHeight="true" outlineLevel="0" collapsed="false">
      <c r="G2139" s="1" t="str">
        <f aca="false">IF(C2139="","",INDEX(Akaun!$F$5:$F$150,MATCH(C2139,Akaun!$A$5:$A$150,0)))</f>
        <v/>
      </c>
      <c r="H2139" s="1" t="str">
        <f aca="false">IF(C2139="","",INDEX(Akaun!$D$5:$D$150,MATCH(C2139,Akaun!$A$5:$A$150,0)))</f>
        <v/>
      </c>
    </row>
    <row r="2140" customFormat="false" ht="15" hidden="false" customHeight="true" outlineLevel="0" collapsed="false">
      <c r="G2140" s="1" t="str">
        <f aca="false">IF(C2140="","",INDEX(Akaun!$F$5:$F$150,MATCH(C2140,Akaun!$A$5:$A$150,0)))</f>
        <v/>
      </c>
      <c r="H2140" s="1" t="str">
        <f aca="false">IF(C2140="","",INDEX(Akaun!$D$5:$D$150,MATCH(C2140,Akaun!$A$5:$A$150,0)))</f>
        <v/>
      </c>
    </row>
    <row r="2141" customFormat="false" ht="15" hidden="false" customHeight="true" outlineLevel="0" collapsed="false">
      <c r="G2141" s="1" t="str">
        <f aca="false">IF(C2141="","",INDEX(Akaun!$F$5:$F$150,MATCH(C2141,Akaun!$A$5:$A$150,0)))</f>
        <v/>
      </c>
      <c r="H2141" s="1" t="str">
        <f aca="false">IF(C2141="","",INDEX(Akaun!$D$5:$D$150,MATCH(C2141,Akaun!$A$5:$A$150,0)))</f>
        <v/>
      </c>
    </row>
    <row r="2142" customFormat="false" ht="15" hidden="false" customHeight="true" outlineLevel="0" collapsed="false">
      <c r="G2142" s="1" t="str">
        <f aca="false">IF(C2142="","",INDEX(Akaun!$F$5:$F$150,MATCH(C2142,Akaun!$A$5:$A$150,0)))</f>
        <v/>
      </c>
      <c r="H2142" s="1" t="str">
        <f aca="false">IF(C2142="","",INDEX(Akaun!$D$5:$D$150,MATCH(C2142,Akaun!$A$5:$A$150,0)))</f>
        <v/>
      </c>
    </row>
    <row r="2143" customFormat="false" ht="15" hidden="false" customHeight="true" outlineLevel="0" collapsed="false">
      <c r="G2143" s="1" t="str">
        <f aca="false">IF(C2143="","",INDEX(Akaun!$F$5:$F$150,MATCH(C2143,Akaun!$A$5:$A$150,0)))</f>
        <v/>
      </c>
      <c r="H2143" s="1" t="str">
        <f aca="false">IF(C2143="","",INDEX(Akaun!$D$5:$D$150,MATCH(C2143,Akaun!$A$5:$A$150,0)))</f>
        <v/>
      </c>
    </row>
    <row r="2144" customFormat="false" ht="15" hidden="false" customHeight="true" outlineLevel="0" collapsed="false">
      <c r="G2144" s="1" t="str">
        <f aca="false">IF(C2144="","",INDEX(Akaun!$F$5:$F$150,MATCH(C2144,Akaun!$A$5:$A$150,0)))</f>
        <v/>
      </c>
      <c r="H2144" s="1" t="str">
        <f aca="false">IF(C2144="","",INDEX(Akaun!$D$5:$D$150,MATCH(C2144,Akaun!$A$5:$A$150,0)))</f>
        <v/>
      </c>
    </row>
    <row r="2145" customFormat="false" ht="15" hidden="false" customHeight="true" outlineLevel="0" collapsed="false">
      <c r="G2145" s="1" t="str">
        <f aca="false">IF(C2145="","",INDEX(Akaun!$F$5:$F$150,MATCH(C2145,Akaun!$A$5:$A$150,0)))</f>
        <v/>
      </c>
      <c r="H2145" s="1" t="str">
        <f aca="false">IF(C2145="","",INDEX(Akaun!$D$5:$D$150,MATCH(C2145,Akaun!$A$5:$A$150,0)))</f>
        <v/>
      </c>
    </row>
    <row r="2146" customFormat="false" ht="15" hidden="false" customHeight="true" outlineLevel="0" collapsed="false">
      <c r="G2146" s="1" t="str">
        <f aca="false">IF(C2146="","",INDEX(Akaun!$F$5:$F$150,MATCH(C2146,Akaun!$A$5:$A$150,0)))</f>
        <v/>
      </c>
      <c r="H2146" s="1" t="str">
        <f aca="false">IF(C2146="","",INDEX(Akaun!$D$5:$D$150,MATCH(C2146,Akaun!$A$5:$A$150,0)))</f>
        <v/>
      </c>
    </row>
    <row r="2147" customFormat="false" ht="15" hidden="false" customHeight="true" outlineLevel="0" collapsed="false">
      <c r="G2147" s="1" t="str">
        <f aca="false">IF(C2147="","",INDEX(Akaun!$F$5:$F$150,MATCH(C2147,Akaun!$A$5:$A$150,0)))</f>
        <v/>
      </c>
      <c r="H2147" s="1" t="str">
        <f aca="false">IF(C2147="","",INDEX(Akaun!$D$5:$D$150,MATCH(C2147,Akaun!$A$5:$A$150,0)))</f>
        <v/>
      </c>
    </row>
    <row r="2148" customFormat="false" ht="15" hidden="false" customHeight="true" outlineLevel="0" collapsed="false">
      <c r="G2148" s="1" t="str">
        <f aca="false">IF(C2148="","",INDEX(Akaun!$F$5:$F$150,MATCH(C2148,Akaun!$A$5:$A$150,0)))</f>
        <v/>
      </c>
      <c r="H2148" s="1" t="str">
        <f aca="false">IF(C2148="","",INDEX(Akaun!$D$5:$D$150,MATCH(C2148,Akaun!$A$5:$A$150,0)))</f>
        <v/>
      </c>
    </row>
    <row r="2149" customFormat="false" ht="15" hidden="false" customHeight="true" outlineLevel="0" collapsed="false">
      <c r="G2149" s="1" t="str">
        <f aca="false">IF(C2149="","",INDEX(Akaun!$F$5:$F$150,MATCH(C2149,Akaun!$A$5:$A$150,0)))</f>
        <v/>
      </c>
      <c r="H2149" s="1" t="str">
        <f aca="false">IF(C2149="","",INDEX(Akaun!$D$5:$D$150,MATCH(C2149,Akaun!$A$5:$A$150,0)))</f>
        <v/>
      </c>
    </row>
    <row r="2150" customFormat="false" ht="15" hidden="false" customHeight="true" outlineLevel="0" collapsed="false">
      <c r="G2150" s="1" t="str">
        <f aca="false">IF(C2150="","",INDEX(Akaun!$F$5:$F$150,MATCH(C2150,Akaun!$A$5:$A$150,0)))</f>
        <v/>
      </c>
      <c r="H2150" s="1" t="str">
        <f aca="false">IF(C2150="","",INDEX(Akaun!$D$5:$D$150,MATCH(C2150,Akaun!$A$5:$A$150,0)))</f>
        <v/>
      </c>
    </row>
    <row r="2151" customFormat="false" ht="15" hidden="false" customHeight="true" outlineLevel="0" collapsed="false">
      <c r="G2151" s="1" t="str">
        <f aca="false">IF(C2151="","",INDEX(Akaun!$F$5:$F$150,MATCH(C2151,Akaun!$A$5:$A$150,0)))</f>
        <v/>
      </c>
      <c r="H2151" s="1" t="str">
        <f aca="false">IF(C2151="","",INDEX(Akaun!$D$5:$D$150,MATCH(C2151,Akaun!$A$5:$A$150,0)))</f>
        <v/>
      </c>
    </row>
    <row r="2152" customFormat="false" ht="15" hidden="false" customHeight="true" outlineLevel="0" collapsed="false">
      <c r="G2152" s="1" t="str">
        <f aca="false">IF(C2152="","",INDEX(Akaun!$F$5:$F$150,MATCH(C2152,Akaun!$A$5:$A$150,0)))</f>
        <v/>
      </c>
      <c r="H2152" s="1" t="str">
        <f aca="false">IF(C2152="","",INDEX(Akaun!$D$5:$D$150,MATCH(C2152,Akaun!$A$5:$A$150,0)))</f>
        <v/>
      </c>
    </row>
    <row r="2153" customFormat="false" ht="15" hidden="false" customHeight="true" outlineLevel="0" collapsed="false">
      <c r="G2153" s="1" t="str">
        <f aca="false">IF(C2153="","",INDEX(Akaun!$F$5:$F$150,MATCH(C2153,Akaun!$A$5:$A$150,0)))</f>
        <v/>
      </c>
      <c r="H2153" s="1" t="str">
        <f aca="false">IF(C2153="","",INDEX(Akaun!$D$5:$D$150,MATCH(C2153,Akaun!$A$5:$A$150,0)))</f>
        <v/>
      </c>
    </row>
    <row r="2154" customFormat="false" ht="15" hidden="false" customHeight="true" outlineLevel="0" collapsed="false">
      <c r="G2154" s="1" t="str">
        <f aca="false">IF(C2154="","",INDEX(Akaun!$F$5:$F$150,MATCH(C2154,Akaun!$A$5:$A$150,0)))</f>
        <v/>
      </c>
      <c r="H2154" s="1" t="str">
        <f aca="false">IF(C2154="","",INDEX(Akaun!$D$5:$D$150,MATCH(C2154,Akaun!$A$5:$A$150,0)))</f>
        <v/>
      </c>
    </row>
    <row r="2155" customFormat="false" ht="15" hidden="false" customHeight="true" outlineLevel="0" collapsed="false">
      <c r="G2155" s="1" t="str">
        <f aca="false">IF(C2155="","",INDEX(Akaun!$F$5:$F$150,MATCH(C2155,Akaun!$A$5:$A$150,0)))</f>
        <v/>
      </c>
      <c r="H2155" s="1" t="str">
        <f aca="false">IF(C2155="","",INDEX(Akaun!$D$5:$D$150,MATCH(C2155,Akaun!$A$5:$A$150,0)))</f>
        <v/>
      </c>
    </row>
    <row r="2156" customFormat="false" ht="15" hidden="false" customHeight="true" outlineLevel="0" collapsed="false">
      <c r="G2156" s="1" t="str">
        <f aca="false">IF(C2156="","",INDEX(Akaun!$F$5:$F$150,MATCH(C2156,Akaun!$A$5:$A$150,0)))</f>
        <v/>
      </c>
      <c r="H2156" s="1" t="str">
        <f aca="false">IF(C2156="","",INDEX(Akaun!$D$5:$D$150,MATCH(C2156,Akaun!$A$5:$A$150,0)))</f>
        <v/>
      </c>
    </row>
    <row r="2157" customFormat="false" ht="15" hidden="false" customHeight="true" outlineLevel="0" collapsed="false">
      <c r="G2157" s="1" t="str">
        <f aca="false">IF(C2157="","",INDEX(Akaun!$F$5:$F$150,MATCH(C2157,Akaun!$A$5:$A$150,0)))</f>
        <v/>
      </c>
      <c r="H2157" s="1" t="str">
        <f aca="false">IF(C2157="","",INDEX(Akaun!$D$5:$D$150,MATCH(C2157,Akaun!$A$5:$A$150,0)))</f>
        <v/>
      </c>
    </row>
    <row r="2158" customFormat="false" ht="15" hidden="false" customHeight="true" outlineLevel="0" collapsed="false">
      <c r="G2158" s="1" t="str">
        <f aca="false">IF(C2158="","",INDEX(Akaun!$F$5:$F$150,MATCH(C2158,Akaun!$A$5:$A$150,0)))</f>
        <v/>
      </c>
      <c r="H2158" s="1" t="str">
        <f aca="false">IF(C2158="","",INDEX(Akaun!$D$5:$D$150,MATCH(C2158,Akaun!$A$5:$A$150,0)))</f>
        <v/>
      </c>
    </row>
    <row r="2159" customFormat="false" ht="15" hidden="false" customHeight="true" outlineLevel="0" collapsed="false">
      <c r="G2159" s="1" t="str">
        <f aca="false">IF(C2159="","",INDEX(Akaun!$F$5:$F$150,MATCH(C2159,Akaun!$A$5:$A$150,0)))</f>
        <v/>
      </c>
      <c r="H2159" s="1" t="str">
        <f aca="false">IF(C2159="","",INDEX(Akaun!$D$5:$D$150,MATCH(C2159,Akaun!$A$5:$A$150,0)))</f>
        <v/>
      </c>
    </row>
    <row r="2160" customFormat="false" ht="15" hidden="false" customHeight="true" outlineLevel="0" collapsed="false">
      <c r="G2160" s="1" t="str">
        <f aca="false">IF(C2160="","",INDEX(Akaun!$F$5:$F$150,MATCH(C2160,Akaun!$A$5:$A$150,0)))</f>
        <v/>
      </c>
      <c r="H2160" s="1" t="str">
        <f aca="false">IF(C2160="","",INDEX(Akaun!$D$5:$D$150,MATCH(C2160,Akaun!$A$5:$A$150,0)))</f>
        <v/>
      </c>
    </row>
    <row r="2161" customFormat="false" ht="15" hidden="false" customHeight="true" outlineLevel="0" collapsed="false">
      <c r="G2161" s="1" t="str">
        <f aca="false">IF(C2161="","",INDEX(Akaun!$F$5:$F$150,MATCH(C2161,Akaun!$A$5:$A$150,0)))</f>
        <v/>
      </c>
      <c r="H2161" s="1" t="str">
        <f aca="false">IF(C2161="","",INDEX(Akaun!$D$5:$D$150,MATCH(C2161,Akaun!$A$5:$A$150,0)))</f>
        <v/>
      </c>
    </row>
    <row r="2162" customFormat="false" ht="15" hidden="false" customHeight="true" outlineLevel="0" collapsed="false">
      <c r="G2162" s="1" t="str">
        <f aca="false">IF(C2162="","",INDEX(Akaun!$F$5:$F$150,MATCH(C2162,Akaun!$A$5:$A$150,0)))</f>
        <v/>
      </c>
      <c r="H2162" s="1" t="str">
        <f aca="false">IF(C2162="","",INDEX(Akaun!$D$5:$D$150,MATCH(C2162,Akaun!$A$5:$A$150,0)))</f>
        <v/>
      </c>
    </row>
    <row r="2163" customFormat="false" ht="15" hidden="false" customHeight="true" outlineLevel="0" collapsed="false">
      <c r="G2163" s="1" t="str">
        <f aca="false">IF(C2163="","",INDEX(Akaun!$F$5:$F$150,MATCH(C2163,Akaun!$A$5:$A$150,0)))</f>
        <v/>
      </c>
      <c r="H2163" s="1" t="str">
        <f aca="false">IF(C2163="","",INDEX(Akaun!$D$5:$D$150,MATCH(C2163,Akaun!$A$5:$A$150,0)))</f>
        <v/>
      </c>
    </row>
    <row r="2164" customFormat="false" ht="15" hidden="false" customHeight="true" outlineLevel="0" collapsed="false">
      <c r="G2164" s="1" t="str">
        <f aca="false">IF(C2164="","",INDEX(Akaun!$F$5:$F$150,MATCH(C2164,Akaun!$A$5:$A$150,0)))</f>
        <v/>
      </c>
      <c r="H2164" s="1" t="str">
        <f aca="false">IF(C2164="","",INDEX(Akaun!$D$5:$D$150,MATCH(C2164,Akaun!$A$5:$A$150,0)))</f>
        <v/>
      </c>
    </row>
    <row r="2165" customFormat="false" ht="15" hidden="false" customHeight="true" outlineLevel="0" collapsed="false">
      <c r="G2165" s="1" t="str">
        <f aca="false">IF(C2165="","",INDEX(Akaun!$F$5:$F$150,MATCH(C2165,Akaun!$A$5:$A$150,0)))</f>
        <v/>
      </c>
      <c r="H2165" s="1" t="str">
        <f aca="false">IF(C2165="","",INDEX(Akaun!$D$5:$D$150,MATCH(C2165,Akaun!$A$5:$A$150,0)))</f>
        <v/>
      </c>
    </row>
    <row r="2166" customFormat="false" ht="15" hidden="false" customHeight="true" outlineLevel="0" collapsed="false">
      <c r="G2166" s="1" t="str">
        <f aca="false">IF(C2166="","",INDEX(Akaun!$F$5:$F$150,MATCH(C2166,Akaun!$A$5:$A$150,0)))</f>
        <v/>
      </c>
      <c r="H2166" s="1" t="str">
        <f aca="false">IF(C2166="","",INDEX(Akaun!$D$5:$D$150,MATCH(C2166,Akaun!$A$5:$A$150,0)))</f>
        <v/>
      </c>
    </row>
    <row r="2167" customFormat="false" ht="15" hidden="false" customHeight="true" outlineLevel="0" collapsed="false">
      <c r="G2167" s="1" t="str">
        <f aca="false">IF(C2167="","",INDEX(Akaun!$F$5:$F$150,MATCH(C2167,Akaun!$A$5:$A$150,0)))</f>
        <v/>
      </c>
      <c r="H2167" s="1" t="str">
        <f aca="false">IF(C2167="","",INDEX(Akaun!$D$5:$D$150,MATCH(C2167,Akaun!$A$5:$A$150,0)))</f>
        <v/>
      </c>
    </row>
    <row r="2168" customFormat="false" ht="15" hidden="false" customHeight="true" outlineLevel="0" collapsed="false">
      <c r="G2168" s="1" t="str">
        <f aca="false">IF(C2168="","",INDEX(Akaun!$F$5:$F$150,MATCH(C2168,Akaun!$A$5:$A$150,0)))</f>
        <v/>
      </c>
      <c r="H2168" s="1" t="str">
        <f aca="false">IF(C2168="","",INDEX(Akaun!$D$5:$D$150,MATCH(C2168,Akaun!$A$5:$A$150,0)))</f>
        <v/>
      </c>
    </row>
    <row r="2169" customFormat="false" ht="15" hidden="false" customHeight="true" outlineLevel="0" collapsed="false">
      <c r="G2169" s="1" t="str">
        <f aca="false">IF(C2169="","",INDEX(Akaun!$F$5:$F$150,MATCH(C2169,Akaun!$A$5:$A$150,0)))</f>
        <v/>
      </c>
      <c r="H2169" s="1" t="str">
        <f aca="false">IF(C2169="","",INDEX(Akaun!$D$5:$D$150,MATCH(C2169,Akaun!$A$5:$A$150,0)))</f>
        <v/>
      </c>
    </row>
    <row r="2170" customFormat="false" ht="15" hidden="false" customHeight="true" outlineLevel="0" collapsed="false">
      <c r="G2170" s="1" t="str">
        <f aca="false">IF(C2170="","",INDEX(Akaun!$F$5:$F$150,MATCH(C2170,Akaun!$A$5:$A$150,0)))</f>
        <v/>
      </c>
      <c r="H2170" s="1" t="str">
        <f aca="false">IF(C2170="","",INDEX(Akaun!$D$5:$D$150,MATCH(C2170,Akaun!$A$5:$A$150,0)))</f>
        <v/>
      </c>
    </row>
    <row r="2171" customFormat="false" ht="15" hidden="false" customHeight="true" outlineLevel="0" collapsed="false">
      <c r="G2171" s="1" t="str">
        <f aca="false">IF(C2171="","",INDEX(Akaun!$F$5:$F$150,MATCH(C2171,Akaun!$A$5:$A$150,0)))</f>
        <v/>
      </c>
      <c r="H2171" s="1" t="str">
        <f aca="false">IF(C2171="","",INDEX(Akaun!$D$5:$D$150,MATCH(C2171,Akaun!$A$5:$A$150,0)))</f>
        <v/>
      </c>
    </row>
    <row r="2172" customFormat="false" ht="15" hidden="false" customHeight="true" outlineLevel="0" collapsed="false">
      <c r="G2172" s="1" t="str">
        <f aca="false">IF(C2172="","",INDEX(Akaun!$F$5:$F$150,MATCH(C2172,Akaun!$A$5:$A$150,0)))</f>
        <v/>
      </c>
      <c r="H2172" s="1" t="str">
        <f aca="false">IF(C2172="","",INDEX(Akaun!$D$5:$D$150,MATCH(C2172,Akaun!$A$5:$A$150,0)))</f>
        <v/>
      </c>
    </row>
    <row r="2173" customFormat="false" ht="15" hidden="false" customHeight="true" outlineLevel="0" collapsed="false">
      <c r="G2173" s="1" t="str">
        <f aca="false">IF(C2173="","",INDEX(Akaun!$F$5:$F$150,MATCH(C2173,Akaun!$A$5:$A$150,0)))</f>
        <v/>
      </c>
      <c r="H2173" s="1" t="str">
        <f aca="false">IF(C2173="","",INDEX(Akaun!$D$5:$D$150,MATCH(C2173,Akaun!$A$5:$A$150,0)))</f>
        <v/>
      </c>
    </row>
    <row r="2174" customFormat="false" ht="15" hidden="false" customHeight="true" outlineLevel="0" collapsed="false">
      <c r="G2174" s="1" t="str">
        <f aca="false">IF(C2174="","",INDEX(Akaun!$F$5:$F$150,MATCH(C2174,Akaun!$A$5:$A$150,0)))</f>
        <v/>
      </c>
      <c r="H2174" s="1" t="str">
        <f aca="false">IF(C2174="","",INDEX(Akaun!$D$5:$D$150,MATCH(C2174,Akaun!$A$5:$A$150,0)))</f>
        <v/>
      </c>
    </row>
    <row r="2175" customFormat="false" ht="15" hidden="false" customHeight="true" outlineLevel="0" collapsed="false">
      <c r="G2175" s="1" t="str">
        <f aca="false">IF(C2175="","",INDEX(Akaun!$F$5:$F$150,MATCH(C2175,Akaun!$A$5:$A$150,0)))</f>
        <v/>
      </c>
      <c r="H2175" s="1" t="str">
        <f aca="false">IF(C2175="","",INDEX(Akaun!$D$5:$D$150,MATCH(C2175,Akaun!$A$5:$A$150,0)))</f>
        <v/>
      </c>
    </row>
    <row r="2176" customFormat="false" ht="15" hidden="false" customHeight="true" outlineLevel="0" collapsed="false">
      <c r="G2176" s="1" t="str">
        <f aca="false">IF(C2176="","",INDEX(Akaun!$F$5:$F$150,MATCH(C2176,Akaun!$A$5:$A$150,0)))</f>
        <v/>
      </c>
      <c r="H2176" s="1" t="str">
        <f aca="false">IF(C2176="","",INDEX(Akaun!$D$5:$D$150,MATCH(C2176,Akaun!$A$5:$A$150,0)))</f>
        <v/>
      </c>
    </row>
    <row r="2177" customFormat="false" ht="15" hidden="false" customHeight="true" outlineLevel="0" collapsed="false">
      <c r="G2177" s="1" t="str">
        <f aca="false">IF(C2177="","",INDEX(Akaun!$F$5:$F$150,MATCH(C2177,Akaun!$A$5:$A$150,0)))</f>
        <v/>
      </c>
      <c r="H2177" s="1" t="str">
        <f aca="false">IF(C2177="","",INDEX(Akaun!$D$5:$D$150,MATCH(C2177,Akaun!$A$5:$A$150,0)))</f>
        <v/>
      </c>
    </row>
    <row r="2178" customFormat="false" ht="15" hidden="false" customHeight="true" outlineLevel="0" collapsed="false">
      <c r="G2178" s="1" t="str">
        <f aca="false">IF(C2178="","",INDEX(Akaun!$F$5:$F$150,MATCH(C2178,Akaun!$A$5:$A$150,0)))</f>
        <v/>
      </c>
      <c r="H2178" s="1" t="str">
        <f aca="false">IF(C2178="","",INDEX(Akaun!$D$5:$D$150,MATCH(C2178,Akaun!$A$5:$A$150,0)))</f>
        <v/>
      </c>
    </row>
    <row r="2179" customFormat="false" ht="15" hidden="false" customHeight="true" outlineLevel="0" collapsed="false">
      <c r="G2179" s="1" t="str">
        <f aca="false">IF(C2179="","",INDEX(Akaun!$F$5:$F$150,MATCH(C2179,Akaun!$A$5:$A$150,0)))</f>
        <v/>
      </c>
      <c r="H2179" s="1" t="str">
        <f aca="false">IF(C2179="","",INDEX(Akaun!$D$5:$D$150,MATCH(C2179,Akaun!$A$5:$A$150,0)))</f>
        <v/>
      </c>
    </row>
    <row r="2180" customFormat="false" ht="15" hidden="false" customHeight="true" outlineLevel="0" collapsed="false">
      <c r="G2180" s="1" t="str">
        <f aca="false">IF(C2180="","",INDEX(Akaun!$F$5:$F$150,MATCH(C2180,Akaun!$A$5:$A$150,0)))</f>
        <v/>
      </c>
      <c r="H2180" s="1" t="str">
        <f aca="false">IF(C2180="","",INDEX(Akaun!$D$5:$D$150,MATCH(C2180,Akaun!$A$5:$A$150,0)))</f>
        <v/>
      </c>
    </row>
    <row r="2181" customFormat="false" ht="15" hidden="false" customHeight="true" outlineLevel="0" collapsed="false">
      <c r="G2181" s="1" t="str">
        <f aca="false">IF(C2181="","",INDEX(Akaun!$F$5:$F$150,MATCH(C2181,Akaun!$A$5:$A$150,0)))</f>
        <v/>
      </c>
      <c r="H2181" s="1" t="str">
        <f aca="false">IF(C2181="","",INDEX(Akaun!$D$5:$D$150,MATCH(C2181,Akaun!$A$5:$A$150,0)))</f>
        <v/>
      </c>
    </row>
    <row r="2182" customFormat="false" ht="15" hidden="false" customHeight="true" outlineLevel="0" collapsed="false">
      <c r="G2182" s="1" t="str">
        <f aca="false">IF(C2182="","",INDEX(Akaun!$F$5:$F$150,MATCH(C2182,Akaun!$A$5:$A$150,0)))</f>
        <v/>
      </c>
      <c r="H2182" s="1" t="str">
        <f aca="false">IF(C2182="","",INDEX(Akaun!$D$5:$D$150,MATCH(C2182,Akaun!$A$5:$A$150,0)))</f>
        <v/>
      </c>
    </row>
    <row r="2183" customFormat="false" ht="15" hidden="false" customHeight="true" outlineLevel="0" collapsed="false">
      <c r="G2183" s="1" t="str">
        <f aca="false">IF(C2183="","",INDEX(Akaun!$F$5:$F$150,MATCH(C2183,Akaun!$A$5:$A$150,0)))</f>
        <v/>
      </c>
      <c r="H2183" s="1" t="str">
        <f aca="false">IF(C2183="","",INDEX(Akaun!$D$5:$D$150,MATCH(C2183,Akaun!$A$5:$A$150,0)))</f>
        <v/>
      </c>
    </row>
    <row r="2184" customFormat="false" ht="15" hidden="false" customHeight="true" outlineLevel="0" collapsed="false">
      <c r="G2184" s="1" t="str">
        <f aca="false">IF(C2184="","",INDEX(Akaun!$F$5:$F$150,MATCH(C2184,Akaun!$A$5:$A$150,0)))</f>
        <v/>
      </c>
      <c r="H2184" s="1" t="str">
        <f aca="false">IF(C2184="","",INDEX(Akaun!$D$5:$D$150,MATCH(C2184,Akaun!$A$5:$A$150,0)))</f>
        <v/>
      </c>
    </row>
    <row r="2185" customFormat="false" ht="15" hidden="false" customHeight="true" outlineLevel="0" collapsed="false">
      <c r="G2185" s="1" t="str">
        <f aca="false">IF(C2185="","",INDEX(Akaun!$F$5:$F$150,MATCH(C2185,Akaun!$A$5:$A$150,0)))</f>
        <v/>
      </c>
      <c r="H2185" s="1" t="str">
        <f aca="false">IF(C2185="","",INDEX(Akaun!$D$5:$D$150,MATCH(C2185,Akaun!$A$5:$A$150,0)))</f>
        <v/>
      </c>
    </row>
    <row r="2186" customFormat="false" ht="15" hidden="false" customHeight="true" outlineLevel="0" collapsed="false">
      <c r="G2186" s="1" t="str">
        <f aca="false">IF(C2186="","",INDEX(Akaun!$F$5:$F$150,MATCH(C2186,Akaun!$A$5:$A$150,0)))</f>
        <v/>
      </c>
      <c r="H2186" s="1" t="str">
        <f aca="false">IF(C2186="","",INDEX(Akaun!$D$5:$D$150,MATCH(C2186,Akaun!$A$5:$A$150,0)))</f>
        <v/>
      </c>
    </row>
    <row r="2187" customFormat="false" ht="15" hidden="false" customHeight="true" outlineLevel="0" collapsed="false">
      <c r="G2187" s="1" t="str">
        <f aca="false">IF(C2187="","",INDEX(Akaun!$F$5:$F$150,MATCH(C2187,Akaun!$A$5:$A$150,0)))</f>
        <v/>
      </c>
      <c r="H2187" s="1" t="str">
        <f aca="false">IF(C2187="","",INDEX(Akaun!$D$5:$D$150,MATCH(C2187,Akaun!$A$5:$A$150,0)))</f>
        <v/>
      </c>
    </row>
    <row r="2188" customFormat="false" ht="15" hidden="false" customHeight="true" outlineLevel="0" collapsed="false">
      <c r="G2188" s="1" t="str">
        <f aca="false">IF(C2188="","",INDEX(Akaun!$F$5:$F$150,MATCH(C2188,Akaun!$A$5:$A$150,0)))</f>
        <v/>
      </c>
      <c r="H2188" s="1" t="str">
        <f aca="false">IF(C2188="","",INDEX(Akaun!$D$5:$D$150,MATCH(C2188,Akaun!$A$5:$A$150,0)))</f>
        <v/>
      </c>
    </row>
    <row r="2189" customFormat="false" ht="15" hidden="false" customHeight="true" outlineLevel="0" collapsed="false">
      <c r="G2189" s="1" t="str">
        <f aca="false">IF(C2189="","",INDEX(Akaun!$F$5:$F$150,MATCH(C2189,Akaun!$A$5:$A$150,0)))</f>
        <v/>
      </c>
      <c r="H2189" s="1" t="str">
        <f aca="false">IF(C2189="","",INDEX(Akaun!$D$5:$D$150,MATCH(C2189,Akaun!$A$5:$A$150,0)))</f>
        <v/>
      </c>
    </row>
    <row r="2190" customFormat="false" ht="15" hidden="false" customHeight="true" outlineLevel="0" collapsed="false">
      <c r="G2190" s="1" t="str">
        <f aca="false">IF(C2190="","",INDEX(Akaun!$F$5:$F$150,MATCH(C2190,Akaun!$A$5:$A$150,0)))</f>
        <v/>
      </c>
      <c r="H2190" s="1" t="str">
        <f aca="false">IF(C2190="","",INDEX(Akaun!$D$5:$D$150,MATCH(C2190,Akaun!$A$5:$A$150,0)))</f>
        <v/>
      </c>
    </row>
    <row r="2191" customFormat="false" ht="15" hidden="false" customHeight="true" outlineLevel="0" collapsed="false">
      <c r="G2191" s="1" t="str">
        <f aca="false">IF(C2191="","",INDEX(Akaun!$F$5:$F$150,MATCH(C2191,Akaun!$A$5:$A$150,0)))</f>
        <v/>
      </c>
      <c r="H2191" s="1" t="str">
        <f aca="false">IF(C2191="","",INDEX(Akaun!$D$5:$D$150,MATCH(C2191,Akaun!$A$5:$A$150,0)))</f>
        <v/>
      </c>
    </row>
    <row r="2192" customFormat="false" ht="15" hidden="false" customHeight="true" outlineLevel="0" collapsed="false">
      <c r="G2192" s="1" t="str">
        <f aca="false">IF(C2192="","",INDEX(Akaun!$F$5:$F$150,MATCH(C2192,Akaun!$A$5:$A$150,0)))</f>
        <v/>
      </c>
      <c r="H2192" s="1" t="str">
        <f aca="false">IF(C2192="","",INDEX(Akaun!$D$5:$D$150,MATCH(C2192,Akaun!$A$5:$A$150,0)))</f>
        <v/>
      </c>
    </row>
    <row r="2193" customFormat="false" ht="15" hidden="false" customHeight="true" outlineLevel="0" collapsed="false">
      <c r="G2193" s="1" t="str">
        <f aca="false">IF(C2193="","",INDEX(Akaun!$F$5:$F$150,MATCH(C2193,Akaun!$A$5:$A$150,0)))</f>
        <v/>
      </c>
      <c r="H2193" s="1" t="str">
        <f aca="false">IF(C2193="","",INDEX(Akaun!$D$5:$D$150,MATCH(C2193,Akaun!$A$5:$A$150,0)))</f>
        <v/>
      </c>
    </row>
    <row r="2194" customFormat="false" ht="15" hidden="false" customHeight="true" outlineLevel="0" collapsed="false">
      <c r="G2194" s="1" t="str">
        <f aca="false">IF(C2194="","",INDEX(Akaun!$F$5:$F$150,MATCH(C2194,Akaun!$A$5:$A$150,0)))</f>
        <v/>
      </c>
      <c r="H2194" s="1" t="str">
        <f aca="false">IF(C2194="","",INDEX(Akaun!$D$5:$D$150,MATCH(C2194,Akaun!$A$5:$A$150,0)))</f>
        <v/>
      </c>
    </row>
    <row r="2195" customFormat="false" ht="15" hidden="false" customHeight="true" outlineLevel="0" collapsed="false">
      <c r="G2195" s="1" t="str">
        <f aca="false">IF(C2195="","",INDEX(Akaun!$F$5:$F$150,MATCH(C2195,Akaun!$A$5:$A$150,0)))</f>
        <v/>
      </c>
      <c r="H2195" s="1" t="str">
        <f aca="false">IF(C2195="","",INDEX(Akaun!$D$5:$D$150,MATCH(C2195,Akaun!$A$5:$A$150,0)))</f>
        <v/>
      </c>
    </row>
    <row r="2196" customFormat="false" ht="15" hidden="false" customHeight="true" outlineLevel="0" collapsed="false">
      <c r="G2196" s="1" t="str">
        <f aca="false">IF(C2196="","",INDEX(Akaun!$F$5:$F$150,MATCH(C2196,Akaun!$A$5:$A$150,0)))</f>
        <v/>
      </c>
      <c r="H2196" s="1" t="str">
        <f aca="false">IF(C2196="","",INDEX(Akaun!$D$5:$D$150,MATCH(C2196,Akaun!$A$5:$A$150,0)))</f>
        <v/>
      </c>
    </row>
    <row r="2197" customFormat="false" ht="15" hidden="false" customHeight="true" outlineLevel="0" collapsed="false">
      <c r="G2197" s="1" t="str">
        <f aca="false">IF(C2197="","",INDEX(Akaun!$F$5:$F$150,MATCH(C2197,Akaun!$A$5:$A$150,0)))</f>
        <v/>
      </c>
      <c r="H2197" s="1" t="str">
        <f aca="false">IF(C2197="","",INDEX(Akaun!$D$5:$D$150,MATCH(C2197,Akaun!$A$5:$A$150,0)))</f>
        <v/>
      </c>
    </row>
    <row r="2198" customFormat="false" ht="15" hidden="false" customHeight="true" outlineLevel="0" collapsed="false">
      <c r="G2198" s="1" t="str">
        <f aca="false">IF(C2198="","",INDEX(Akaun!$F$5:$F$150,MATCH(C2198,Akaun!$A$5:$A$150,0)))</f>
        <v/>
      </c>
      <c r="H2198" s="1" t="str">
        <f aca="false">IF(C2198="","",INDEX(Akaun!$D$5:$D$150,MATCH(C2198,Akaun!$A$5:$A$150,0)))</f>
        <v/>
      </c>
    </row>
    <row r="2199" customFormat="false" ht="15" hidden="false" customHeight="true" outlineLevel="0" collapsed="false">
      <c r="G2199" s="1" t="str">
        <f aca="false">IF(C2199="","",INDEX(Akaun!$F$5:$F$150,MATCH(C2199,Akaun!$A$5:$A$150,0)))</f>
        <v/>
      </c>
      <c r="H2199" s="1" t="str">
        <f aca="false">IF(C2199="","",INDEX(Akaun!$D$5:$D$150,MATCH(C2199,Akaun!$A$5:$A$150,0)))</f>
        <v/>
      </c>
    </row>
    <row r="2200" customFormat="false" ht="15" hidden="false" customHeight="true" outlineLevel="0" collapsed="false">
      <c r="G2200" s="1" t="str">
        <f aca="false">IF(C2200="","",INDEX(Akaun!$F$5:$F$150,MATCH(C2200,Akaun!$A$5:$A$150,0)))</f>
        <v/>
      </c>
      <c r="H2200" s="1" t="str">
        <f aca="false">IF(C2200="","",INDEX(Akaun!$D$5:$D$150,MATCH(C2200,Akaun!$A$5:$A$150,0)))</f>
        <v/>
      </c>
    </row>
    <row r="2201" customFormat="false" ht="15" hidden="false" customHeight="true" outlineLevel="0" collapsed="false">
      <c r="G2201" s="1" t="str">
        <f aca="false">IF(C2201="","",INDEX(Akaun!$F$5:$F$150,MATCH(C2201,Akaun!$A$5:$A$150,0)))</f>
        <v/>
      </c>
      <c r="H2201" s="1" t="str">
        <f aca="false">IF(C2201="","",INDEX(Akaun!$D$5:$D$150,MATCH(C2201,Akaun!$A$5:$A$150,0)))</f>
        <v/>
      </c>
    </row>
    <row r="2202" customFormat="false" ht="15" hidden="false" customHeight="true" outlineLevel="0" collapsed="false">
      <c r="G2202" s="1" t="str">
        <f aca="false">IF(C2202="","",INDEX(Akaun!$F$5:$F$150,MATCH(C2202,Akaun!$A$5:$A$150,0)))</f>
        <v/>
      </c>
      <c r="H2202" s="1" t="str">
        <f aca="false">IF(C2202="","",INDEX(Akaun!$D$5:$D$150,MATCH(C2202,Akaun!$A$5:$A$150,0)))</f>
        <v/>
      </c>
    </row>
    <row r="2203" customFormat="false" ht="15" hidden="false" customHeight="true" outlineLevel="0" collapsed="false">
      <c r="G2203" s="1" t="str">
        <f aca="false">IF(C2203="","",INDEX(Akaun!$F$5:$F$150,MATCH(C2203,Akaun!$A$5:$A$150,0)))</f>
        <v/>
      </c>
      <c r="H2203" s="1" t="str">
        <f aca="false">IF(C2203="","",INDEX(Akaun!$D$5:$D$150,MATCH(C2203,Akaun!$A$5:$A$150,0)))</f>
        <v/>
      </c>
    </row>
    <row r="2204" customFormat="false" ht="15" hidden="false" customHeight="true" outlineLevel="0" collapsed="false">
      <c r="G2204" s="1" t="str">
        <f aca="false">IF(C2204="","",INDEX(Akaun!$F$5:$F$150,MATCH(C2204,Akaun!$A$5:$A$150,0)))</f>
        <v/>
      </c>
      <c r="H2204" s="1" t="str">
        <f aca="false">IF(C2204="","",INDEX(Akaun!$D$5:$D$150,MATCH(C2204,Akaun!$A$5:$A$150,0)))</f>
        <v/>
      </c>
    </row>
    <row r="2205" customFormat="false" ht="15" hidden="false" customHeight="true" outlineLevel="0" collapsed="false">
      <c r="G2205" s="1" t="str">
        <f aca="false">IF(C2205="","",INDEX(Akaun!$F$5:$F$150,MATCH(C2205,Akaun!$A$5:$A$150,0)))</f>
        <v/>
      </c>
      <c r="H2205" s="1" t="str">
        <f aca="false">IF(C2205="","",INDEX(Akaun!$D$5:$D$150,MATCH(C2205,Akaun!$A$5:$A$150,0)))</f>
        <v/>
      </c>
    </row>
    <row r="2206" customFormat="false" ht="15" hidden="false" customHeight="true" outlineLevel="0" collapsed="false">
      <c r="G2206" s="1" t="str">
        <f aca="false">IF(C2206="","",INDEX(Akaun!$F$5:$F$150,MATCH(C2206,Akaun!$A$5:$A$150,0)))</f>
        <v/>
      </c>
      <c r="H2206" s="1" t="str">
        <f aca="false">IF(C2206="","",INDEX(Akaun!$D$5:$D$150,MATCH(C2206,Akaun!$A$5:$A$150,0)))</f>
        <v/>
      </c>
    </row>
    <row r="2207" customFormat="false" ht="15" hidden="false" customHeight="true" outlineLevel="0" collapsed="false">
      <c r="G2207" s="1" t="str">
        <f aca="false">IF(C2207="","",INDEX(Akaun!$F$5:$F$150,MATCH(C2207,Akaun!$A$5:$A$150,0)))</f>
        <v/>
      </c>
      <c r="H2207" s="1" t="str">
        <f aca="false">IF(C2207="","",INDEX(Akaun!$D$5:$D$150,MATCH(C2207,Akaun!$A$5:$A$150,0)))</f>
        <v/>
      </c>
    </row>
    <row r="2208" customFormat="false" ht="15" hidden="false" customHeight="true" outlineLevel="0" collapsed="false">
      <c r="G2208" s="1" t="str">
        <f aca="false">IF(C2208="","",INDEX(Akaun!$F$5:$F$150,MATCH(C2208,Akaun!$A$5:$A$150,0)))</f>
        <v/>
      </c>
      <c r="H2208" s="1" t="str">
        <f aca="false">IF(C2208="","",INDEX(Akaun!$D$5:$D$150,MATCH(C2208,Akaun!$A$5:$A$150,0)))</f>
        <v/>
      </c>
    </row>
    <row r="2209" customFormat="false" ht="15" hidden="false" customHeight="true" outlineLevel="0" collapsed="false">
      <c r="G2209" s="1" t="str">
        <f aca="false">IF(C2209="","",INDEX(Akaun!$F$5:$F$150,MATCH(C2209,Akaun!$A$5:$A$150,0)))</f>
        <v/>
      </c>
      <c r="H2209" s="1" t="str">
        <f aca="false">IF(C2209="","",INDEX(Akaun!$D$5:$D$150,MATCH(C2209,Akaun!$A$5:$A$150,0)))</f>
        <v/>
      </c>
    </row>
    <row r="2210" customFormat="false" ht="15" hidden="false" customHeight="true" outlineLevel="0" collapsed="false">
      <c r="G2210" s="1" t="str">
        <f aca="false">IF(C2210="","",INDEX(Akaun!$F$5:$F$150,MATCH(C2210,Akaun!$A$5:$A$150,0)))</f>
        <v/>
      </c>
      <c r="H2210" s="1" t="str">
        <f aca="false">IF(C2210="","",INDEX(Akaun!$D$5:$D$150,MATCH(C2210,Akaun!$A$5:$A$150,0)))</f>
        <v/>
      </c>
    </row>
    <row r="2211" customFormat="false" ht="15" hidden="false" customHeight="true" outlineLevel="0" collapsed="false">
      <c r="G2211" s="1" t="str">
        <f aca="false">IF(C2211="","",INDEX(Akaun!$F$5:$F$150,MATCH(C2211,Akaun!$A$5:$A$150,0)))</f>
        <v/>
      </c>
      <c r="H2211" s="1" t="str">
        <f aca="false">IF(C2211="","",INDEX(Akaun!$D$5:$D$150,MATCH(C2211,Akaun!$A$5:$A$150,0)))</f>
        <v/>
      </c>
    </row>
    <row r="2212" customFormat="false" ht="15" hidden="false" customHeight="true" outlineLevel="0" collapsed="false">
      <c r="G2212" s="1" t="str">
        <f aca="false">IF(C2212="","",INDEX(Akaun!$F$5:$F$150,MATCH(C2212,Akaun!$A$5:$A$150,0)))</f>
        <v/>
      </c>
      <c r="H2212" s="1" t="str">
        <f aca="false">IF(C2212="","",INDEX(Akaun!$D$5:$D$150,MATCH(C2212,Akaun!$A$5:$A$150,0)))</f>
        <v/>
      </c>
    </row>
    <row r="2213" customFormat="false" ht="15" hidden="false" customHeight="true" outlineLevel="0" collapsed="false">
      <c r="G2213" s="1" t="str">
        <f aca="false">IF(C2213="","",INDEX(Akaun!$F$5:$F$150,MATCH(C2213,Akaun!$A$5:$A$150,0)))</f>
        <v/>
      </c>
      <c r="H2213" s="1" t="str">
        <f aca="false">IF(C2213="","",INDEX(Akaun!$D$5:$D$150,MATCH(C2213,Akaun!$A$5:$A$150,0)))</f>
        <v/>
      </c>
    </row>
    <row r="2214" customFormat="false" ht="15" hidden="false" customHeight="true" outlineLevel="0" collapsed="false">
      <c r="G2214" s="1" t="str">
        <f aca="false">IF(C2214="","",INDEX(Akaun!$F$5:$F$150,MATCH(C2214,Akaun!$A$5:$A$150,0)))</f>
        <v/>
      </c>
      <c r="H2214" s="1" t="str">
        <f aca="false">IF(C2214="","",INDEX(Akaun!$D$5:$D$150,MATCH(C2214,Akaun!$A$5:$A$150,0)))</f>
        <v/>
      </c>
    </row>
    <row r="2215" customFormat="false" ht="15" hidden="false" customHeight="true" outlineLevel="0" collapsed="false">
      <c r="G2215" s="1" t="str">
        <f aca="false">IF(C2215="","",INDEX(Akaun!$F$5:$F$150,MATCH(C2215,Akaun!$A$5:$A$150,0)))</f>
        <v/>
      </c>
      <c r="H2215" s="1" t="str">
        <f aca="false">IF(C2215="","",INDEX(Akaun!$D$5:$D$150,MATCH(C2215,Akaun!$A$5:$A$150,0)))</f>
        <v/>
      </c>
    </row>
    <row r="2216" customFormat="false" ht="15" hidden="false" customHeight="true" outlineLevel="0" collapsed="false">
      <c r="G2216" s="1" t="str">
        <f aca="false">IF(C2216="","",INDEX(Akaun!$F$5:$F$150,MATCH(C2216,Akaun!$A$5:$A$150,0)))</f>
        <v/>
      </c>
      <c r="H2216" s="1" t="str">
        <f aca="false">IF(C2216="","",INDEX(Akaun!$D$5:$D$150,MATCH(C2216,Akaun!$A$5:$A$150,0)))</f>
        <v/>
      </c>
    </row>
    <row r="2217" customFormat="false" ht="15" hidden="false" customHeight="true" outlineLevel="0" collapsed="false">
      <c r="G2217" s="1" t="str">
        <f aca="false">IF(C2217="","",INDEX(Akaun!$F$5:$F$150,MATCH(C2217,Akaun!$A$5:$A$150,0)))</f>
        <v/>
      </c>
      <c r="H2217" s="1" t="str">
        <f aca="false">IF(C2217="","",INDEX(Akaun!$D$5:$D$150,MATCH(C2217,Akaun!$A$5:$A$150,0)))</f>
        <v/>
      </c>
    </row>
    <row r="2218" customFormat="false" ht="15" hidden="false" customHeight="true" outlineLevel="0" collapsed="false">
      <c r="G2218" s="1" t="str">
        <f aca="false">IF(C2218="","",INDEX(Akaun!$F$5:$F$150,MATCH(C2218,Akaun!$A$5:$A$150,0)))</f>
        <v/>
      </c>
      <c r="H2218" s="1" t="str">
        <f aca="false">IF(C2218="","",INDEX(Akaun!$D$5:$D$150,MATCH(C2218,Akaun!$A$5:$A$150,0)))</f>
        <v/>
      </c>
    </row>
    <row r="2219" customFormat="false" ht="15" hidden="false" customHeight="true" outlineLevel="0" collapsed="false">
      <c r="G2219" s="1" t="str">
        <f aca="false">IF(C2219="","",INDEX(Akaun!$F$5:$F$150,MATCH(C2219,Akaun!$A$5:$A$150,0)))</f>
        <v/>
      </c>
      <c r="H2219" s="1" t="str">
        <f aca="false">IF(C2219="","",INDEX(Akaun!$D$5:$D$150,MATCH(C2219,Akaun!$A$5:$A$150,0)))</f>
        <v/>
      </c>
    </row>
    <row r="2220" customFormat="false" ht="15" hidden="false" customHeight="true" outlineLevel="0" collapsed="false">
      <c r="G2220" s="1" t="str">
        <f aca="false">IF(C2220="","",INDEX(Akaun!$F$5:$F$150,MATCH(C2220,Akaun!$A$5:$A$150,0)))</f>
        <v/>
      </c>
      <c r="H2220" s="1" t="str">
        <f aca="false">IF(C2220="","",INDEX(Akaun!$D$5:$D$150,MATCH(C2220,Akaun!$A$5:$A$150,0)))</f>
        <v/>
      </c>
    </row>
    <row r="2221" customFormat="false" ht="15" hidden="false" customHeight="true" outlineLevel="0" collapsed="false">
      <c r="G2221" s="1" t="str">
        <f aca="false">IF(C2221="","",INDEX(Akaun!$F$5:$F$150,MATCH(C2221,Akaun!$A$5:$A$150,0)))</f>
        <v/>
      </c>
      <c r="H2221" s="1" t="str">
        <f aca="false">IF(C2221="","",INDEX(Akaun!$D$5:$D$150,MATCH(C2221,Akaun!$A$5:$A$150,0)))</f>
        <v/>
      </c>
    </row>
    <row r="2222" customFormat="false" ht="15" hidden="false" customHeight="true" outlineLevel="0" collapsed="false">
      <c r="G2222" s="1" t="str">
        <f aca="false">IF(C2222="","",INDEX(Akaun!$F$5:$F$150,MATCH(C2222,Akaun!$A$5:$A$150,0)))</f>
        <v/>
      </c>
      <c r="H2222" s="1" t="str">
        <f aca="false">IF(C2222="","",INDEX(Akaun!$D$5:$D$150,MATCH(C2222,Akaun!$A$5:$A$150,0)))</f>
        <v/>
      </c>
    </row>
    <row r="2223" customFormat="false" ht="15" hidden="false" customHeight="true" outlineLevel="0" collapsed="false">
      <c r="G2223" s="1" t="str">
        <f aca="false">IF(C2223="","",INDEX(Akaun!$F$5:$F$150,MATCH(C2223,Akaun!$A$5:$A$150,0)))</f>
        <v/>
      </c>
      <c r="H2223" s="1" t="str">
        <f aca="false">IF(C2223="","",INDEX(Akaun!$D$5:$D$150,MATCH(C2223,Akaun!$A$5:$A$150,0)))</f>
        <v/>
      </c>
    </row>
    <row r="2224" customFormat="false" ht="15" hidden="false" customHeight="true" outlineLevel="0" collapsed="false">
      <c r="G2224" s="1" t="str">
        <f aca="false">IF(C2224="","",INDEX(Akaun!$F$5:$F$150,MATCH(C2224,Akaun!$A$5:$A$150,0)))</f>
        <v/>
      </c>
      <c r="H2224" s="1" t="str">
        <f aca="false">IF(C2224="","",INDEX(Akaun!$D$5:$D$150,MATCH(C2224,Akaun!$A$5:$A$150,0)))</f>
        <v/>
      </c>
    </row>
    <row r="2225" customFormat="false" ht="15" hidden="false" customHeight="true" outlineLevel="0" collapsed="false">
      <c r="G2225" s="1" t="str">
        <f aca="false">IF(C2225="","",INDEX(Akaun!$F$5:$F$150,MATCH(C2225,Akaun!$A$5:$A$150,0)))</f>
        <v/>
      </c>
      <c r="H2225" s="1" t="str">
        <f aca="false">IF(C2225="","",INDEX(Akaun!$D$5:$D$150,MATCH(C2225,Akaun!$A$5:$A$150,0)))</f>
        <v/>
      </c>
    </row>
    <row r="2226" customFormat="false" ht="15" hidden="false" customHeight="true" outlineLevel="0" collapsed="false">
      <c r="G2226" s="1" t="str">
        <f aca="false">IF(C2226="","",INDEX(Akaun!$F$5:$F$150,MATCH(C2226,Akaun!$A$5:$A$150,0)))</f>
        <v/>
      </c>
      <c r="H2226" s="1" t="str">
        <f aca="false">IF(C2226="","",INDEX(Akaun!$D$5:$D$150,MATCH(C2226,Akaun!$A$5:$A$150,0)))</f>
        <v/>
      </c>
    </row>
    <row r="2227" customFormat="false" ht="15" hidden="false" customHeight="true" outlineLevel="0" collapsed="false">
      <c r="G2227" s="1" t="str">
        <f aca="false">IF(C2227="","",INDEX(Akaun!$F$5:$F$150,MATCH(C2227,Akaun!$A$5:$A$150,0)))</f>
        <v/>
      </c>
      <c r="H2227" s="1" t="str">
        <f aca="false">IF(C2227="","",INDEX(Akaun!$D$5:$D$150,MATCH(C2227,Akaun!$A$5:$A$150,0)))</f>
        <v/>
      </c>
    </row>
    <row r="2228" customFormat="false" ht="15" hidden="false" customHeight="true" outlineLevel="0" collapsed="false">
      <c r="G2228" s="1" t="str">
        <f aca="false">IF(C2228="","",INDEX(Akaun!$F$5:$F$150,MATCH(C2228,Akaun!$A$5:$A$150,0)))</f>
        <v/>
      </c>
      <c r="H2228" s="1" t="str">
        <f aca="false">IF(C2228="","",INDEX(Akaun!$D$5:$D$150,MATCH(C2228,Akaun!$A$5:$A$150,0)))</f>
        <v/>
      </c>
    </row>
    <row r="2229" customFormat="false" ht="15" hidden="false" customHeight="true" outlineLevel="0" collapsed="false">
      <c r="G2229" s="1" t="str">
        <f aca="false">IF(C2229="","",INDEX(Akaun!$F$5:$F$150,MATCH(C2229,Akaun!$A$5:$A$150,0)))</f>
        <v/>
      </c>
      <c r="H2229" s="1" t="str">
        <f aca="false">IF(C2229="","",INDEX(Akaun!$D$5:$D$150,MATCH(C2229,Akaun!$A$5:$A$150,0)))</f>
        <v/>
      </c>
    </row>
    <row r="2230" customFormat="false" ht="15" hidden="false" customHeight="true" outlineLevel="0" collapsed="false">
      <c r="G2230" s="1" t="str">
        <f aca="false">IF(C2230="","",INDEX(Akaun!$F$5:$F$150,MATCH(C2230,Akaun!$A$5:$A$150,0)))</f>
        <v/>
      </c>
      <c r="H2230" s="1" t="str">
        <f aca="false">IF(C2230="","",INDEX(Akaun!$D$5:$D$150,MATCH(C2230,Akaun!$A$5:$A$150,0)))</f>
        <v/>
      </c>
    </row>
    <row r="2231" customFormat="false" ht="15" hidden="false" customHeight="true" outlineLevel="0" collapsed="false">
      <c r="G2231" s="1" t="str">
        <f aca="false">IF(C2231="","",INDEX(Akaun!$F$5:$F$150,MATCH(C2231,Akaun!$A$5:$A$150,0)))</f>
        <v/>
      </c>
      <c r="H2231" s="1" t="str">
        <f aca="false">IF(C2231="","",INDEX(Akaun!$D$5:$D$150,MATCH(C2231,Akaun!$A$5:$A$150,0)))</f>
        <v/>
      </c>
    </row>
    <row r="2232" customFormat="false" ht="15" hidden="false" customHeight="true" outlineLevel="0" collapsed="false">
      <c r="G2232" s="1" t="str">
        <f aca="false">IF(C2232="","",INDEX(Akaun!$F$5:$F$150,MATCH(C2232,Akaun!$A$5:$A$150,0)))</f>
        <v/>
      </c>
      <c r="H2232" s="1" t="str">
        <f aca="false">IF(C2232="","",INDEX(Akaun!$D$5:$D$150,MATCH(C2232,Akaun!$A$5:$A$150,0)))</f>
        <v/>
      </c>
    </row>
    <row r="2233" customFormat="false" ht="15" hidden="false" customHeight="true" outlineLevel="0" collapsed="false">
      <c r="G2233" s="1" t="str">
        <f aca="false">IF(C2233="","",INDEX(Akaun!$F$5:$F$150,MATCH(C2233,Akaun!$A$5:$A$150,0)))</f>
        <v/>
      </c>
      <c r="H2233" s="1" t="str">
        <f aca="false">IF(C2233="","",INDEX(Akaun!$D$5:$D$150,MATCH(C2233,Akaun!$A$5:$A$150,0)))</f>
        <v/>
      </c>
    </row>
    <row r="2234" customFormat="false" ht="15" hidden="false" customHeight="true" outlineLevel="0" collapsed="false">
      <c r="G2234" s="1" t="str">
        <f aca="false">IF(C2234="","",INDEX(Akaun!$F$5:$F$150,MATCH(C2234,Akaun!$A$5:$A$150,0)))</f>
        <v/>
      </c>
      <c r="H2234" s="1" t="str">
        <f aca="false">IF(C2234="","",INDEX(Akaun!$D$5:$D$150,MATCH(C2234,Akaun!$A$5:$A$150,0)))</f>
        <v/>
      </c>
    </row>
    <row r="2235" customFormat="false" ht="15" hidden="false" customHeight="true" outlineLevel="0" collapsed="false">
      <c r="G2235" s="1" t="str">
        <f aca="false">IF(C2235="","",INDEX(Akaun!$F$5:$F$150,MATCH(C2235,Akaun!$A$5:$A$150,0)))</f>
        <v/>
      </c>
      <c r="H2235" s="1" t="str">
        <f aca="false">IF(C2235="","",INDEX(Akaun!$D$5:$D$150,MATCH(C2235,Akaun!$A$5:$A$150,0)))</f>
        <v/>
      </c>
    </row>
    <row r="2236" customFormat="false" ht="15" hidden="false" customHeight="true" outlineLevel="0" collapsed="false">
      <c r="G2236" s="1" t="str">
        <f aca="false">IF(C2236="","",INDEX(Akaun!$F$5:$F$150,MATCH(C2236,Akaun!$A$5:$A$150,0)))</f>
        <v/>
      </c>
      <c r="H2236" s="1" t="str">
        <f aca="false">IF(C2236="","",INDEX(Akaun!$D$5:$D$150,MATCH(C2236,Akaun!$A$5:$A$150,0)))</f>
        <v/>
      </c>
    </row>
    <row r="2237" customFormat="false" ht="15" hidden="false" customHeight="true" outlineLevel="0" collapsed="false">
      <c r="G2237" s="1" t="str">
        <f aca="false">IF(C2237="","",INDEX(Akaun!$F$5:$F$150,MATCH(C2237,Akaun!$A$5:$A$150,0)))</f>
        <v/>
      </c>
      <c r="H2237" s="1" t="str">
        <f aca="false">IF(C2237="","",INDEX(Akaun!$D$5:$D$150,MATCH(C2237,Akaun!$A$5:$A$150,0)))</f>
        <v/>
      </c>
    </row>
    <row r="2238" customFormat="false" ht="15" hidden="false" customHeight="true" outlineLevel="0" collapsed="false">
      <c r="G2238" s="1" t="str">
        <f aca="false">IF(C2238="","",INDEX(Akaun!$F$5:$F$150,MATCH(C2238,Akaun!$A$5:$A$150,0)))</f>
        <v/>
      </c>
      <c r="H2238" s="1" t="str">
        <f aca="false">IF(C2238="","",INDEX(Akaun!$D$5:$D$150,MATCH(C2238,Akaun!$A$5:$A$150,0)))</f>
        <v/>
      </c>
    </row>
    <row r="2239" customFormat="false" ht="15" hidden="false" customHeight="true" outlineLevel="0" collapsed="false">
      <c r="G2239" s="1" t="str">
        <f aca="false">IF(C2239="","",INDEX(Akaun!$F$5:$F$150,MATCH(C2239,Akaun!$A$5:$A$150,0)))</f>
        <v/>
      </c>
      <c r="H2239" s="1" t="str">
        <f aca="false">IF(C2239="","",INDEX(Akaun!$D$5:$D$150,MATCH(C2239,Akaun!$A$5:$A$150,0)))</f>
        <v/>
      </c>
    </row>
    <row r="2240" customFormat="false" ht="15" hidden="false" customHeight="true" outlineLevel="0" collapsed="false">
      <c r="G2240" s="1" t="str">
        <f aca="false">IF(C2240="","",INDEX(Akaun!$F$5:$F$150,MATCH(C2240,Akaun!$A$5:$A$150,0)))</f>
        <v/>
      </c>
      <c r="H2240" s="1" t="str">
        <f aca="false">IF(C2240="","",INDEX(Akaun!$D$5:$D$150,MATCH(C2240,Akaun!$A$5:$A$150,0)))</f>
        <v/>
      </c>
    </row>
    <row r="2241" customFormat="false" ht="15" hidden="false" customHeight="true" outlineLevel="0" collapsed="false">
      <c r="G2241" s="1" t="str">
        <f aca="false">IF(C2241="","",INDEX(Akaun!$F$5:$F$150,MATCH(C2241,Akaun!$A$5:$A$150,0)))</f>
        <v/>
      </c>
      <c r="H2241" s="1" t="str">
        <f aca="false">IF(C2241="","",INDEX(Akaun!$D$5:$D$150,MATCH(C2241,Akaun!$A$5:$A$150,0)))</f>
        <v/>
      </c>
    </row>
    <row r="2242" customFormat="false" ht="15" hidden="false" customHeight="true" outlineLevel="0" collapsed="false">
      <c r="G2242" s="1" t="str">
        <f aca="false">IF(C2242="","",INDEX(Akaun!$F$5:$F$150,MATCH(C2242,Akaun!$A$5:$A$150,0)))</f>
        <v/>
      </c>
      <c r="H2242" s="1" t="str">
        <f aca="false">IF(C2242="","",INDEX(Akaun!$D$5:$D$150,MATCH(C2242,Akaun!$A$5:$A$150,0)))</f>
        <v/>
      </c>
    </row>
    <row r="2243" customFormat="false" ht="15" hidden="false" customHeight="true" outlineLevel="0" collapsed="false">
      <c r="G2243" s="1" t="str">
        <f aca="false">IF(C2243="","",INDEX(Akaun!$F$5:$F$150,MATCH(C2243,Akaun!$A$5:$A$150,0)))</f>
        <v/>
      </c>
      <c r="H2243" s="1" t="str">
        <f aca="false">IF(C2243="","",INDEX(Akaun!$D$5:$D$150,MATCH(C2243,Akaun!$A$5:$A$150,0)))</f>
        <v/>
      </c>
    </row>
    <row r="2244" customFormat="false" ht="15" hidden="false" customHeight="true" outlineLevel="0" collapsed="false">
      <c r="G2244" s="1" t="str">
        <f aca="false">IF(C2244="","",INDEX(Akaun!$F$5:$F$150,MATCH(C2244,Akaun!$A$5:$A$150,0)))</f>
        <v/>
      </c>
      <c r="H2244" s="1" t="str">
        <f aca="false">IF(C2244="","",INDEX(Akaun!$D$5:$D$150,MATCH(C2244,Akaun!$A$5:$A$150,0)))</f>
        <v/>
      </c>
    </row>
    <row r="2245" customFormat="false" ht="15" hidden="false" customHeight="true" outlineLevel="0" collapsed="false">
      <c r="G2245" s="1" t="str">
        <f aca="false">IF(C2245="","",INDEX(Akaun!$F$5:$F$150,MATCH(C2245,Akaun!$A$5:$A$150,0)))</f>
        <v/>
      </c>
      <c r="H2245" s="1" t="str">
        <f aca="false">IF(C2245="","",INDEX(Akaun!$D$5:$D$150,MATCH(C2245,Akaun!$A$5:$A$150,0)))</f>
        <v/>
      </c>
    </row>
    <row r="2246" customFormat="false" ht="15" hidden="false" customHeight="true" outlineLevel="0" collapsed="false">
      <c r="G2246" s="1" t="str">
        <f aca="false">IF(C2246="","",INDEX(Akaun!$F$5:$F$150,MATCH(C2246,Akaun!$A$5:$A$150,0)))</f>
        <v/>
      </c>
      <c r="H2246" s="1" t="str">
        <f aca="false">IF(C2246="","",INDEX(Akaun!$D$5:$D$150,MATCH(C2246,Akaun!$A$5:$A$150,0)))</f>
        <v/>
      </c>
    </row>
    <row r="2247" customFormat="false" ht="15" hidden="false" customHeight="true" outlineLevel="0" collapsed="false">
      <c r="G2247" s="1" t="str">
        <f aca="false">IF(C2247="","",INDEX(Akaun!$F$5:$F$150,MATCH(C2247,Akaun!$A$5:$A$150,0)))</f>
        <v/>
      </c>
      <c r="H2247" s="1" t="str">
        <f aca="false">IF(C2247="","",INDEX(Akaun!$D$5:$D$150,MATCH(C2247,Akaun!$A$5:$A$150,0)))</f>
        <v/>
      </c>
    </row>
    <row r="2248" customFormat="false" ht="15" hidden="false" customHeight="true" outlineLevel="0" collapsed="false">
      <c r="G2248" s="1" t="str">
        <f aca="false">IF(C2248="","",INDEX(Akaun!$F$5:$F$150,MATCH(C2248,Akaun!$A$5:$A$150,0)))</f>
        <v/>
      </c>
      <c r="H2248" s="1" t="str">
        <f aca="false">IF(C2248="","",INDEX(Akaun!$D$5:$D$150,MATCH(C2248,Akaun!$A$5:$A$150,0)))</f>
        <v/>
      </c>
    </row>
    <row r="2249" customFormat="false" ht="15" hidden="false" customHeight="true" outlineLevel="0" collapsed="false">
      <c r="G2249" s="1" t="str">
        <f aca="false">IF(C2249="","",INDEX(Akaun!$F$5:$F$150,MATCH(C2249,Akaun!$A$5:$A$150,0)))</f>
        <v/>
      </c>
      <c r="H2249" s="1" t="str">
        <f aca="false">IF(C2249="","",INDEX(Akaun!$D$5:$D$150,MATCH(C2249,Akaun!$A$5:$A$150,0)))</f>
        <v/>
      </c>
    </row>
    <row r="2250" customFormat="false" ht="15" hidden="false" customHeight="true" outlineLevel="0" collapsed="false">
      <c r="G2250" s="1" t="str">
        <f aca="false">IF(C2250="","",INDEX(Akaun!$F$5:$F$150,MATCH(C2250,Akaun!$A$5:$A$150,0)))</f>
        <v/>
      </c>
      <c r="H2250" s="1" t="str">
        <f aca="false">IF(C2250="","",INDEX(Akaun!$D$5:$D$150,MATCH(C2250,Akaun!$A$5:$A$150,0)))</f>
        <v/>
      </c>
    </row>
    <row r="2251" customFormat="false" ht="15" hidden="false" customHeight="true" outlineLevel="0" collapsed="false">
      <c r="G2251" s="1" t="str">
        <f aca="false">IF(C2251="","",INDEX(Akaun!$F$5:$F$150,MATCH(C2251,Akaun!$A$5:$A$150,0)))</f>
        <v/>
      </c>
      <c r="H2251" s="1" t="str">
        <f aca="false">IF(C2251="","",INDEX(Akaun!$D$5:$D$150,MATCH(C2251,Akaun!$A$5:$A$150,0)))</f>
        <v/>
      </c>
    </row>
    <row r="2252" customFormat="false" ht="15" hidden="false" customHeight="true" outlineLevel="0" collapsed="false">
      <c r="G2252" s="1" t="str">
        <f aca="false">IF(C2252="","",INDEX(Akaun!$F$5:$F$150,MATCH(C2252,Akaun!$A$5:$A$150,0)))</f>
        <v/>
      </c>
      <c r="H2252" s="1" t="str">
        <f aca="false">IF(C2252="","",INDEX(Akaun!$D$5:$D$150,MATCH(C2252,Akaun!$A$5:$A$150,0)))</f>
        <v/>
      </c>
    </row>
    <row r="2253" customFormat="false" ht="15" hidden="false" customHeight="true" outlineLevel="0" collapsed="false">
      <c r="G2253" s="1" t="str">
        <f aca="false">IF(C2253="","",INDEX(Akaun!$F$5:$F$150,MATCH(C2253,Akaun!$A$5:$A$150,0)))</f>
        <v/>
      </c>
      <c r="H2253" s="1" t="str">
        <f aca="false">IF(C2253="","",INDEX(Akaun!$D$5:$D$150,MATCH(C2253,Akaun!$A$5:$A$150,0)))</f>
        <v/>
      </c>
    </row>
    <row r="2254" customFormat="false" ht="15" hidden="false" customHeight="true" outlineLevel="0" collapsed="false">
      <c r="G2254" s="1" t="str">
        <f aca="false">IF(C2254="","",INDEX(Akaun!$F$5:$F$150,MATCH(C2254,Akaun!$A$5:$A$150,0)))</f>
        <v/>
      </c>
      <c r="H2254" s="1" t="str">
        <f aca="false">IF(C2254="","",INDEX(Akaun!$D$5:$D$150,MATCH(C2254,Akaun!$A$5:$A$150,0)))</f>
        <v/>
      </c>
    </row>
    <row r="2255" customFormat="false" ht="15" hidden="false" customHeight="true" outlineLevel="0" collapsed="false">
      <c r="G2255" s="1" t="str">
        <f aca="false">IF(C2255="","",INDEX(Akaun!$F$5:$F$150,MATCH(C2255,Akaun!$A$5:$A$150,0)))</f>
        <v/>
      </c>
      <c r="H2255" s="1" t="str">
        <f aca="false">IF(C2255="","",INDEX(Akaun!$D$5:$D$150,MATCH(C2255,Akaun!$A$5:$A$150,0)))</f>
        <v/>
      </c>
    </row>
    <row r="2256" customFormat="false" ht="15" hidden="false" customHeight="true" outlineLevel="0" collapsed="false">
      <c r="G2256" s="1" t="str">
        <f aca="false">IF(C2256="","",INDEX(Akaun!$F$5:$F$150,MATCH(C2256,Akaun!$A$5:$A$150,0)))</f>
        <v/>
      </c>
      <c r="H2256" s="1" t="str">
        <f aca="false">IF(C2256="","",INDEX(Akaun!$D$5:$D$150,MATCH(C2256,Akaun!$A$5:$A$150,0)))</f>
        <v/>
      </c>
    </row>
    <row r="2257" customFormat="false" ht="15" hidden="false" customHeight="true" outlineLevel="0" collapsed="false">
      <c r="G2257" s="1" t="str">
        <f aca="false">IF(C2257="","",INDEX(Akaun!$F$5:$F$150,MATCH(C2257,Akaun!$A$5:$A$150,0)))</f>
        <v/>
      </c>
      <c r="H2257" s="1" t="str">
        <f aca="false">IF(C2257="","",INDEX(Akaun!$D$5:$D$150,MATCH(C2257,Akaun!$A$5:$A$150,0)))</f>
        <v/>
      </c>
    </row>
    <row r="2258" customFormat="false" ht="15" hidden="false" customHeight="true" outlineLevel="0" collapsed="false">
      <c r="G2258" s="1" t="str">
        <f aca="false">IF(C2258="","",INDEX(Akaun!$F$5:$F$150,MATCH(C2258,Akaun!$A$5:$A$150,0)))</f>
        <v/>
      </c>
      <c r="H2258" s="1" t="str">
        <f aca="false">IF(C2258="","",INDEX(Akaun!$D$5:$D$150,MATCH(C2258,Akaun!$A$5:$A$150,0)))</f>
        <v/>
      </c>
    </row>
    <row r="2259" customFormat="false" ht="15" hidden="false" customHeight="true" outlineLevel="0" collapsed="false">
      <c r="G2259" s="1" t="str">
        <f aca="false">IF(C2259="","",INDEX(Akaun!$F$5:$F$150,MATCH(C2259,Akaun!$A$5:$A$150,0)))</f>
        <v/>
      </c>
      <c r="H2259" s="1" t="str">
        <f aca="false">IF(C2259="","",INDEX(Akaun!$D$5:$D$150,MATCH(C2259,Akaun!$A$5:$A$150,0)))</f>
        <v/>
      </c>
    </row>
    <row r="2260" customFormat="false" ht="15" hidden="false" customHeight="true" outlineLevel="0" collapsed="false">
      <c r="G2260" s="1" t="str">
        <f aca="false">IF(C2260="","",INDEX(Akaun!$F$5:$F$150,MATCH(C2260,Akaun!$A$5:$A$150,0)))</f>
        <v/>
      </c>
      <c r="H2260" s="1" t="str">
        <f aca="false">IF(C2260="","",INDEX(Akaun!$D$5:$D$150,MATCH(C2260,Akaun!$A$5:$A$150,0)))</f>
        <v/>
      </c>
    </row>
    <row r="2261" customFormat="false" ht="15" hidden="false" customHeight="true" outlineLevel="0" collapsed="false">
      <c r="G2261" s="1" t="str">
        <f aca="false">IF(C2261="","",INDEX(Akaun!$F$5:$F$150,MATCH(C2261,Akaun!$A$5:$A$150,0)))</f>
        <v/>
      </c>
      <c r="H2261" s="1" t="str">
        <f aca="false">IF(C2261="","",INDEX(Akaun!$D$5:$D$150,MATCH(C2261,Akaun!$A$5:$A$150,0)))</f>
        <v/>
      </c>
    </row>
    <row r="2262" customFormat="false" ht="15" hidden="false" customHeight="true" outlineLevel="0" collapsed="false">
      <c r="G2262" s="1" t="str">
        <f aca="false">IF(C2262="","",INDEX(Akaun!$F$5:$F$150,MATCH(C2262,Akaun!$A$5:$A$150,0)))</f>
        <v/>
      </c>
      <c r="H2262" s="1" t="str">
        <f aca="false">IF(C2262="","",INDEX(Akaun!$D$5:$D$150,MATCH(C2262,Akaun!$A$5:$A$150,0)))</f>
        <v/>
      </c>
    </row>
    <row r="2263" customFormat="false" ht="15" hidden="false" customHeight="true" outlineLevel="0" collapsed="false">
      <c r="G2263" s="1" t="str">
        <f aca="false">IF(C2263="","",INDEX(Akaun!$F$5:$F$150,MATCH(C2263,Akaun!$A$5:$A$150,0)))</f>
        <v/>
      </c>
      <c r="H2263" s="1" t="str">
        <f aca="false">IF(C2263="","",INDEX(Akaun!$D$5:$D$150,MATCH(C2263,Akaun!$A$5:$A$150,0)))</f>
        <v/>
      </c>
    </row>
    <row r="2264" customFormat="false" ht="15" hidden="false" customHeight="true" outlineLevel="0" collapsed="false">
      <c r="G2264" s="1" t="str">
        <f aca="false">IF(C2264="","",INDEX(Akaun!$F$5:$F$150,MATCH(C2264,Akaun!$A$5:$A$150,0)))</f>
        <v/>
      </c>
      <c r="H2264" s="1" t="str">
        <f aca="false">IF(C2264="","",INDEX(Akaun!$D$5:$D$150,MATCH(C2264,Akaun!$A$5:$A$150,0)))</f>
        <v/>
      </c>
    </row>
    <row r="2265" customFormat="false" ht="15" hidden="false" customHeight="true" outlineLevel="0" collapsed="false">
      <c r="G2265" s="1" t="str">
        <f aca="false">IF(C2265="","",INDEX(Akaun!$F$5:$F$150,MATCH(C2265,Akaun!$A$5:$A$150,0)))</f>
        <v/>
      </c>
      <c r="H2265" s="1" t="str">
        <f aca="false">IF(C2265="","",INDEX(Akaun!$D$5:$D$150,MATCH(C2265,Akaun!$A$5:$A$150,0)))</f>
        <v/>
      </c>
    </row>
    <row r="2266" customFormat="false" ht="15" hidden="false" customHeight="true" outlineLevel="0" collapsed="false">
      <c r="G2266" s="1" t="str">
        <f aca="false">IF(C2266="","",INDEX(Akaun!$F$5:$F$150,MATCH(C2266,Akaun!$A$5:$A$150,0)))</f>
        <v/>
      </c>
      <c r="H2266" s="1" t="str">
        <f aca="false">IF(C2266="","",INDEX(Akaun!$D$5:$D$150,MATCH(C2266,Akaun!$A$5:$A$150,0)))</f>
        <v/>
      </c>
    </row>
    <row r="2267" customFormat="false" ht="15" hidden="false" customHeight="true" outlineLevel="0" collapsed="false">
      <c r="G2267" s="1" t="str">
        <f aca="false">IF(C2267="","",INDEX(Akaun!$F$5:$F$150,MATCH(C2267,Akaun!$A$5:$A$150,0)))</f>
        <v/>
      </c>
      <c r="H2267" s="1" t="str">
        <f aca="false">IF(C2267="","",INDEX(Akaun!$D$5:$D$150,MATCH(C2267,Akaun!$A$5:$A$150,0)))</f>
        <v/>
      </c>
    </row>
    <row r="2268" customFormat="false" ht="15" hidden="false" customHeight="true" outlineLevel="0" collapsed="false">
      <c r="G2268" s="1" t="str">
        <f aca="false">IF(C2268="","",INDEX(Akaun!$F$5:$F$150,MATCH(C2268,Akaun!$A$5:$A$150,0)))</f>
        <v/>
      </c>
      <c r="H2268" s="1" t="str">
        <f aca="false">IF(C2268="","",INDEX(Akaun!$D$5:$D$150,MATCH(C2268,Akaun!$A$5:$A$150,0)))</f>
        <v/>
      </c>
    </row>
    <row r="2269" customFormat="false" ht="15" hidden="false" customHeight="true" outlineLevel="0" collapsed="false">
      <c r="G2269" s="1" t="str">
        <f aca="false">IF(C2269="","",INDEX(Akaun!$F$5:$F$150,MATCH(C2269,Akaun!$A$5:$A$150,0)))</f>
        <v/>
      </c>
      <c r="H2269" s="1" t="str">
        <f aca="false">IF(C2269="","",INDEX(Akaun!$D$5:$D$150,MATCH(C2269,Akaun!$A$5:$A$150,0)))</f>
        <v/>
      </c>
    </row>
    <row r="2270" customFormat="false" ht="15" hidden="false" customHeight="true" outlineLevel="0" collapsed="false">
      <c r="G2270" s="1" t="str">
        <f aca="false">IF(C2270="","",INDEX(Akaun!$F$5:$F$150,MATCH(C2270,Akaun!$A$5:$A$150,0)))</f>
        <v/>
      </c>
      <c r="H2270" s="1" t="str">
        <f aca="false">IF(C2270="","",INDEX(Akaun!$D$5:$D$150,MATCH(C2270,Akaun!$A$5:$A$150,0)))</f>
        <v/>
      </c>
    </row>
    <row r="2271" customFormat="false" ht="15" hidden="false" customHeight="true" outlineLevel="0" collapsed="false">
      <c r="G2271" s="1" t="str">
        <f aca="false">IF(C2271="","",INDEX(Akaun!$F$5:$F$150,MATCH(C2271,Akaun!$A$5:$A$150,0)))</f>
        <v/>
      </c>
      <c r="H2271" s="1" t="str">
        <f aca="false">IF(C2271="","",INDEX(Akaun!$D$5:$D$150,MATCH(C2271,Akaun!$A$5:$A$150,0)))</f>
        <v/>
      </c>
    </row>
    <row r="2272" customFormat="false" ht="15" hidden="false" customHeight="true" outlineLevel="0" collapsed="false">
      <c r="G2272" s="1" t="str">
        <f aca="false">IF(C2272="","",INDEX(Akaun!$F$5:$F$150,MATCH(C2272,Akaun!$A$5:$A$150,0)))</f>
        <v/>
      </c>
      <c r="H2272" s="1" t="str">
        <f aca="false">IF(C2272="","",INDEX(Akaun!$D$5:$D$150,MATCH(C2272,Akaun!$A$5:$A$150,0)))</f>
        <v/>
      </c>
    </row>
    <row r="2273" customFormat="false" ht="15" hidden="false" customHeight="true" outlineLevel="0" collapsed="false">
      <c r="G2273" s="1" t="str">
        <f aca="false">IF(C2273="","",INDEX(Akaun!$F$5:$F$150,MATCH(C2273,Akaun!$A$5:$A$150,0)))</f>
        <v/>
      </c>
      <c r="H2273" s="1" t="str">
        <f aca="false">IF(C2273="","",INDEX(Akaun!$D$5:$D$150,MATCH(C2273,Akaun!$A$5:$A$150,0)))</f>
        <v/>
      </c>
    </row>
    <row r="2274" customFormat="false" ht="15" hidden="false" customHeight="true" outlineLevel="0" collapsed="false">
      <c r="G2274" s="1" t="str">
        <f aca="false">IF(C2274="","",INDEX(Akaun!$F$5:$F$150,MATCH(C2274,Akaun!$A$5:$A$150,0)))</f>
        <v/>
      </c>
      <c r="H2274" s="1" t="str">
        <f aca="false">IF(C2274="","",INDEX(Akaun!$D$5:$D$150,MATCH(C2274,Akaun!$A$5:$A$150,0)))</f>
        <v/>
      </c>
    </row>
    <row r="2275" customFormat="false" ht="15" hidden="false" customHeight="true" outlineLevel="0" collapsed="false">
      <c r="G2275" s="1" t="str">
        <f aca="false">IF(C2275="","",INDEX(Akaun!$F$5:$F$150,MATCH(C2275,Akaun!$A$5:$A$150,0)))</f>
        <v/>
      </c>
      <c r="H2275" s="1" t="str">
        <f aca="false">IF(C2275="","",INDEX(Akaun!$D$5:$D$150,MATCH(C2275,Akaun!$A$5:$A$150,0)))</f>
        <v/>
      </c>
    </row>
    <row r="2276" customFormat="false" ht="15" hidden="false" customHeight="true" outlineLevel="0" collapsed="false">
      <c r="G2276" s="1" t="str">
        <f aca="false">IF(C2276="","",INDEX(Akaun!$F$5:$F$150,MATCH(C2276,Akaun!$A$5:$A$150,0)))</f>
        <v/>
      </c>
      <c r="H2276" s="1" t="str">
        <f aca="false">IF(C2276="","",INDEX(Akaun!$D$5:$D$150,MATCH(C2276,Akaun!$A$5:$A$150,0)))</f>
        <v/>
      </c>
    </row>
    <row r="2277" customFormat="false" ht="15" hidden="false" customHeight="true" outlineLevel="0" collapsed="false">
      <c r="G2277" s="1" t="str">
        <f aca="false">IF(C2277="","",INDEX(Akaun!$F$5:$F$150,MATCH(C2277,Akaun!$A$5:$A$150,0)))</f>
        <v/>
      </c>
      <c r="H2277" s="1" t="str">
        <f aca="false">IF(C2277="","",INDEX(Akaun!$D$5:$D$150,MATCH(C2277,Akaun!$A$5:$A$150,0)))</f>
        <v/>
      </c>
    </row>
    <row r="2278" customFormat="false" ht="15" hidden="false" customHeight="true" outlineLevel="0" collapsed="false">
      <c r="G2278" s="1" t="str">
        <f aca="false">IF(C2278="","",INDEX(Akaun!$F$5:$F$150,MATCH(C2278,Akaun!$A$5:$A$150,0)))</f>
        <v/>
      </c>
      <c r="H2278" s="1" t="str">
        <f aca="false">IF(C2278="","",INDEX(Akaun!$D$5:$D$150,MATCH(C2278,Akaun!$A$5:$A$150,0)))</f>
        <v/>
      </c>
    </row>
    <row r="2279" customFormat="false" ht="15" hidden="false" customHeight="true" outlineLevel="0" collapsed="false">
      <c r="G2279" s="1" t="str">
        <f aca="false">IF(C2279="","",INDEX(Akaun!$F$5:$F$150,MATCH(C2279,Akaun!$A$5:$A$150,0)))</f>
        <v/>
      </c>
      <c r="H2279" s="1" t="str">
        <f aca="false">IF(C2279="","",INDEX(Akaun!$D$5:$D$150,MATCH(C2279,Akaun!$A$5:$A$150,0)))</f>
        <v/>
      </c>
    </row>
    <row r="2280" customFormat="false" ht="15" hidden="false" customHeight="true" outlineLevel="0" collapsed="false">
      <c r="G2280" s="1" t="str">
        <f aca="false">IF(C2280="","",INDEX(Akaun!$F$5:$F$150,MATCH(C2280,Akaun!$A$5:$A$150,0)))</f>
        <v/>
      </c>
      <c r="H2280" s="1" t="str">
        <f aca="false">IF(C2280="","",INDEX(Akaun!$D$5:$D$150,MATCH(C2280,Akaun!$A$5:$A$150,0)))</f>
        <v/>
      </c>
    </row>
    <row r="2281" customFormat="false" ht="15" hidden="false" customHeight="true" outlineLevel="0" collapsed="false">
      <c r="G2281" s="1" t="str">
        <f aca="false">IF(C2281="","",INDEX(Akaun!$F$5:$F$150,MATCH(C2281,Akaun!$A$5:$A$150,0)))</f>
        <v/>
      </c>
      <c r="H2281" s="1" t="str">
        <f aca="false">IF(C2281="","",INDEX(Akaun!$D$5:$D$150,MATCH(C2281,Akaun!$A$5:$A$150,0)))</f>
        <v/>
      </c>
    </row>
    <row r="2282" customFormat="false" ht="15" hidden="false" customHeight="true" outlineLevel="0" collapsed="false">
      <c r="G2282" s="1" t="str">
        <f aca="false">IF(C2282="","",INDEX(Akaun!$F$5:$F$150,MATCH(C2282,Akaun!$A$5:$A$150,0)))</f>
        <v/>
      </c>
      <c r="H2282" s="1" t="str">
        <f aca="false">IF(C2282="","",INDEX(Akaun!$D$5:$D$150,MATCH(C2282,Akaun!$A$5:$A$150,0)))</f>
        <v/>
      </c>
    </row>
    <row r="2283" customFormat="false" ht="15" hidden="false" customHeight="true" outlineLevel="0" collapsed="false">
      <c r="G2283" s="1" t="str">
        <f aca="false">IF(C2283="","",INDEX(Akaun!$F$5:$F$150,MATCH(C2283,Akaun!$A$5:$A$150,0)))</f>
        <v/>
      </c>
      <c r="H2283" s="1" t="str">
        <f aca="false">IF(C2283="","",INDEX(Akaun!$D$5:$D$150,MATCH(C2283,Akaun!$A$5:$A$150,0)))</f>
        <v/>
      </c>
    </row>
    <row r="2284" customFormat="false" ht="15" hidden="false" customHeight="true" outlineLevel="0" collapsed="false">
      <c r="G2284" s="1" t="str">
        <f aca="false">IF(C2284="","",INDEX(Akaun!$F$5:$F$150,MATCH(C2284,Akaun!$A$5:$A$150,0)))</f>
        <v/>
      </c>
      <c r="H2284" s="1" t="str">
        <f aca="false">IF(C2284="","",INDEX(Akaun!$D$5:$D$150,MATCH(C2284,Akaun!$A$5:$A$150,0)))</f>
        <v/>
      </c>
    </row>
    <row r="2285" customFormat="false" ht="15" hidden="false" customHeight="true" outlineLevel="0" collapsed="false">
      <c r="G2285" s="1" t="str">
        <f aca="false">IF(C2285="","",INDEX(Akaun!$F$5:$F$150,MATCH(C2285,Akaun!$A$5:$A$150,0)))</f>
        <v/>
      </c>
      <c r="H2285" s="1" t="str">
        <f aca="false">IF(C2285="","",INDEX(Akaun!$D$5:$D$150,MATCH(C2285,Akaun!$A$5:$A$150,0)))</f>
        <v/>
      </c>
    </row>
    <row r="2286" customFormat="false" ht="15" hidden="false" customHeight="true" outlineLevel="0" collapsed="false">
      <c r="G2286" s="1" t="str">
        <f aca="false">IF(C2286="","",INDEX(Akaun!$F$5:$F$150,MATCH(C2286,Akaun!$A$5:$A$150,0)))</f>
        <v/>
      </c>
      <c r="H2286" s="1" t="str">
        <f aca="false">IF(C2286="","",INDEX(Akaun!$D$5:$D$150,MATCH(C2286,Akaun!$A$5:$A$150,0)))</f>
        <v/>
      </c>
    </row>
    <row r="2287" customFormat="false" ht="15" hidden="false" customHeight="true" outlineLevel="0" collapsed="false">
      <c r="G2287" s="1" t="str">
        <f aca="false">IF(C2287="","",INDEX(Akaun!$F$5:$F$150,MATCH(C2287,Akaun!$A$5:$A$150,0)))</f>
        <v/>
      </c>
      <c r="H2287" s="1" t="str">
        <f aca="false">IF(C2287="","",INDEX(Akaun!$D$5:$D$150,MATCH(C2287,Akaun!$A$5:$A$150,0)))</f>
        <v/>
      </c>
    </row>
    <row r="2288" customFormat="false" ht="15" hidden="false" customHeight="true" outlineLevel="0" collapsed="false">
      <c r="G2288" s="1" t="str">
        <f aca="false">IF(C2288="","",INDEX(Akaun!$F$5:$F$150,MATCH(C2288,Akaun!$A$5:$A$150,0)))</f>
        <v/>
      </c>
      <c r="H2288" s="1" t="str">
        <f aca="false">IF(C2288="","",INDEX(Akaun!$D$5:$D$150,MATCH(C2288,Akaun!$A$5:$A$150,0)))</f>
        <v/>
      </c>
    </row>
    <row r="2289" customFormat="false" ht="15" hidden="false" customHeight="true" outlineLevel="0" collapsed="false">
      <c r="G2289" s="1" t="str">
        <f aca="false">IF(C2289="","",INDEX(Akaun!$F$5:$F$150,MATCH(C2289,Akaun!$A$5:$A$150,0)))</f>
        <v/>
      </c>
      <c r="H2289" s="1" t="str">
        <f aca="false">IF(C2289="","",INDEX(Akaun!$D$5:$D$150,MATCH(C2289,Akaun!$A$5:$A$150,0)))</f>
        <v/>
      </c>
    </row>
    <row r="2290" customFormat="false" ht="15" hidden="false" customHeight="true" outlineLevel="0" collapsed="false">
      <c r="G2290" s="1" t="str">
        <f aca="false">IF(C2290="","",INDEX(Akaun!$F$5:$F$150,MATCH(C2290,Akaun!$A$5:$A$150,0)))</f>
        <v/>
      </c>
      <c r="H2290" s="1" t="str">
        <f aca="false">IF(C2290="","",INDEX(Akaun!$D$5:$D$150,MATCH(C2290,Akaun!$A$5:$A$150,0)))</f>
        <v/>
      </c>
    </row>
    <row r="2291" customFormat="false" ht="15" hidden="false" customHeight="true" outlineLevel="0" collapsed="false">
      <c r="G2291" s="1" t="str">
        <f aca="false">IF(C2291="","",INDEX(Akaun!$F$5:$F$150,MATCH(C2291,Akaun!$A$5:$A$150,0)))</f>
        <v/>
      </c>
      <c r="H2291" s="1" t="str">
        <f aca="false">IF(C2291="","",INDEX(Akaun!$D$5:$D$150,MATCH(C2291,Akaun!$A$5:$A$150,0)))</f>
        <v/>
      </c>
    </row>
    <row r="2292" customFormat="false" ht="15" hidden="false" customHeight="true" outlineLevel="0" collapsed="false">
      <c r="G2292" s="1" t="str">
        <f aca="false">IF(C2292="","",INDEX(Akaun!$F$5:$F$150,MATCH(C2292,Akaun!$A$5:$A$150,0)))</f>
        <v/>
      </c>
      <c r="H2292" s="1" t="str">
        <f aca="false">IF(C2292="","",INDEX(Akaun!$D$5:$D$150,MATCH(C2292,Akaun!$A$5:$A$150,0)))</f>
        <v/>
      </c>
    </row>
    <row r="2293" customFormat="false" ht="15" hidden="false" customHeight="true" outlineLevel="0" collapsed="false">
      <c r="G2293" s="1" t="str">
        <f aca="false">IF(C2293="","",INDEX(Akaun!$F$5:$F$150,MATCH(C2293,Akaun!$A$5:$A$150,0)))</f>
        <v/>
      </c>
      <c r="H2293" s="1" t="str">
        <f aca="false">IF(C2293="","",INDEX(Akaun!$D$5:$D$150,MATCH(C2293,Akaun!$A$5:$A$150,0)))</f>
        <v/>
      </c>
    </row>
    <row r="2294" customFormat="false" ht="15" hidden="false" customHeight="true" outlineLevel="0" collapsed="false">
      <c r="G2294" s="1" t="str">
        <f aca="false">IF(C2294="","",INDEX(Akaun!$F$5:$F$150,MATCH(C2294,Akaun!$A$5:$A$150,0)))</f>
        <v/>
      </c>
      <c r="H2294" s="1" t="str">
        <f aca="false">IF(C2294="","",INDEX(Akaun!$D$5:$D$150,MATCH(C2294,Akaun!$A$5:$A$150,0)))</f>
        <v/>
      </c>
    </row>
    <row r="2295" customFormat="false" ht="15" hidden="false" customHeight="true" outlineLevel="0" collapsed="false">
      <c r="G2295" s="1" t="str">
        <f aca="false">IF(C2295="","",INDEX(Akaun!$F$5:$F$150,MATCH(C2295,Akaun!$A$5:$A$150,0)))</f>
        <v/>
      </c>
      <c r="H2295" s="1" t="str">
        <f aca="false">IF(C2295="","",INDEX(Akaun!$D$5:$D$150,MATCH(C2295,Akaun!$A$5:$A$150,0)))</f>
        <v/>
      </c>
    </row>
    <row r="2296" customFormat="false" ht="15" hidden="false" customHeight="true" outlineLevel="0" collapsed="false">
      <c r="G2296" s="1" t="str">
        <f aca="false">IF(C2296="","",INDEX(Akaun!$F$5:$F$150,MATCH(C2296,Akaun!$A$5:$A$150,0)))</f>
        <v/>
      </c>
      <c r="H2296" s="1" t="str">
        <f aca="false">IF(C2296="","",INDEX(Akaun!$D$5:$D$150,MATCH(C2296,Akaun!$A$5:$A$150,0)))</f>
        <v/>
      </c>
    </row>
    <row r="2297" customFormat="false" ht="15" hidden="false" customHeight="true" outlineLevel="0" collapsed="false">
      <c r="G2297" s="1" t="str">
        <f aca="false">IF(C2297="","",INDEX(Akaun!$F$5:$F$150,MATCH(C2297,Akaun!$A$5:$A$150,0)))</f>
        <v/>
      </c>
      <c r="H2297" s="1" t="str">
        <f aca="false">IF(C2297="","",INDEX(Akaun!$D$5:$D$150,MATCH(C2297,Akaun!$A$5:$A$150,0)))</f>
        <v/>
      </c>
    </row>
    <row r="2298" customFormat="false" ht="15" hidden="false" customHeight="true" outlineLevel="0" collapsed="false">
      <c r="G2298" s="1" t="str">
        <f aca="false">IF(C2298="","",INDEX(Akaun!$F$5:$F$150,MATCH(C2298,Akaun!$A$5:$A$150,0)))</f>
        <v/>
      </c>
      <c r="H2298" s="1" t="str">
        <f aca="false">IF(C2298="","",INDEX(Akaun!$D$5:$D$150,MATCH(C2298,Akaun!$A$5:$A$150,0)))</f>
        <v/>
      </c>
    </row>
    <row r="2299" customFormat="false" ht="15" hidden="false" customHeight="true" outlineLevel="0" collapsed="false">
      <c r="G2299" s="1" t="str">
        <f aca="false">IF(C2299="","",INDEX(Akaun!$F$5:$F$150,MATCH(C2299,Akaun!$A$5:$A$150,0)))</f>
        <v/>
      </c>
      <c r="H2299" s="1" t="str">
        <f aca="false">IF(C2299="","",INDEX(Akaun!$D$5:$D$150,MATCH(C2299,Akaun!$A$5:$A$150,0)))</f>
        <v/>
      </c>
    </row>
    <row r="2300" customFormat="false" ht="15" hidden="false" customHeight="true" outlineLevel="0" collapsed="false">
      <c r="G2300" s="1" t="str">
        <f aca="false">IF(C2300="","",INDEX(Akaun!$F$5:$F$150,MATCH(C2300,Akaun!$A$5:$A$150,0)))</f>
        <v/>
      </c>
      <c r="H2300" s="1" t="str">
        <f aca="false">IF(C2300="","",INDEX(Akaun!$D$5:$D$150,MATCH(C2300,Akaun!$A$5:$A$150,0)))</f>
        <v/>
      </c>
    </row>
    <row r="2301" customFormat="false" ht="15" hidden="false" customHeight="true" outlineLevel="0" collapsed="false">
      <c r="G2301" s="1" t="str">
        <f aca="false">IF(C2301="","",INDEX(Akaun!$F$5:$F$150,MATCH(C2301,Akaun!$A$5:$A$150,0)))</f>
        <v/>
      </c>
      <c r="H2301" s="1" t="str">
        <f aca="false">IF(C2301="","",INDEX(Akaun!$D$5:$D$150,MATCH(C2301,Akaun!$A$5:$A$150,0)))</f>
        <v/>
      </c>
    </row>
    <row r="2302" customFormat="false" ht="15" hidden="false" customHeight="true" outlineLevel="0" collapsed="false">
      <c r="G2302" s="1" t="str">
        <f aca="false">IF(C2302="","",INDEX(Akaun!$F$5:$F$150,MATCH(C2302,Akaun!$A$5:$A$150,0)))</f>
        <v/>
      </c>
      <c r="H2302" s="1" t="str">
        <f aca="false">IF(C2302="","",INDEX(Akaun!$D$5:$D$150,MATCH(C2302,Akaun!$A$5:$A$150,0)))</f>
        <v/>
      </c>
    </row>
    <row r="2303" customFormat="false" ht="15" hidden="false" customHeight="true" outlineLevel="0" collapsed="false">
      <c r="G2303" s="1" t="str">
        <f aca="false">IF(C2303="","",INDEX(Akaun!$F$5:$F$150,MATCH(C2303,Akaun!$A$5:$A$150,0)))</f>
        <v/>
      </c>
      <c r="H2303" s="1" t="str">
        <f aca="false">IF(C2303="","",INDEX(Akaun!$D$5:$D$150,MATCH(C2303,Akaun!$A$5:$A$150,0)))</f>
        <v/>
      </c>
    </row>
    <row r="2304" customFormat="false" ht="15" hidden="false" customHeight="true" outlineLevel="0" collapsed="false">
      <c r="G2304" s="1" t="str">
        <f aca="false">IF(C2304="","",INDEX(Akaun!$F$5:$F$150,MATCH(C2304,Akaun!$A$5:$A$150,0)))</f>
        <v/>
      </c>
      <c r="H2304" s="1" t="str">
        <f aca="false">IF(C2304="","",INDEX(Akaun!$D$5:$D$150,MATCH(C2304,Akaun!$A$5:$A$150,0)))</f>
        <v/>
      </c>
    </row>
    <row r="2305" customFormat="false" ht="15" hidden="false" customHeight="true" outlineLevel="0" collapsed="false">
      <c r="G2305" s="1" t="str">
        <f aca="false">IF(C2305="","",INDEX(Akaun!$F$5:$F$150,MATCH(C2305,Akaun!$A$5:$A$150,0)))</f>
        <v/>
      </c>
      <c r="H2305" s="1" t="str">
        <f aca="false">IF(C2305="","",INDEX(Akaun!$D$5:$D$150,MATCH(C2305,Akaun!$A$5:$A$150,0)))</f>
        <v/>
      </c>
    </row>
    <row r="2306" customFormat="false" ht="15" hidden="false" customHeight="true" outlineLevel="0" collapsed="false">
      <c r="G2306" s="1" t="str">
        <f aca="false">IF(C2306="","",INDEX(Akaun!$F$5:$F$150,MATCH(C2306,Akaun!$A$5:$A$150,0)))</f>
        <v/>
      </c>
      <c r="H2306" s="1" t="str">
        <f aca="false">IF(C2306="","",INDEX(Akaun!$D$5:$D$150,MATCH(C2306,Akaun!$A$5:$A$150,0)))</f>
        <v/>
      </c>
    </row>
    <row r="2307" customFormat="false" ht="15" hidden="false" customHeight="true" outlineLevel="0" collapsed="false">
      <c r="G2307" s="1" t="str">
        <f aca="false">IF(C2307="","",INDEX(Akaun!$F$5:$F$150,MATCH(C2307,Akaun!$A$5:$A$150,0)))</f>
        <v/>
      </c>
      <c r="H2307" s="1" t="str">
        <f aca="false">IF(C2307="","",INDEX(Akaun!$D$5:$D$150,MATCH(C2307,Akaun!$A$5:$A$150,0)))</f>
        <v/>
      </c>
    </row>
    <row r="2308" customFormat="false" ht="15" hidden="false" customHeight="true" outlineLevel="0" collapsed="false">
      <c r="G2308" s="1" t="str">
        <f aca="false">IF(C2308="","",INDEX(Akaun!$F$5:$F$150,MATCH(C2308,Akaun!$A$5:$A$150,0)))</f>
        <v/>
      </c>
      <c r="H2308" s="1" t="str">
        <f aca="false">IF(C2308="","",INDEX(Akaun!$D$5:$D$150,MATCH(C2308,Akaun!$A$5:$A$150,0)))</f>
        <v/>
      </c>
    </row>
    <row r="2309" customFormat="false" ht="15" hidden="false" customHeight="true" outlineLevel="0" collapsed="false">
      <c r="G2309" s="1" t="str">
        <f aca="false">IF(C2309="","",INDEX(Akaun!$F$5:$F$150,MATCH(C2309,Akaun!$A$5:$A$150,0)))</f>
        <v/>
      </c>
      <c r="H2309" s="1" t="str">
        <f aca="false">IF(C2309="","",INDEX(Akaun!$D$5:$D$150,MATCH(C2309,Akaun!$A$5:$A$150,0)))</f>
        <v/>
      </c>
    </row>
    <row r="2310" customFormat="false" ht="15" hidden="false" customHeight="true" outlineLevel="0" collapsed="false">
      <c r="G2310" s="1" t="str">
        <f aca="false">IF(C2310="","",INDEX(Akaun!$F$5:$F$150,MATCH(C2310,Akaun!$A$5:$A$150,0)))</f>
        <v/>
      </c>
      <c r="H2310" s="1" t="str">
        <f aca="false">IF(C2310="","",INDEX(Akaun!$D$5:$D$150,MATCH(C2310,Akaun!$A$5:$A$150,0)))</f>
        <v/>
      </c>
    </row>
    <row r="2311" customFormat="false" ht="15" hidden="false" customHeight="true" outlineLevel="0" collapsed="false">
      <c r="G2311" s="1" t="str">
        <f aca="false">IF(C2311="","",INDEX(Akaun!$F$5:$F$150,MATCH(C2311,Akaun!$A$5:$A$150,0)))</f>
        <v/>
      </c>
      <c r="H2311" s="1" t="str">
        <f aca="false">IF(C2311="","",INDEX(Akaun!$D$5:$D$150,MATCH(C2311,Akaun!$A$5:$A$150,0)))</f>
        <v/>
      </c>
    </row>
    <row r="2312" customFormat="false" ht="15" hidden="false" customHeight="true" outlineLevel="0" collapsed="false">
      <c r="G2312" s="1" t="str">
        <f aca="false">IF(C2312="","",INDEX(Akaun!$F$5:$F$150,MATCH(C2312,Akaun!$A$5:$A$150,0)))</f>
        <v/>
      </c>
      <c r="H2312" s="1" t="str">
        <f aca="false">IF(C2312="","",INDEX(Akaun!$D$5:$D$150,MATCH(C2312,Akaun!$A$5:$A$150,0)))</f>
        <v/>
      </c>
    </row>
    <row r="2313" customFormat="false" ht="15" hidden="false" customHeight="true" outlineLevel="0" collapsed="false">
      <c r="G2313" s="1" t="str">
        <f aca="false">IF(C2313="","",INDEX(Akaun!$F$5:$F$150,MATCH(C2313,Akaun!$A$5:$A$150,0)))</f>
        <v/>
      </c>
      <c r="H2313" s="1" t="str">
        <f aca="false">IF(C2313="","",INDEX(Akaun!$D$5:$D$150,MATCH(C2313,Akaun!$A$5:$A$150,0)))</f>
        <v/>
      </c>
    </row>
    <row r="2314" customFormat="false" ht="15" hidden="false" customHeight="true" outlineLevel="0" collapsed="false">
      <c r="G2314" s="1" t="str">
        <f aca="false">IF(C2314="","",INDEX(Akaun!$F$5:$F$150,MATCH(C2314,Akaun!$A$5:$A$150,0)))</f>
        <v/>
      </c>
      <c r="H2314" s="1" t="str">
        <f aca="false">IF(C2314="","",INDEX(Akaun!$D$5:$D$150,MATCH(C2314,Akaun!$A$5:$A$150,0)))</f>
        <v/>
      </c>
    </row>
    <row r="2315" customFormat="false" ht="15" hidden="false" customHeight="true" outlineLevel="0" collapsed="false">
      <c r="G2315" s="1" t="str">
        <f aca="false">IF(C2315="","",INDEX(Akaun!$F$5:$F$150,MATCH(C2315,Akaun!$A$5:$A$150,0)))</f>
        <v/>
      </c>
      <c r="H2315" s="1" t="str">
        <f aca="false">IF(C2315="","",INDEX(Akaun!$D$5:$D$150,MATCH(C2315,Akaun!$A$5:$A$150,0)))</f>
        <v/>
      </c>
    </row>
    <row r="2316" customFormat="false" ht="15" hidden="false" customHeight="true" outlineLevel="0" collapsed="false">
      <c r="G2316" s="1" t="str">
        <f aca="false">IF(C2316="","",INDEX(Akaun!$F$5:$F$150,MATCH(C2316,Akaun!$A$5:$A$150,0)))</f>
        <v/>
      </c>
      <c r="H2316" s="1" t="str">
        <f aca="false">IF(C2316="","",INDEX(Akaun!$D$5:$D$150,MATCH(C2316,Akaun!$A$5:$A$150,0)))</f>
        <v/>
      </c>
    </row>
    <row r="2317" customFormat="false" ht="15" hidden="false" customHeight="true" outlineLevel="0" collapsed="false">
      <c r="G2317" s="1" t="str">
        <f aca="false">IF(C2317="","",INDEX(Akaun!$F$5:$F$150,MATCH(C2317,Akaun!$A$5:$A$150,0)))</f>
        <v/>
      </c>
      <c r="H2317" s="1" t="str">
        <f aca="false">IF(C2317="","",INDEX(Akaun!$D$5:$D$150,MATCH(C2317,Akaun!$A$5:$A$150,0)))</f>
        <v/>
      </c>
    </row>
    <row r="2318" customFormat="false" ht="15" hidden="false" customHeight="true" outlineLevel="0" collapsed="false">
      <c r="G2318" s="1" t="str">
        <f aca="false">IF(C2318="","",INDEX(Akaun!$F$5:$F$150,MATCH(C2318,Akaun!$A$5:$A$150,0)))</f>
        <v/>
      </c>
      <c r="H2318" s="1" t="str">
        <f aca="false">IF(C2318="","",INDEX(Akaun!$D$5:$D$150,MATCH(C2318,Akaun!$A$5:$A$150,0)))</f>
        <v/>
      </c>
    </row>
    <row r="2319" customFormat="false" ht="15" hidden="false" customHeight="true" outlineLevel="0" collapsed="false">
      <c r="G2319" s="1" t="str">
        <f aca="false">IF(C2319="","",INDEX(Akaun!$F$5:$F$150,MATCH(C2319,Akaun!$A$5:$A$150,0)))</f>
        <v/>
      </c>
      <c r="H2319" s="1" t="str">
        <f aca="false">IF(C2319="","",INDEX(Akaun!$D$5:$D$150,MATCH(C2319,Akaun!$A$5:$A$150,0)))</f>
        <v/>
      </c>
    </row>
    <row r="2320" customFormat="false" ht="15" hidden="false" customHeight="true" outlineLevel="0" collapsed="false">
      <c r="G2320" s="1" t="str">
        <f aca="false">IF(C2320="","",INDEX(Akaun!$F$5:$F$150,MATCH(C2320,Akaun!$A$5:$A$150,0)))</f>
        <v/>
      </c>
      <c r="H2320" s="1" t="str">
        <f aca="false">IF(C2320="","",INDEX(Akaun!$D$5:$D$150,MATCH(C2320,Akaun!$A$5:$A$150,0)))</f>
        <v/>
      </c>
    </row>
    <row r="2321" customFormat="false" ht="15" hidden="false" customHeight="true" outlineLevel="0" collapsed="false">
      <c r="G2321" s="1" t="str">
        <f aca="false">IF(C2321="","",INDEX(Akaun!$F$5:$F$150,MATCH(C2321,Akaun!$A$5:$A$150,0)))</f>
        <v/>
      </c>
      <c r="H2321" s="1" t="str">
        <f aca="false">IF(C2321="","",INDEX(Akaun!$D$5:$D$150,MATCH(C2321,Akaun!$A$5:$A$150,0)))</f>
        <v/>
      </c>
    </row>
    <row r="2322" customFormat="false" ht="15" hidden="false" customHeight="true" outlineLevel="0" collapsed="false">
      <c r="G2322" s="1" t="str">
        <f aca="false">IF(C2322="","",INDEX(Akaun!$F$5:$F$150,MATCH(C2322,Akaun!$A$5:$A$150,0)))</f>
        <v/>
      </c>
      <c r="H2322" s="1" t="str">
        <f aca="false">IF(C2322="","",INDEX(Akaun!$D$5:$D$150,MATCH(C2322,Akaun!$A$5:$A$150,0)))</f>
        <v/>
      </c>
    </row>
    <row r="2323" customFormat="false" ht="15" hidden="false" customHeight="true" outlineLevel="0" collapsed="false">
      <c r="G2323" s="1" t="str">
        <f aca="false">IF(C2323="","",INDEX(Akaun!$F$5:$F$150,MATCH(C2323,Akaun!$A$5:$A$150,0)))</f>
        <v/>
      </c>
      <c r="H2323" s="1" t="str">
        <f aca="false">IF(C2323="","",INDEX(Akaun!$D$5:$D$150,MATCH(C2323,Akaun!$A$5:$A$150,0)))</f>
        <v/>
      </c>
    </row>
    <row r="2324" customFormat="false" ht="15" hidden="false" customHeight="true" outlineLevel="0" collapsed="false">
      <c r="G2324" s="1" t="str">
        <f aca="false">IF(C2324="","",INDEX(Akaun!$F$5:$F$150,MATCH(C2324,Akaun!$A$5:$A$150,0)))</f>
        <v/>
      </c>
      <c r="H2324" s="1" t="str">
        <f aca="false">IF(C2324="","",INDEX(Akaun!$D$5:$D$150,MATCH(C2324,Akaun!$A$5:$A$150,0)))</f>
        <v/>
      </c>
    </row>
    <row r="2325" customFormat="false" ht="15" hidden="false" customHeight="true" outlineLevel="0" collapsed="false">
      <c r="G2325" s="1" t="str">
        <f aca="false">IF(C2325="","",INDEX(Akaun!$F$5:$F$150,MATCH(C2325,Akaun!$A$5:$A$150,0)))</f>
        <v/>
      </c>
      <c r="H2325" s="1" t="str">
        <f aca="false">IF(C2325="","",INDEX(Akaun!$D$5:$D$150,MATCH(C2325,Akaun!$A$5:$A$150,0)))</f>
        <v/>
      </c>
    </row>
    <row r="2326" customFormat="false" ht="15" hidden="false" customHeight="true" outlineLevel="0" collapsed="false">
      <c r="G2326" s="1" t="str">
        <f aca="false">IF(C2326="","",INDEX(Akaun!$F$5:$F$150,MATCH(C2326,Akaun!$A$5:$A$150,0)))</f>
        <v/>
      </c>
      <c r="H2326" s="1" t="str">
        <f aca="false">IF(C2326="","",INDEX(Akaun!$D$5:$D$150,MATCH(C2326,Akaun!$A$5:$A$150,0)))</f>
        <v/>
      </c>
    </row>
    <row r="2327" customFormat="false" ht="15" hidden="false" customHeight="true" outlineLevel="0" collapsed="false">
      <c r="G2327" s="1" t="str">
        <f aca="false">IF(C2327="","",INDEX(Akaun!$F$5:$F$150,MATCH(C2327,Akaun!$A$5:$A$150,0)))</f>
        <v/>
      </c>
      <c r="H2327" s="1" t="str">
        <f aca="false">IF(C2327="","",INDEX(Akaun!$D$5:$D$150,MATCH(C2327,Akaun!$A$5:$A$150,0)))</f>
        <v/>
      </c>
    </row>
    <row r="2328" customFormat="false" ht="15" hidden="false" customHeight="true" outlineLevel="0" collapsed="false">
      <c r="G2328" s="1" t="str">
        <f aca="false">IF(C2328="","",INDEX(Akaun!$F$5:$F$150,MATCH(C2328,Akaun!$A$5:$A$150,0)))</f>
        <v/>
      </c>
      <c r="H2328" s="1" t="str">
        <f aca="false">IF(C2328="","",INDEX(Akaun!$D$5:$D$150,MATCH(C2328,Akaun!$A$5:$A$150,0)))</f>
        <v/>
      </c>
    </row>
    <row r="2329" customFormat="false" ht="15" hidden="false" customHeight="true" outlineLevel="0" collapsed="false">
      <c r="G2329" s="1" t="str">
        <f aca="false">IF(C2329="","",INDEX(Akaun!$F$5:$F$150,MATCH(C2329,Akaun!$A$5:$A$150,0)))</f>
        <v/>
      </c>
      <c r="H2329" s="1" t="str">
        <f aca="false">IF(C2329="","",INDEX(Akaun!$D$5:$D$150,MATCH(C2329,Akaun!$A$5:$A$150,0)))</f>
        <v/>
      </c>
    </row>
    <row r="2330" customFormat="false" ht="15" hidden="false" customHeight="true" outlineLevel="0" collapsed="false">
      <c r="G2330" s="1" t="str">
        <f aca="false">IF(C2330="","",INDEX(Akaun!$F$5:$F$150,MATCH(C2330,Akaun!$A$5:$A$150,0)))</f>
        <v/>
      </c>
      <c r="H2330" s="1" t="str">
        <f aca="false">IF(C2330="","",INDEX(Akaun!$D$5:$D$150,MATCH(C2330,Akaun!$A$5:$A$150,0)))</f>
        <v/>
      </c>
    </row>
    <row r="2331" customFormat="false" ht="15" hidden="false" customHeight="true" outlineLevel="0" collapsed="false">
      <c r="G2331" s="1" t="str">
        <f aca="false">IF(C2331="","",INDEX(Akaun!$F$5:$F$150,MATCH(C2331,Akaun!$A$5:$A$150,0)))</f>
        <v/>
      </c>
      <c r="H2331" s="1" t="str">
        <f aca="false">IF(C2331="","",INDEX(Akaun!$D$5:$D$150,MATCH(C2331,Akaun!$A$5:$A$150,0)))</f>
        <v/>
      </c>
    </row>
    <row r="2332" customFormat="false" ht="15" hidden="false" customHeight="true" outlineLevel="0" collapsed="false">
      <c r="G2332" s="1" t="str">
        <f aca="false">IF(C2332="","",INDEX(Akaun!$F$5:$F$150,MATCH(C2332,Akaun!$A$5:$A$150,0)))</f>
        <v/>
      </c>
      <c r="H2332" s="1" t="str">
        <f aca="false">IF(C2332="","",INDEX(Akaun!$D$5:$D$150,MATCH(C2332,Akaun!$A$5:$A$150,0)))</f>
        <v/>
      </c>
    </row>
    <row r="2333" customFormat="false" ht="15" hidden="false" customHeight="true" outlineLevel="0" collapsed="false">
      <c r="G2333" s="1" t="str">
        <f aca="false">IF(C2333="","",INDEX(Akaun!$F$5:$F$150,MATCH(C2333,Akaun!$A$5:$A$150,0)))</f>
        <v/>
      </c>
      <c r="H2333" s="1" t="str">
        <f aca="false">IF(C2333="","",INDEX(Akaun!$D$5:$D$150,MATCH(C2333,Akaun!$A$5:$A$150,0)))</f>
        <v/>
      </c>
    </row>
    <row r="2334" customFormat="false" ht="15" hidden="false" customHeight="true" outlineLevel="0" collapsed="false">
      <c r="G2334" s="1" t="str">
        <f aca="false">IF(C2334="","",INDEX(Akaun!$F$5:$F$150,MATCH(C2334,Akaun!$A$5:$A$150,0)))</f>
        <v/>
      </c>
      <c r="H2334" s="1" t="str">
        <f aca="false">IF(C2334="","",INDEX(Akaun!$D$5:$D$150,MATCH(C2334,Akaun!$A$5:$A$150,0)))</f>
        <v/>
      </c>
    </row>
    <row r="2335" customFormat="false" ht="15" hidden="false" customHeight="true" outlineLevel="0" collapsed="false">
      <c r="G2335" s="1" t="str">
        <f aca="false">IF(C2335="","",INDEX(Akaun!$F$5:$F$150,MATCH(C2335,Akaun!$A$5:$A$150,0)))</f>
        <v/>
      </c>
      <c r="H2335" s="1" t="str">
        <f aca="false">IF(C2335="","",INDEX(Akaun!$D$5:$D$150,MATCH(C2335,Akaun!$A$5:$A$150,0)))</f>
        <v/>
      </c>
    </row>
    <row r="2336" customFormat="false" ht="15" hidden="false" customHeight="true" outlineLevel="0" collapsed="false">
      <c r="G2336" s="1" t="str">
        <f aca="false">IF(C2336="","",INDEX(Akaun!$F$5:$F$150,MATCH(C2336,Akaun!$A$5:$A$150,0)))</f>
        <v/>
      </c>
      <c r="H2336" s="1" t="str">
        <f aca="false">IF(C2336="","",INDEX(Akaun!$D$5:$D$150,MATCH(C2336,Akaun!$A$5:$A$150,0)))</f>
        <v/>
      </c>
    </row>
    <row r="2337" customFormat="false" ht="15" hidden="false" customHeight="true" outlineLevel="0" collapsed="false">
      <c r="G2337" s="1" t="str">
        <f aca="false">IF(C2337="","",INDEX(Akaun!$F$5:$F$150,MATCH(C2337,Akaun!$A$5:$A$150,0)))</f>
        <v/>
      </c>
      <c r="H2337" s="1" t="str">
        <f aca="false">IF(C2337="","",INDEX(Akaun!$D$5:$D$150,MATCH(C2337,Akaun!$A$5:$A$150,0)))</f>
        <v/>
      </c>
    </row>
    <row r="2338" customFormat="false" ht="15" hidden="false" customHeight="true" outlineLevel="0" collapsed="false">
      <c r="G2338" s="1" t="str">
        <f aca="false">IF(C2338="","",INDEX(Akaun!$F$5:$F$150,MATCH(C2338,Akaun!$A$5:$A$150,0)))</f>
        <v/>
      </c>
      <c r="H2338" s="1" t="str">
        <f aca="false">IF(C2338="","",INDEX(Akaun!$D$5:$D$150,MATCH(C2338,Akaun!$A$5:$A$150,0)))</f>
        <v/>
      </c>
    </row>
    <row r="2339" customFormat="false" ht="15" hidden="false" customHeight="true" outlineLevel="0" collapsed="false">
      <c r="G2339" s="1" t="str">
        <f aca="false">IF(C2339="","",INDEX(Akaun!$F$5:$F$150,MATCH(C2339,Akaun!$A$5:$A$150,0)))</f>
        <v/>
      </c>
      <c r="H2339" s="1" t="str">
        <f aca="false">IF(C2339="","",INDEX(Akaun!$D$5:$D$150,MATCH(C2339,Akaun!$A$5:$A$150,0)))</f>
        <v/>
      </c>
    </row>
    <row r="2340" customFormat="false" ht="15" hidden="false" customHeight="true" outlineLevel="0" collapsed="false">
      <c r="G2340" s="1" t="str">
        <f aca="false">IF(C2340="","",INDEX(Akaun!$F$5:$F$150,MATCH(C2340,Akaun!$A$5:$A$150,0)))</f>
        <v/>
      </c>
      <c r="H2340" s="1" t="str">
        <f aca="false">IF(C2340="","",INDEX(Akaun!$D$5:$D$150,MATCH(C2340,Akaun!$A$5:$A$150,0)))</f>
        <v/>
      </c>
    </row>
    <row r="2341" customFormat="false" ht="15" hidden="false" customHeight="true" outlineLevel="0" collapsed="false">
      <c r="G2341" s="1" t="str">
        <f aca="false">IF(C2341="","",INDEX(Akaun!$F$5:$F$150,MATCH(C2341,Akaun!$A$5:$A$150,0)))</f>
        <v/>
      </c>
      <c r="H2341" s="1" t="str">
        <f aca="false">IF(C2341="","",INDEX(Akaun!$D$5:$D$150,MATCH(C2341,Akaun!$A$5:$A$150,0)))</f>
        <v/>
      </c>
    </row>
    <row r="2342" customFormat="false" ht="15" hidden="false" customHeight="true" outlineLevel="0" collapsed="false">
      <c r="G2342" s="1" t="str">
        <f aca="false">IF(C2342="","",INDEX(Akaun!$F$5:$F$150,MATCH(C2342,Akaun!$A$5:$A$150,0)))</f>
        <v/>
      </c>
      <c r="H2342" s="1" t="str">
        <f aca="false">IF(C2342="","",INDEX(Akaun!$D$5:$D$150,MATCH(C2342,Akaun!$A$5:$A$150,0)))</f>
        <v/>
      </c>
    </row>
    <row r="2343" customFormat="false" ht="15" hidden="false" customHeight="true" outlineLevel="0" collapsed="false">
      <c r="G2343" s="1" t="str">
        <f aca="false">IF(C2343="","",INDEX(Akaun!$F$5:$F$150,MATCH(C2343,Akaun!$A$5:$A$150,0)))</f>
        <v/>
      </c>
      <c r="H2343" s="1" t="str">
        <f aca="false">IF(C2343="","",INDEX(Akaun!$D$5:$D$150,MATCH(C2343,Akaun!$A$5:$A$150,0)))</f>
        <v/>
      </c>
    </row>
    <row r="2344" customFormat="false" ht="15" hidden="false" customHeight="true" outlineLevel="0" collapsed="false">
      <c r="G2344" s="1" t="str">
        <f aca="false">IF(C2344="","",INDEX(Akaun!$F$5:$F$150,MATCH(C2344,Akaun!$A$5:$A$150,0)))</f>
        <v/>
      </c>
      <c r="H2344" s="1" t="str">
        <f aca="false">IF(C2344="","",INDEX(Akaun!$D$5:$D$150,MATCH(C2344,Akaun!$A$5:$A$150,0)))</f>
        <v/>
      </c>
    </row>
    <row r="2345" customFormat="false" ht="15" hidden="false" customHeight="true" outlineLevel="0" collapsed="false">
      <c r="G2345" s="1" t="str">
        <f aca="false">IF(C2345="","",INDEX(Akaun!$F$5:$F$150,MATCH(C2345,Akaun!$A$5:$A$150,0)))</f>
        <v/>
      </c>
      <c r="H2345" s="1" t="str">
        <f aca="false">IF(C2345="","",INDEX(Akaun!$D$5:$D$150,MATCH(C2345,Akaun!$A$5:$A$150,0)))</f>
        <v/>
      </c>
    </row>
    <row r="2346" customFormat="false" ht="15" hidden="false" customHeight="true" outlineLevel="0" collapsed="false">
      <c r="G2346" s="1" t="str">
        <f aca="false">IF(C2346="","",INDEX(Akaun!$F$5:$F$150,MATCH(C2346,Akaun!$A$5:$A$150,0)))</f>
        <v/>
      </c>
      <c r="H2346" s="1" t="str">
        <f aca="false">IF(C2346="","",INDEX(Akaun!$D$5:$D$150,MATCH(C2346,Akaun!$A$5:$A$150,0)))</f>
        <v/>
      </c>
    </row>
    <row r="2347" customFormat="false" ht="15" hidden="false" customHeight="true" outlineLevel="0" collapsed="false">
      <c r="G2347" s="1" t="str">
        <f aca="false">IF(C2347="","",INDEX(Akaun!$F$5:$F$150,MATCH(C2347,Akaun!$A$5:$A$150,0)))</f>
        <v/>
      </c>
      <c r="H2347" s="1" t="str">
        <f aca="false">IF(C2347="","",INDEX(Akaun!$D$5:$D$150,MATCH(C2347,Akaun!$A$5:$A$150,0)))</f>
        <v/>
      </c>
    </row>
    <row r="2348" customFormat="false" ht="15" hidden="false" customHeight="true" outlineLevel="0" collapsed="false">
      <c r="G2348" s="1" t="str">
        <f aca="false">IF(C2348="","",INDEX(Akaun!$F$5:$F$150,MATCH(C2348,Akaun!$A$5:$A$150,0)))</f>
        <v/>
      </c>
      <c r="H2348" s="1" t="str">
        <f aca="false">IF(C2348="","",INDEX(Akaun!$D$5:$D$150,MATCH(C2348,Akaun!$A$5:$A$150,0)))</f>
        <v/>
      </c>
    </row>
    <row r="2349" customFormat="false" ht="15" hidden="false" customHeight="true" outlineLevel="0" collapsed="false">
      <c r="G2349" s="1" t="str">
        <f aca="false">IF(C2349="","",INDEX(Akaun!$F$5:$F$150,MATCH(C2349,Akaun!$A$5:$A$150,0)))</f>
        <v/>
      </c>
      <c r="H2349" s="1" t="str">
        <f aca="false">IF(C2349="","",INDEX(Akaun!$D$5:$D$150,MATCH(C2349,Akaun!$A$5:$A$150,0)))</f>
        <v/>
      </c>
    </row>
    <row r="2350" customFormat="false" ht="15" hidden="false" customHeight="true" outlineLevel="0" collapsed="false">
      <c r="G2350" s="1" t="str">
        <f aca="false">IF(C2350="","",INDEX(Akaun!$F$5:$F$150,MATCH(C2350,Akaun!$A$5:$A$150,0)))</f>
        <v/>
      </c>
      <c r="H2350" s="1" t="str">
        <f aca="false">IF(C2350="","",INDEX(Akaun!$D$5:$D$150,MATCH(C2350,Akaun!$A$5:$A$150,0)))</f>
        <v/>
      </c>
    </row>
    <row r="2351" customFormat="false" ht="15" hidden="false" customHeight="true" outlineLevel="0" collapsed="false">
      <c r="G2351" s="1" t="str">
        <f aca="false">IF(C2351="","",INDEX(Akaun!$F$5:$F$150,MATCH(C2351,Akaun!$A$5:$A$150,0)))</f>
        <v/>
      </c>
      <c r="H2351" s="1" t="str">
        <f aca="false">IF(C2351="","",INDEX(Akaun!$D$5:$D$150,MATCH(C2351,Akaun!$A$5:$A$150,0)))</f>
        <v/>
      </c>
    </row>
    <row r="2352" customFormat="false" ht="15" hidden="false" customHeight="true" outlineLevel="0" collapsed="false">
      <c r="G2352" s="1" t="str">
        <f aca="false">IF(C2352="","",INDEX(Akaun!$F$5:$F$150,MATCH(C2352,Akaun!$A$5:$A$150,0)))</f>
        <v/>
      </c>
      <c r="H2352" s="1" t="str">
        <f aca="false">IF(C2352="","",INDEX(Akaun!$D$5:$D$150,MATCH(C2352,Akaun!$A$5:$A$150,0)))</f>
        <v/>
      </c>
    </row>
    <row r="2353" customFormat="false" ht="15" hidden="false" customHeight="true" outlineLevel="0" collapsed="false">
      <c r="G2353" s="1" t="str">
        <f aca="false">IF(C2353="","",INDEX(Akaun!$F$5:$F$150,MATCH(C2353,Akaun!$A$5:$A$150,0)))</f>
        <v/>
      </c>
      <c r="H2353" s="1" t="str">
        <f aca="false">IF(C2353="","",INDEX(Akaun!$D$5:$D$150,MATCH(C2353,Akaun!$A$5:$A$150,0)))</f>
        <v/>
      </c>
    </row>
    <row r="2354" customFormat="false" ht="15" hidden="false" customHeight="true" outlineLevel="0" collapsed="false">
      <c r="G2354" s="1" t="str">
        <f aca="false">IF(C2354="","",INDEX(Akaun!$F$5:$F$150,MATCH(C2354,Akaun!$A$5:$A$150,0)))</f>
        <v/>
      </c>
      <c r="H2354" s="1" t="str">
        <f aca="false">IF(C2354="","",INDEX(Akaun!$D$5:$D$150,MATCH(C2354,Akaun!$A$5:$A$150,0)))</f>
        <v/>
      </c>
    </row>
    <row r="2355" customFormat="false" ht="15" hidden="false" customHeight="true" outlineLevel="0" collapsed="false">
      <c r="G2355" s="1" t="str">
        <f aca="false">IF(C2355="","",INDEX(Akaun!$F$5:$F$150,MATCH(C2355,Akaun!$A$5:$A$150,0)))</f>
        <v/>
      </c>
      <c r="H2355" s="1" t="str">
        <f aca="false">IF(C2355="","",INDEX(Akaun!$D$5:$D$150,MATCH(C2355,Akaun!$A$5:$A$150,0)))</f>
        <v/>
      </c>
    </row>
    <row r="2356" customFormat="false" ht="15" hidden="false" customHeight="true" outlineLevel="0" collapsed="false">
      <c r="G2356" s="1" t="str">
        <f aca="false">IF(C2356="","",INDEX(Akaun!$F$5:$F$150,MATCH(C2356,Akaun!$A$5:$A$150,0)))</f>
        <v/>
      </c>
      <c r="H2356" s="1" t="str">
        <f aca="false">IF(C2356="","",INDEX(Akaun!$D$5:$D$150,MATCH(C2356,Akaun!$A$5:$A$150,0)))</f>
        <v/>
      </c>
    </row>
    <row r="2357" customFormat="false" ht="15" hidden="false" customHeight="true" outlineLevel="0" collapsed="false">
      <c r="G2357" s="1" t="str">
        <f aca="false">IF(C2357="","",INDEX(Akaun!$F$5:$F$150,MATCH(C2357,Akaun!$A$5:$A$150,0)))</f>
        <v/>
      </c>
      <c r="H2357" s="1" t="str">
        <f aca="false">IF(C2357="","",INDEX(Akaun!$D$5:$D$150,MATCH(C2357,Akaun!$A$5:$A$150,0)))</f>
        <v/>
      </c>
    </row>
    <row r="2358" customFormat="false" ht="15" hidden="false" customHeight="true" outlineLevel="0" collapsed="false">
      <c r="G2358" s="1" t="str">
        <f aca="false">IF(C2358="","",INDEX(Akaun!$F$5:$F$150,MATCH(C2358,Akaun!$A$5:$A$150,0)))</f>
        <v/>
      </c>
      <c r="H2358" s="1" t="str">
        <f aca="false">IF(C2358="","",INDEX(Akaun!$D$5:$D$150,MATCH(C2358,Akaun!$A$5:$A$150,0)))</f>
        <v/>
      </c>
    </row>
    <row r="2359" customFormat="false" ht="15" hidden="false" customHeight="true" outlineLevel="0" collapsed="false">
      <c r="G2359" s="1" t="str">
        <f aca="false">IF(C2359="","",INDEX(Akaun!$F$5:$F$150,MATCH(C2359,Akaun!$A$5:$A$150,0)))</f>
        <v/>
      </c>
      <c r="H2359" s="1" t="str">
        <f aca="false">IF(C2359="","",INDEX(Akaun!$D$5:$D$150,MATCH(C2359,Akaun!$A$5:$A$150,0)))</f>
        <v/>
      </c>
    </row>
    <row r="2360" customFormat="false" ht="15" hidden="false" customHeight="true" outlineLevel="0" collapsed="false">
      <c r="G2360" s="1" t="str">
        <f aca="false">IF(C2360="","",INDEX(Akaun!$F$5:$F$150,MATCH(C2360,Akaun!$A$5:$A$150,0)))</f>
        <v/>
      </c>
      <c r="H2360" s="1" t="str">
        <f aca="false">IF(C2360="","",INDEX(Akaun!$D$5:$D$150,MATCH(C2360,Akaun!$A$5:$A$150,0)))</f>
        <v/>
      </c>
    </row>
    <row r="2361" customFormat="false" ht="15" hidden="false" customHeight="true" outlineLevel="0" collapsed="false">
      <c r="G2361" s="1" t="str">
        <f aca="false">IF(C2361="","",INDEX(Akaun!$F$5:$F$150,MATCH(C2361,Akaun!$A$5:$A$150,0)))</f>
        <v/>
      </c>
      <c r="H2361" s="1" t="str">
        <f aca="false">IF(C2361="","",INDEX(Akaun!$D$5:$D$150,MATCH(C2361,Akaun!$A$5:$A$150,0)))</f>
        <v/>
      </c>
    </row>
    <row r="2362" customFormat="false" ht="15" hidden="false" customHeight="true" outlineLevel="0" collapsed="false">
      <c r="G2362" s="1" t="str">
        <f aca="false">IF(C2362="","",INDEX(Akaun!$F$5:$F$150,MATCH(C2362,Akaun!$A$5:$A$150,0)))</f>
        <v/>
      </c>
      <c r="H2362" s="1" t="str">
        <f aca="false">IF(C2362="","",INDEX(Akaun!$D$5:$D$150,MATCH(C2362,Akaun!$A$5:$A$150,0)))</f>
        <v/>
      </c>
    </row>
    <row r="2363" customFormat="false" ht="15" hidden="false" customHeight="true" outlineLevel="0" collapsed="false">
      <c r="G2363" s="1" t="str">
        <f aca="false">IF(C2363="","",INDEX(Akaun!$F$5:$F$150,MATCH(C2363,Akaun!$A$5:$A$150,0)))</f>
        <v/>
      </c>
      <c r="H2363" s="1" t="str">
        <f aca="false">IF(C2363="","",INDEX(Akaun!$D$5:$D$150,MATCH(C2363,Akaun!$A$5:$A$150,0)))</f>
        <v/>
      </c>
    </row>
    <row r="2364" customFormat="false" ht="15" hidden="false" customHeight="true" outlineLevel="0" collapsed="false">
      <c r="G2364" s="1" t="str">
        <f aca="false">IF(C2364="","",INDEX(Akaun!$F$5:$F$150,MATCH(C2364,Akaun!$A$5:$A$150,0)))</f>
        <v/>
      </c>
      <c r="H2364" s="1" t="str">
        <f aca="false">IF(C2364="","",INDEX(Akaun!$D$5:$D$150,MATCH(C2364,Akaun!$A$5:$A$150,0)))</f>
        <v/>
      </c>
    </row>
    <row r="2365" customFormat="false" ht="15" hidden="false" customHeight="true" outlineLevel="0" collapsed="false">
      <c r="G2365" s="1" t="str">
        <f aca="false">IF(C2365="","",INDEX(Akaun!$F$5:$F$150,MATCH(C2365,Akaun!$A$5:$A$150,0)))</f>
        <v/>
      </c>
      <c r="H2365" s="1" t="str">
        <f aca="false">IF(C2365="","",INDEX(Akaun!$D$5:$D$150,MATCH(C2365,Akaun!$A$5:$A$150,0)))</f>
        <v/>
      </c>
    </row>
    <row r="2366" customFormat="false" ht="15" hidden="false" customHeight="true" outlineLevel="0" collapsed="false">
      <c r="G2366" s="1" t="str">
        <f aca="false">IF(C2366="","",INDEX(Akaun!$F$5:$F$150,MATCH(C2366,Akaun!$A$5:$A$150,0)))</f>
        <v/>
      </c>
      <c r="H2366" s="1" t="str">
        <f aca="false">IF(C2366="","",INDEX(Akaun!$D$5:$D$150,MATCH(C2366,Akaun!$A$5:$A$150,0)))</f>
        <v/>
      </c>
    </row>
    <row r="2367" customFormat="false" ht="15" hidden="false" customHeight="true" outlineLevel="0" collapsed="false">
      <c r="G2367" s="1" t="str">
        <f aca="false">IF(C2367="","",INDEX(Akaun!$F$5:$F$150,MATCH(C2367,Akaun!$A$5:$A$150,0)))</f>
        <v/>
      </c>
      <c r="H2367" s="1" t="str">
        <f aca="false">IF(C2367="","",INDEX(Akaun!$D$5:$D$150,MATCH(C2367,Akaun!$A$5:$A$150,0)))</f>
        <v/>
      </c>
    </row>
    <row r="2368" customFormat="false" ht="15" hidden="false" customHeight="true" outlineLevel="0" collapsed="false">
      <c r="G2368" s="1" t="str">
        <f aca="false">IF(C2368="","",INDEX(Akaun!$F$5:$F$150,MATCH(C2368,Akaun!$A$5:$A$150,0)))</f>
        <v/>
      </c>
      <c r="H2368" s="1" t="str">
        <f aca="false">IF(C2368="","",INDEX(Akaun!$D$5:$D$150,MATCH(C2368,Akaun!$A$5:$A$150,0)))</f>
        <v/>
      </c>
    </row>
    <row r="2369" customFormat="false" ht="15" hidden="false" customHeight="true" outlineLevel="0" collapsed="false">
      <c r="G2369" s="1" t="str">
        <f aca="false">IF(C2369="","",INDEX(Akaun!$F$5:$F$150,MATCH(C2369,Akaun!$A$5:$A$150,0)))</f>
        <v/>
      </c>
      <c r="H2369" s="1" t="str">
        <f aca="false">IF(C2369="","",INDEX(Akaun!$D$5:$D$150,MATCH(C2369,Akaun!$A$5:$A$150,0)))</f>
        <v/>
      </c>
    </row>
    <row r="2370" customFormat="false" ht="15" hidden="false" customHeight="true" outlineLevel="0" collapsed="false">
      <c r="G2370" s="1" t="str">
        <f aca="false">IF(C2370="","",INDEX(Akaun!$F$5:$F$150,MATCH(C2370,Akaun!$A$5:$A$150,0)))</f>
        <v/>
      </c>
      <c r="H2370" s="1" t="str">
        <f aca="false">IF(C2370="","",INDEX(Akaun!$D$5:$D$150,MATCH(C2370,Akaun!$A$5:$A$150,0)))</f>
        <v/>
      </c>
    </row>
    <row r="2371" customFormat="false" ht="15" hidden="false" customHeight="true" outlineLevel="0" collapsed="false">
      <c r="G2371" s="1" t="str">
        <f aca="false">IF(C2371="","",INDEX(Akaun!$F$5:$F$150,MATCH(C2371,Akaun!$A$5:$A$150,0)))</f>
        <v/>
      </c>
      <c r="H2371" s="1" t="str">
        <f aca="false">IF(C2371="","",INDEX(Akaun!$D$5:$D$150,MATCH(C2371,Akaun!$A$5:$A$150,0)))</f>
        <v/>
      </c>
    </row>
    <row r="2372" customFormat="false" ht="15" hidden="false" customHeight="true" outlineLevel="0" collapsed="false">
      <c r="G2372" s="1" t="str">
        <f aca="false">IF(C2372="","",INDEX(Akaun!$F$5:$F$150,MATCH(C2372,Akaun!$A$5:$A$150,0)))</f>
        <v/>
      </c>
      <c r="H2372" s="1" t="str">
        <f aca="false">IF(C2372="","",INDEX(Akaun!$D$5:$D$150,MATCH(C2372,Akaun!$A$5:$A$150,0)))</f>
        <v/>
      </c>
    </row>
    <row r="2373" customFormat="false" ht="15" hidden="false" customHeight="true" outlineLevel="0" collapsed="false">
      <c r="G2373" s="1" t="str">
        <f aca="false">IF(C2373="","",INDEX(Akaun!$F$5:$F$150,MATCH(C2373,Akaun!$A$5:$A$150,0)))</f>
        <v/>
      </c>
      <c r="H2373" s="1" t="str">
        <f aca="false">IF(C2373="","",INDEX(Akaun!$D$5:$D$150,MATCH(C2373,Akaun!$A$5:$A$150,0)))</f>
        <v/>
      </c>
    </row>
    <row r="2374" customFormat="false" ht="15" hidden="false" customHeight="true" outlineLevel="0" collapsed="false">
      <c r="G2374" s="1" t="str">
        <f aca="false">IF(C2374="","",INDEX(Akaun!$F$5:$F$150,MATCH(C2374,Akaun!$A$5:$A$150,0)))</f>
        <v/>
      </c>
      <c r="H2374" s="1" t="str">
        <f aca="false">IF(C2374="","",INDEX(Akaun!$D$5:$D$150,MATCH(C2374,Akaun!$A$5:$A$150,0)))</f>
        <v/>
      </c>
    </row>
    <row r="2375" customFormat="false" ht="15" hidden="false" customHeight="true" outlineLevel="0" collapsed="false">
      <c r="G2375" s="1" t="str">
        <f aca="false">IF(C2375="","",INDEX(Akaun!$F$5:$F$150,MATCH(C2375,Akaun!$A$5:$A$150,0)))</f>
        <v/>
      </c>
      <c r="H2375" s="1" t="str">
        <f aca="false">IF(C2375="","",INDEX(Akaun!$D$5:$D$150,MATCH(C2375,Akaun!$A$5:$A$150,0)))</f>
        <v/>
      </c>
    </row>
    <row r="2376" customFormat="false" ht="15" hidden="false" customHeight="true" outlineLevel="0" collapsed="false">
      <c r="G2376" s="1" t="str">
        <f aca="false">IF(C2376="","",INDEX(Akaun!$F$5:$F$150,MATCH(C2376,Akaun!$A$5:$A$150,0)))</f>
        <v/>
      </c>
      <c r="H2376" s="1" t="str">
        <f aca="false">IF(C2376="","",INDEX(Akaun!$D$5:$D$150,MATCH(C2376,Akaun!$A$5:$A$150,0)))</f>
        <v/>
      </c>
    </row>
    <row r="2377" customFormat="false" ht="15" hidden="false" customHeight="true" outlineLevel="0" collapsed="false">
      <c r="G2377" s="1" t="str">
        <f aca="false">IF(C2377="","",INDEX(Akaun!$F$5:$F$150,MATCH(C2377,Akaun!$A$5:$A$150,0)))</f>
        <v/>
      </c>
      <c r="H2377" s="1" t="str">
        <f aca="false">IF(C2377="","",INDEX(Akaun!$D$5:$D$150,MATCH(C2377,Akaun!$A$5:$A$150,0)))</f>
        <v/>
      </c>
    </row>
    <row r="2378" customFormat="false" ht="15" hidden="false" customHeight="true" outlineLevel="0" collapsed="false">
      <c r="G2378" s="1" t="str">
        <f aca="false">IF(C2378="","",INDEX(Akaun!$F$5:$F$150,MATCH(C2378,Akaun!$A$5:$A$150,0)))</f>
        <v/>
      </c>
      <c r="H2378" s="1" t="str">
        <f aca="false">IF(C2378="","",INDEX(Akaun!$D$5:$D$150,MATCH(C2378,Akaun!$A$5:$A$150,0)))</f>
        <v/>
      </c>
    </row>
    <row r="2379" customFormat="false" ht="15" hidden="false" customHeight="true" outlineLevel="0" collapsed="false">
      <c r="G2379" s="1" t="str">
        <f aca="false">IF(C2379="","",INDEX(Akaun!$F$5:$F$150,MATCH(C2379,Akaun!$A$5:$A$150,0)))</f>
        <v/>
      </c>
      <c r="H2379" s="1" t="str">
        <f aca="false">IF(C2379="","",INDEX(Akaun!$D$5:$D$150,MATCH(C2379,Akaun!$A$5:$A$150,0)))</f>
        <v/>
      </c>
    </row>
    <row r="2380" customFormat="false" ht="15" hidden="false" customHeight="true" outlineLevel="0" collapsed="false">
      <c r="G2380" s="1" t="str">
        <f aca="false">IF(C2380="","",INDEX(Akaun!$F$5:$F$150,MATCH(C2380,Akaun!$A$5:$A$150,0)))</f>
        <v/>
      </c>
      <c r="H2380" s="1" t="str">
        <f aca="false">IF(C2380="","",INDEX(Akaun!$D$5:$D$150,MATCH(C2380,Akaun!$A$5:$A$150,0)))</f>
        <v/>
      </c>
    </row>
    <row r="2381" customFormat="false" ht="15" hidden="false" customHeight="true" outlineLevel="0" collapsed="false">
      <c r="G2381" s="1" t="str">
        <f aca="false">IF(C2381="","",INDEX(Akaun!$F$5:$F$150,MATCH(C2381,Akaun!$A$5:$A$150,0)))</f>
        <v/>
      </c>
      <c r="H2381" s="1" t="str">
        <f aca="false">IF(C2381="","",INDEX(Akaun!$D$5:$D$150,MATCH(C2381,Akaun!$A$5:$A$150,0)))</f>
        <v/>
      </c>
    </row>
    <row r="2382" customFormat="false" ht="15" hidden="false" customHeight="true" outlineLevel="0" collapsed="false">
      <c r="G2382" s="1" t="str">
        <f aca="false">IF(C2382="","",INDEX(Akaun!$F$5:$F$150,MATCH(C2382,Akaun!$A$5:$A$150,0)))</f>
        <v/>
      </c>
      <c r="H2382" s="1" t="str">
        <f aca="false">IF(C2382="","",INDEX(Akaun!$D$5:$D$150,MATCH(C2382,Akaun!$A$5:$A$150,0)))</f>
        <v/>
      </c>
    </row>
    <row r="2383" customFormat="false" ht="15" hidden="false" customHeight="true" outlineLevel="0" collapsed="false">
      <c r="G2383" s="1" t="str">
        <f aca="false">IF(C2383="","",INDEX(Akaun!$F$5:$F$150,MATCH(C2383,Akaun!$A$5:$A$150,0)))</f>
        <v/>
      </c>
      <c r="H2383" s="1" t="str">
        <f aca="false">IF(C2383="","",INDEX(Akaun!$D$5:$D$150,MATCH(C2383,Akaun!$A$5:$A$150,0)))</f>
        <v/>
      </c>
    </row>
    <row r="2384" customFormat="false" ht="15" hidden="false" customHeight="true" outlineLevel="0" collapsed="false">
      <c r="G2384" s="1" t="str">
        <f aca="false">IF(C2384="","",INDEX(Akaun!$F$5:$F$150,MATCH(C2384,Akaun!$A$5:$A$150,0)))</f>
        <v/>
      </c>
      <c r="H2384" s="1" t="str">
        <f aca="false">IF(C2384="","",INDEX(Akaun!$D$5:$D$150,MATCH(C2384,Akaun!$A$5:$A$150,0)))</f>
        <v/>
      </c>
    </row>
    <row r="2385" customFormat="false" ht="15" hidden="false" customHeight="true" outlineLevel="0" collapsed="false">
      <c r="G2385" s="1" t="str">
        <f aca="false">IF(C2385="","",INDEX(Akaun!$F$5:$F$150,MATCH(C2385,Akaun!$A$5:$A$150,0)))</f>
        <v/>
      </c>
      <c r="H2385" s="1" t="str">
        <f aca="false">IF(C2385="","",INDEX(Akaun!$D$5:$D$150,MATCH(C2385,Akaun!$A$5:$A$150,0)))</f>
        <v/>
      </c>
    </row>
    <row r="2386" customFormat="false" ht="15" hidden="false" customHeight="true" outlineLevel="0" collapsed="false">
      <c r="G2386" s="1" t="str">
        <f aca="false">IF(C2386="","",INDEX(Akaun!$F$5:$F$150,MATCH(C2386,Akaun!$A$5:$A$150,0)))</f>
        <v/>
      </c>
      <c r="H2386" s="1" t="str">
        <f aca="false">IF(C2386="","",INDEX(Akaun!$D$5:$D$150,MATCH(C2386,Akaun!$A$5:$A$150,0)))</f>
        <v/>
      </c>
    </row>
    <row r="2387" customFormat="false" ht="15" hidden="false" customHeight="true" outlineLevel="0" collapsed="false">
      <c r="G2387" s="1" t="str">
        <f aca="false">IF(C2387="","",INDEX(Akaun!$F$5:$F$150,MATCH(C2387,Akaun!$A$5:$A$150,0)))</f>
        <v/>
      </c>
      <c r="H2387" s="1" t="str">
        <f aca="false">IF(C2387="","",INDEX(Akaun!$D$5:$D$150,MATCH(C2387,Akaun!$A$5:$A$150,0)))</f>
        <v/>
      </c>
    </row>
    <row r="2388" customFormat="false" ht="15" hidden="false" customHeight="true" outlineLevel="0" collapsed="false">
      <c r="G2388" s="1" t="str">
        <f aca="false">IF(C2388="","",INDEX(Akaun!$F$5:$F$150,MATCH(C2388,Akaun!$A$5:$A$150,0)))</f>
        <v/>
      </c>
      <c r="H2388" s="1" t="str">
        <f aca="false">IF(C2388="","",INDEX(Akaun!$D$5:$D$150,MATCH(C2388,Akaun!$A$5:$A$150,0)))</f>
        <v/>
      </c>
    </row>
    <row r="2389" customFormat="false" ht="15" hidden="false" customHeight="true" outlineLevel="0" collapsed="false">
      <c r="G2389" s="1" t="str">
        <f aca="false">IF(C2389="","",INDEX(Akaun!$F$5:$F$150,MATCH(C2389,Akaun!$A$5:$A$150,0)))</f>
        <v/>
      </c>
      <c r="H2389" s="1" t="str">
        <f aca="false">IF(C2389="","",INDEX(Akaun!$D$5:$D$150,MATCH(C2389,Akaun!$A$5:$A$150,0)))</f>
        <v/>
      </c>
    </row>
    <row r="2390" customFormat="false" ht="15" hidden="false" customHeight="true" outlineLevel="0" collapsed="false">
      <c r="G2390" s="1" t="str">
        <f aca="false">IF(C2390="","",INDEX(Akaun!$F$5:$F$150,MATCH(C2390,Akaun!$A$5:$A$150,0)))</f>
        <v/>
      </c>
      <c r="H2390" s="1" t="str">
        <f aca="false">IF(C2390="","",INDEX(Akaun!$D$5:$D$150,MATCH(C2390,Akaun!$A$5:$A$150,0)))</f>
        <v/>
      </c>
    </row>
    <row r="2391" customFormat="false" ht="15" hidden="false" customHeight="true" outlineLevel="0" collapsed="false">
      <c r="G2391" s="1" t="str">
        <f aca="false">IF(C2391="","",INDEX(Akaun!$F$5:$F$150,MATCH(C2391,Akaun!$A$5:$A$150,0)))</f>
        <v/>
      </c>
      <c r="H2391" s="1" t="str">
        <f aca="false">IF(C2391="","",INDEX(Akaun!$D$5:$D$150,MATCH(C2391,Akaun!$A$5:$A$150,0)))</f>
        <v/>
      </c>
    </row>
    <row r="2392" customFormat="false" ht="15" hidden="false" customHeight="true" outlineLevel="0" collapsed="false">
      <c r="G2392" s="1" t="str">
        <f aca="false">IF(C2392="","",INDEX(Akaun!$F$5:$F$150,MATCH(C2392,Akaun!$A$5:$A$150,0)))</f>
        <v/>
      </c>
      <c r="H2392" s="1" t="str">
        <f aca="false">IF(C2392="","",INDEX(Akaun!$D$5:$D$150,MATCH(C2392,Akaun!$A$5:$A$150,0)))</f>
        <v/>
      </c>
    </row>
    <row r="2393" customFormat="false" ht="15" hidden="false" customHeight="true" outlineLevel="0" collapsed="false">
      <c r="G2393" s="1" t="str">
        <f aca="false">IF(C2393="","",INDEX(Akaun!$F$5:$F$150,MATCH(C2393,Akaun!$A$5:$A$150,0)))</f>
        <v/>
      </c>
      <c r="H2393" s="1" t="str">
        <f aca="false">IF(C2393="","",INDEX(Akaun!$D$5:$D$150,MATCH(C2393,Akaun!$A$5:$A$150,0)))</f>
        <v/>
      </c>
    </row>
    <row r="2394" customFormat="false" ht="15" hidden="false" customHeight="true" outlineLevel="0" collapsed="false">
      <c r="G2394" s="1" t="str">
        <f aca="false">IF(C2394="","",INDEX(Akaun!$F$5:$F$150,MATCH(C2394,Akaun!$A$5:$A$150,0)))</f>
        <v/>
      </c>
      <c r="H2394" s="1" t="str">
        <f aca="false">IF(C2394="","",INDEX(Akaun!$D$5:$D$150,MATCH(C2394,Akaun!$A$5:$A$150,0)))</f>
        <v/>
      </c>
    </row>
    <row r="2395" customFormat="false" ht="15" hidden="false" customHeight="true" outlineLevel="0" collapsed="false">
      <c r="G2395" s="1" t="str">
        <f aca="false">IF(C2395="","",INDEX(Akaun!$F$5:$F$150,MATCH(C2395,Akaun!$A$5:$A$150,0)))</f>
        <v/>
      </c>
      <c r="H2395" s="1" t="str">
        <f aca="false">IF(C2395="","",INDEX(Akaun!$D$5:$D$150,MATCH(C2395,Akaun!$A$5:$A$150,0)))</f>
        <v/>
      </c>
    </row>
    <row r="2396" customFormat="false" ht="15" hidden="false" customHeight="true" outlineLevel="0" collapsed="false">
      <c r="G2396" s="1" t="str">
        <f aca="false">IF(C2396="","",INDEX(Akaun!$F$5:$F$150,MATCH(C2396,Akaun!$A$5:$A$150,0)))</f>
        <v/>
      </c>
      <c r="H2396" s="1" t="str">
        <f aca="false">IF(C2396="","",INDEX(Akaun!$D$5:$D$150,MATCH(C2396,Akaun!$A$5:$A$150,0)))</f>
        <v/>
      </c>
    </row>
    <row r="2397" customFormat="false" ht="15" hidden="false" customHeight="true" outlineLevel="0" collapsed="false">
      <c r="G2397" s="1" t="str">
        <f aca="false">IF(C2397="","",INDEX(Akaun!$F$5:$F$150,MATCH(C2397,Akaun!$A$5:$A$150,0)))</f>
        <v/>
      </c>
      <c r="H2397" s="1" t="str">
        <f aca="false">IF(C2397="","",INDEX(Akaun!$D$5:$D$150,MATCH(C2397,Akaun!$A$5:$A$150,0)))</f>
        <v/>
      </c>
    </row>
    <row r="2398" customFormat="false" ht="15" hidden="false" customHeight="true" outlineLevel="0" collapsed="false">
      <c r="G2398" s="1" t="str">
        <f aca="false">IF(C2398="","",INDEX(Akaun!$F$5:$F$150,MATCH(C2398,Akaun!$A$5:$A$150,0)))</f>
        <v/>
      </c>
      <c r="H2398" s="1" t="str">
        <f aca="false">IF(C2398="","",INDEX(Akaun!$D$5:$D$150,MATCH(C2398,Akaun!$A$5:$A$150,0)))</f>
        <v/>
      </c>
    </row>
    <row r="2399" customFormat="false" ht="15" hidden="false" customHeight="true" outlineLevel="0" collapsed="false">
      <c r="G2399" s="1" t="str">
        <f aca="false">IF(C2399="","",INDEX(Akaun!$F$5:$F$150,MATCH(C2399,Akaun!$A$5:$A$150,0)))</f>
        <v/>
      </c>
      <c r="H2399" s="1" t="str">
        <f aca="false">IF(C2399="","",INDEX(Akaun!$D$5:$D$150,MATCH(C2399,Akaun!$A$5:$A$150,0)))</f>
        <v/>
      </c>
    </row>
    <row r="2400" customFormat="false" ht="15" hidden="false" customHeight="true" outlineLevel="0" collapsed="false">
      <c r="G2400" s="1" t="str">
        <f aca="false">IF(C2400="","",INDEX(Akaun!$F$5:$F$150,MATCH(C2400,Akaun!$A$5:$A$150,0)))</f>
        <v/>
      </c>
      <c r="H2400" s="1" t="str">
        <f aca="false">IF(C2400="","",INDEX(Akaun!$D$5:$D$150,MATCH(C2400,Akaun!$A$5:$A$150,0)))</f>
        <v/>
      </c>
    </row>
    <row r="2401" customFormat="false" ht="15" hidden="false" customHeight="true" outlineLevel="0" collapsed="false">
      <c r="G2401" s="1" t="str">
        <f aca="false">IF(C2401="","",INDEX(Akaun!$F$5:$F$150,MATCH(C2401,Akaun!$A$5:$A$150,0)))</f>
        <v/>
      </c>
      <c r="H2401" s="1" t="str">
        <f aca="false">IF(C2401="","",INDEX(Akaun!$D$5:$D$150,MATCH(C2401,Akaun!$A$5:$A$150,0)))</f>
        <v/>
      </c>
    </row>
    <row r="2402" customFormat="false" ht="15" hidden="false" customHeight="true" outlineLevel="0" collapsed="false">
      <c r="G2402" s="1" t="str">
        <f aca="false">IF(C2402="","",INDEX(Akaun!$F$5:$F$150,MATCH(C2402,Akaun!$A$5:$A$150,0)))</f>
        <v/>
      </c>
      <c r="H2402" s="1" t="str">
        <f aca="false">IF(C2402="","",INDEX(Akaun!$D$5:$D$150,MATCH(C2402,Akaun!$A$5:$A$150,0)))</f>
        <v/>
      </c>
    </row>
    <row r="2403" customFormat="false" ht="15" hidden="false" customHeight="true" outlineLevel="0" collapsed="false">
      <c r="G2403" s="1" t="str">
        <f aca="false">IF(C2403="","",INDEX(Akaun!$F$5:$F$150,MATCH(C2403,Akaun!$A$5:$A$150,0)))</f>
        <v/>
      </c>
      <c r="H2403" s="1" t="str">
        <f aca="false">IF(C2403="","",INDEX(Akaun!$D$5:$D$150,MATCH(C2403,Akaun!$A$5:$A$150,0)))</f>
        <v/>
      </c>
    </row>
    <row r="2404" customFormat="false" ht="15" hidden="false" customHeight="true" outlineLevel="0" collapsed="false">
      <c r="G2404" s="1" t="str">
        <f aca="false">IF(C2404="","",INDEX(Akaun!$F$5:$F$150,MATCH(C2404,Akaun!$A$5:$A$150,0)))</f>
        <v/>
      </c>
      <c r="H2404" s="1" t="str">
        <f aca="false">IF(C2404="","",INDEX(Akaun!$D$5:$D$150,MATCH(C2404,Akaun!$A$5:$A$150,0)))</f>
        <v/>
      </c>
    </row>
    <row r="2405" customFormat="false" ht="15" hidden="false" customHeight="true" outlineLevel="0" collapsed="false">
      <c r="G2405" s="1" t="str">
        <f aca="false">IF(C2405="","",INDEX(Akaun!$F$5:$F$150,MATCH(C2405,Akaun!$A$5:$A$150,0)))</f>
        <v/>
      </c>
      <c r="H2405" s="1" t="str">
        <f aca="false">IF(C2405="","",INDEX(Akaun!$D$5:$D$150,MATCH(C2405,Akaun!$A$5:$A$150,0)))</f>
        <v/>
      </c>
    </row>
    <row r="2406" customFormat="false" ht="15" hidden="false" customHeight="true" outlineLevel="0" collapsed="false">
      <c r="G2406" s="1" t="str">
        <f aca="false">IF(C2406="","",INDEX(Akaun!$F$5:$F$150,MATCH(C2406,Akaun!$A$5:$A$150,0)))</f>
        <v/>
      </c>
      <c r="H2406" s="1" t="str">
        <f aca="false">IF(C2406="","",INDEX(Akaun!$D$5:$D$150,MATCH(C2406,Akaun!$A$5:$A$150,0)))</f>
        <v/>
      </c>
    </row>
    <row r="2407" customFormat="false" ht="15" hidden="false" customHeight="true" outlineLevel="0" collapsed="false">
      <c r="G2407" s="1" t="str">
        <f aca="false">IF(C2407="","",INDEX(Akaun!$F$5:$F$150,MATCH(C2407,Akaun!$A$5:$A$150,0)))</f>
        <v/>
      </c>
      <c r="H2407" s="1" t="str">
        <f aca="false">IF(C2407="","",INDEX(Akaun!$D$5:$D$150,MATCH(C2407,Akaun!$A$5:$A$150,0)))</f>
        <v/>
      </c>
    </row>
    <row r="2408" customFormat="false" ht="15" hidden="false" customHeight="true" outlineLevel="0" collapsed="false">
      <c r="G2408" s="1" t="str">
        <f aca="false">IF(C2408="","",INDEX(Akaun!$F$5:$F$150,MATCH(C2408,Akaun!$A$5:$A$150,0)))</f>
        <v/>
      </c>
      <c r="H2408" s="1" t="str">
        <f aca="false">IF(C2408="","",INDEX(Akaun!$D$5:$D$150,MATCH(C2408,Akaun!$A$5:$A$150,0)))</f>
        <v/>
      </c>
    </row>
    <row r="2409" customFormat="false" ht="15" hidden="false" customHeight="true" outlineLevel="0" collapsed="false">
      <c r="G2409" s="1" t="str">
        <f aca="false">IF(C2409="","",INDEX(Akaun!$F$5:$F$150,MATCH(C2409,Akaun!$A$5:$A$150,0)))</f>
        <v/>
      </c>
      <c r="H2409" s="1" t="str">
        <f aca="false">IF(C2409="","",INDEX(Akaun!$D$5:$D$150,MATCH(C2409,Akaun!$A$5:$A$150,0)))</f>
        <v/>
      </c>
    </row>
    <row r="2410" customFormat="false" ht="15" hidden="false" customHeight="true" outlineLevel="0" collapsed="false">
      <c r="G2410" s="1" t="str">
        <f aca="false">IF(C2410="","",INDEX(Akaun!$F$5:$F$150,MATCH(C2410,Akaun!$A$5:$A$150,0)))</f>
        <v/>
      </c>
      <c r="H2410" s="1" t="str">
        <f aca="false">IF(C2410="","",INDEX(Akaun!$D$5:$D$150,MATCH(C2410,Akaun!$A$5:$A$150,0)))</f>
        <v/>
      </c>
    </row>
    <row r="2411" customFormat="false" ht="15" hidden="false" customHeight="true" outlineLevel="0" collapsed="false">
      <c r="G2411" s="1" t="str">
        <f aca="false">IF(C2411="","",INDEX(Akaun!$F$5:$F$150,MATCH(C2411,Akaun!$A$5:$A$150,0)))</f>
        <v/>
      </c>
      <c r="H2411" s="1" t="str">
        <f aca="false">IF(C2411="","",INDEX(Akaun!$D$5:$D$150,MATCH(C2411,Akaun!$A$5:$A$150,0)))</f>
        <v/>
      </c>
    </row>
    <row r="2412" customFormat="false" ht="15" hidden="false" customHeight="true" outlineLevel="0" collapsed="false">
      <c r="G2412" s="1" t="str">
        <f aca="false">IF(C2412="","",INDEX(Akaun!$F$5:$F$150,MATCH(C2412,Akaun!$A$5:$A$150,0)))</f>
        <v/>
      </c>
      <c r="H2412" s="1" t="str">
        <f aca="false">IF(C2412="","",INDEX(Akaun!$D$5:$D$150,MATCH(C2412,Akaun!$A$5:$A$150,0)))</f>
        <v/>
      </c>
    </row>
    <row r="2413" customFormat="false" ht="15" hidden="false" customHeight="true" outlineLevel="0" collapsed="false">
      <c r="G2413" s="1" t="str">
        <f aca="false">IF(C2413="","",INDEX(Akaun!$F$5:$F$150,MATCH(C2413,Akaun!$A$5:$A$150,0)))</f>
        <v/>
      </c>
      <c r="H2413" s="1" t="str">
        <f aca="false">IF(C2413="","",INDEX(Akaun!$D$5:$D$150,MATCH(C2413,Akaun!$A$5:$A$150,0)))</f>
        <v/>
      </c>
    </row>
    <row r="2414" customFormat="false" ht="15" hidden="false" customHeight="true" outlineLevel="0" collapsed="false">
      <c r="G2414" s="1" t="str">
        <f aca="false">IF(C2414="","",INDEX(Akaun!$F$5:$F$150,MATCH(C2414,Akaun!$A$5:$A$150,0)))</f>
        <v/>
      </c>
      <c r="H2414" s="1" t="str">
        <f aca="false">IF(C2414="","",INDEX(Akaun!$D$5:$D$150,MATCH(C2414,Akaun!$A$5:$A$150,0)))</f>
        <v/>
      </c>
    </row>
    <row r="2415" customFormat="false" ht="15" hidden="false" customHeight="true" outlineLevel="0" collapsed="false">
      <c r="G2415" s="1" t="str">
        <f aca="false">IF(C2415="","",INDEX(Akaun!$F$5:$F$150,MATCH(C2415,Akaun!$A$5:$A$150,0)))</f>
        <v/>
      </c>
      <c r="H2415" s="1" t="str">
        <f aca="false">IF(C2415="","",INDEX(Akaun!$D$5:$D$150,MATCH(C2415,Akaun!$A$5:$A$150,0)))</f>
        <v/>
      </c>
    </row>
    <row r="2416" customFormat="false" ht="15" hidden="false" customHeight="true" outlineLevel="0" collapsed="false">
      <c r="G2416" s="1" t="str">
        <f aca="false">IF(C2416="","",INDEX(Akaun!$F$5:$F$150,MATCH(C2416,Akaun!$A$5:$A$150,0)))</f>
        <v/>
      </c>
      <c r="H2416" s="1" t="str">
        <f aca="false">IF(C2416="","",INDEX(Akaun!$D$5:$D$150,MATCH(C2416,Akaun!$A$5:$A$150,0)))</f>
        <v/>
      </c>
    </row>
    <row r="2417" customFormat="false" ht="15" hidden="false" customHeight="true" outlineLevel="0" collapsed="false">
      <c r="G2417" s="1" t="str">
        <f aca="false">IF(C2417="","",INDEX(Akaun!$F$5:$F$150,MATCH(C2417,Akaun!$A$5:$A$150,0)))</f>
        <v/>
      </c>
      <c r="H2417" s="1" t="str">
        <f aca="false">IF(C2417="","",INDEX(Akaun!$D$5:$D$150,MATCH(C2417,Akaun!$A$5:$A$150,0)))</f>
        <v/>
      </c>
    </row>
    <row r="2418" customFormat="false" ht="15" hidden="false" customHeight="true" outlineLevel="0" collapsed="false">
      <c r="G2418" s="1" t="str">
        <f aca="false">IF(C2418="","",INDEX(Akaun!$F$5:$F$150,MATCH(C2418,Akaun!$A$5:$A$150,0)))</f>
        <v/>
      </c>
      <c r="H2418" s="1" t="str">
        <f aca="false">IF(C2418="","",INDEX(Akaun!$D$5:$D$150,MATCH(C2418,Akaun!$A$5:$A$150,0)))</f>
        <v/>
      </c>
    </row>
    <row r="2419" customFormat="false" ht="15" hidden="false" customHeight="true" outlineLevel="0" collapsed="false">
      <c r="G2419" s="1" t="str">
        <f aca="false">IF(C2419="","",INDEX(Akaun!$F$5:$F$150,MATCH(C2419,Akaun!$A$5:$A$150,0)))</f>
        <v/>
      </c>
      <c r="H2419" s="1" t="str">
        <f aca="false">IF(C2419="","",INDEX(Akaun!$D$5:$D$150,MATCH(C2419,Akaun!$A$5:$A$150,0)))</f>
        <v/>
      </c>
    </row>
    <row r="2420" customFormat="false" ht="15" hidden="false" customHeight="true" outlineLevel="0" collapsed="false">
      <c r="G2420" s="1" t="str">
        <f aca="false">IF(C2420="","",INDEX(Akaun!$F$5:$F$150,MATCH(C2420,Akaun!$A$5:$A$150,0)))</f>
        <v/>
      </c>
      <c r="H2420" s="1" t="str">
        <f aca="false">IF(C2420="","",INDEX(Akaun!$D$5:$D$150,MATCH(C2420,Akaun!$A$5:$A$150,0)))</f>
        <v/>
      </c>
    </row>
    <row r="2421" customFormat="false" ht="15" hidden="false" customHeight="true" outlineLevel="0" collapsed="false">
      <c r="G2421" s="1" t="str">
        <f aca="false">IF(C2421="","",INDEX(Akaun!$F$5:$F$150,MATCH(C2421,Akaun!$A$5:$A$150,0)))</f>
        <v/>
      </c>
      <c r="H2421" s="1" t="str">
        <f aca="false">IF(C2421="","",INDEX(Akaun!$D$5:$D$150,MATCH(C2421,Akaun!$A$5:$A$150,0)))</f>
        <v/>
      </c>
    </row>
    <row r="2422" customFormat="false" ht="15" hidden="false" customHeight="true" outlineLevel="0" collapsed="false">
      <c r="G2422" s="1" t="str">
        <f aca="false">IF(C2422="","",INDEX(Akaun!$F$5:$F$150,MATCH(C2422,Akaun!$A$5:$A$150,0)))</f>
        <v/>
      </c>
      <c r="H2422" s="1" t="str">
        <f aca="false">IF(C2422="","",INDEX(Akaun!$D$5:$D$150,MATCH(C2422,Akaun!$A$5:$A$150,0)))</f>
        <v/>
      </c>
    </row>
    <row r="2423" customFormat="false" ht="15" hidden="false" customHeight="true" outlineLevel="0" collapsed="false">
      <c r="G2423" s="1" t="str">
        <f aca="false">IF(C2423="","",INDEX(Akaun!$F$5:$F$150,MATCH(C2423,Akaun!$A$5:$A$150,0)))</f>
        <v/>
      </c>
      <c r="H2423" s="1" t="str">
        <f aca="false">IF(C2423="","",INDEX(Akaun!$D$5:$D$150,MATCH(C2423,Akaun!$A$5:$A$150,0)))</f>
        <v/>
      </c>
    </row>
    <row r="2424" customFormat="false" ht="15" hidden="false" customHeight="true" outlineLevel="0" collapsed="false">
      <c r="G2424" s="1" t="str">
        <f aca="false">IF(C2424="","",INDEX(Akaun!$F$5:$F$150,MATCH(C2424,Akaun!$A$5:$A$150,0)))</f>
        <v/>
      </c>
      <c r="H2424" s="1" t="str">
        <f aca="false">IF(C2424="","",INDEX(Akaun!$D$5:$D$150,MATCH(C2424,Akaun!$A$5:$A$150,0)))</f>
        <v/>
      </c>
    </row>
    <row r="2425" customFormat="false" ht="15" hidden="false" customHeight="true" outlineLevel="0" collapsed="false">
      <c r="G2425" s="1" t="str">
        <f aca="false">IF(C2425="","",INDEX(Akaun!$F$5:$F$150,MATCH(C2425,Akaun!$A$5:$A$150,0)))</f>
        <v/>
      </c>
      <c r="H2425" s="1" t="str">
        <f aca="false">IF(C2425="","",INDEX(Akaun!$D$5:$D$150,MATCH(C2425,Akaun!$A$5:$A$150,0)))</f>
        <v/>
      </c>
    </row>
    <row r="2426" customFormat="false" ht="15" hidden="false" customHeight="true" outlineLevel="0" collapsed="false">
      <c r="G2426" s="1" t="str">
        <f aca="false">IF(C2426="","",INDEX(Akaun!$F$5:$F$150,MATCH(C2426,Akaun!$A$5:$A$150,0)))</f>
        <v/>
      </c>
      <c r="H2426" s="1" t="str">
        <f aca="false">IF(C2426="","",INDEX(Akaun!$D$5:$D$150,MATCH(C2426,Akaun!$A$5:$A$150,0)))</f>
        <v/>
      </c>
    </row>
    <row r="2427" customFormat="false" ht="15" hidden="false" customHeight="true" outlineLevel="0" collapsed="false">
      <c r="G2427" s="1" t="str">
        <f aca="false">IF(C2427="","",INDEX(Akaun!$F$5:$F$150,MATCH(C2427,Akaun!$A$5:$A$150,0)))</f>
        <v/>
      </c>
      <c r="H2427" s="1" t="str">
        <f aca="false">IF(C2427="","",INDEX(Akaun!$D$5:$D$150,MATCH(C2427,Akaun!$A$5:$A$150,0)))</f>
        <v/>
      </c>
    </row>
    <row r="2428" customFormat="false" ht="15" hidden="false" customHeight="true" outlineLevel="0" collapsed="false">
      <c r="G2428" s="1" t="str">
        <f aca="false">IF(C2428="","",INDEX(Akaun!$F$5:$F$150,MATCH(C2428,Akaun!$A$5:$A$150,0)))</f>
        <v/>
      </c>
      <c r="H2428" s="1" t="str">
        <f aca="false">IF(C2428="","",INDEX(Akaun!$D$5:$D$150,MATCH(C2428,Akaun!$A$5:$A$150,0)))</f>
        <v/>
      </c>
    </row>
    <row r="2429" customFormat="false" ht="15" hidden="false" customHeight="true" outlineLevel="0" collapsed="false">
      <c r="G2429" s="1" t="str">
        <f aca="false">IF(C2429="","",INDEX(Akaun!$F$5:$F$150,MATCH(C2429,Akaun!$A$5:$A$150,0)))</f>
        <v/>
      </c>
      <c r="H2429" s="1" t="str">
        <f aca="false">IF(C2429="","",INDEX(Akaun!$D$5:$D$150,MATCH(C2429,Akaun!$A$5:$A$150,0)))</f>
        <v/>
      </c>
    </row>
    <row r="2430" customFormat="false" ht="15" hidden="false" customHeight="true" outlineLevel="0" collapsed="false">
      <c r="G2430" s="1" t="str">
        <f aca="false">IF(C2430="","",INDEX(Akaun!$F$5:$F$150,MATCH(C2430,Akaun!$A$5:$A$150,0)))</f>
        <v/>
      </c>
      <c r="H2430" s="1" t="str">
        <f aca="false">IF(C2430="","",INDEX(Akaun!$D$5:$D$150,MATCH(C2430,Akaun!$A$5:$A$150,0)))</f>
        <v/>
      </c>
    </row>
    <row r="2431" customFormat="false" ht="15" hidden="false" customHeight="true" outlineLevel="0" collapsed="false">
      <c r="G2431" s="1" t="str">
        <f aca="false">IF(C2431="","",INDEX(Akaun!$F$5:$F$150,MATCH(C2431,Akaun!$A$5:$A$150,0)))</f>
        <v/>
      </c>
      <c r="H2431" s="1" t="str">
        <f aca="false">IF(C2431="","",INDEX(Akaun!$D$5:$D$150,MATCH(C2431,Akaun!$A$5:$A$150,0)))</f>
        <v/>
      </c>
    </row>
    <row r="2432" customFormat="false" ht="15" hidden="false" customHeight="true" outlineLevel="0" collapsed="false">
      <c r="G2432" s="1" t="str">
        <f aca="false">IF(C2432="","",INDEX(Akaun!$F$5:$F$150,MATCH(C2432,Akaun!$A$5:$A$150,0)))</f>
        <v/>
      </c>
      <c r="H2432" s="1" t="str">
        <f aca="false">IF(C2432="","",INDEX(Akaun!$D$5:$D$150,MATCH(C2432,Akaun!$A$5:$A$150,0)))</f>
        <v/>
      </c>
    </row>
    <row r="2433" customFormat="false" ht="15" hidden="false" customHeight="true" outlineLevel="0" collapsed="false">
      <c r="G2433" s="1" t="str">
        <f aca="false">IF(C2433="","",INDEX(Akaun!$F$5:$F$150,MATCH(C2433,Akaun!$A$5:$A$150,0)))</f>
        <v/>
      </c>
      <c r="H2433" s="1" t="str">
        <f aca="false">IF(C2433="","",INDEX(Akaun!$D$5:$D$150,MATCH(C2433,Akaun!$A$5:$A$150,0)))</f>
        <v/>
      </c>
    </row>
    <row r="2434" customFormat="false" ht="15" hidden="false" customHeight="true" outlineLevel="0" collapsed="false">
      <c r="G2434" s="1" t="str">
        <f aca="false">IF(C2434="","",INDEX(Akaun!$F$5:$F$150,MATCH(C2434,Akaun!$A$5:$A$150,0)))</f>
        <v/>
      </c>
      <c r="H2434" s="1" t="str">
        <f aca="false">IF(C2434="","",INDEX(Akaun!$D$5:$D$150,MATCH(C2434,Akaun!$A$5:$A$150,0)))</f>
        <v/>
      </c>
    </row>
    <row r="2435" customFormat="false" ht="15" hidden="false" customHeight="true" outlineLevel="0" collapsed="false">
      <c r="G2435" s="1" t="str">
        <f aca="false">IF(C2435="","",INDEX(Akaun!$F$5:$F$150,MATCH(C2435,Akaun!$A$5:$A$150,0)))</f>
        <v/>
      </c>
      <c r="H2435" s="1" t="str">
        <f aca="false">IF(C2435="","",INDEX(Akaun!$D$5:$D$150,MATCH(C2435,Akaun!$A$5:$A$150,0)))</f>
        <v/>
      </c>
    </row>
    <row r="2436" customFormat="false" ht="15" hidden="false" customHeight="true" outlineLevel="0" collapsed="false">
      <c r="G2436" s="1" t="str">
        <f aca="false">IF(C2436="","",INDEX(Akaun!$F$5:$F$150,MATCH(C2436,Akaun!$A$5:$A$150,0)))</f>
        <v/>
      </c>
      <c r="H2436" s="1" t="str">
        <f aca="false">IF(C2436="","",INDEX(Akaun!$D$5:$D$150,MATCH(C2436,Akaun!$A$5:$A$150,0)))</f>
        <v/>
      </c>
    </row>
    <row r="2437" customFormat="false" ht="15" hidden="false" customHeight="true" outlineLevel="0" collapsed="false">
      <c r="G2437" s="1" t="str">
        <f aca="false">IF(C2437="","",INDEX(Akaun!$F$5:$F$150,MATCH(C2437,Akaun!$A$5:$A$150,0)))</f>
        <v/>
      </c>
      <c r="H2437" s="1" t="str">
        <f aca="false">IF(C2437="","",INDEX(Akaun!$D$5:$D$150,MATCH(C2437,Akaun!$A$5:$A$150,0)))</f>
        <v/>
      </c>
    </row>
    <row r="2438" customFormat="false" ht="15" hidden="false" customHeight="true" outlineLevel="0" collapsed="false">
      <c r="G2438" s="1" t="str">
        <f aca="false">IF(C2438="","",INDEX(Akaun!$F$5:$F$150,MATCH(C2438,Akaun!$A$5:$A$150,0)))</f>
        <v/>
      </c>
      <c r="H2438" s="1" t="str">
        <f aca="false">IF(C2438="","",INDEX(Akaun!$D$5:$D$150,MATCH(C2438,Akaun!$A$5:$A$150,0)))</f>
        <v/>
      </c>
    </row>
    <row r="2439" customFormat="false" ht="15" hidden="false" customHeight="true" outlineLevel="0" collapsed="false">
      <c r="G2439" s="1" t="str">
        <f aca="false">IF(C2439="","",INDEX(Akaun!$F$5:$F$150,MATCH(C2439,Akaun!$A$5:$A$150,0)))</f>
        <v/>
      </c>
      <c r="H2439" s="1" t="str">
        <f aca="false">IF(C2439="","",INDEX(Akaun!$D$5:$D$150,MATCH(C2439,Akaun!$A$5:$A$150,0)))</f>
        <v/>
      </c>
    </row>
    <row r="2440" customFormat="false" ht="15" hidden="false" customHeight="true" outlineLevel="0" collapsed="false">
      <c r="G2440" s="1" t="str">
        <f aca="false">IF(C2440="","",INDEX(Akaun!$F$5:$F$150,MATCH(C2440,Akaun!$A$5:$A$150,0)))</f>
        <v/>
      </c>
      <c r="H2440" s="1" t="str">
        <f aca="false">IF(C2440="","",INDEX(Akaun!$D$5:$D$150,MATCH(C2440,Akaun!$A$5:$A$150,0)))</f>
        <v/>
      </c>
    </row>
    <row r="2441" customFormat="false" ht="15" hidden="false" customHeight="true" outlineLevel="0" collapsed="false">
      <c r="G2441" s="1" t="str">
        <f aca="false">IF(C2441="","",INDEX(Akaun!$F$5:$F$150,MATCH(C2441,Akaun!$A$5:$A$150,0)))</f>
        <v/>
      </c>
      <c r="H2441" s="1" t="str">
        <f aca="false">IF(C2441="","",INDEX(Akaun!$D$5:$D$150,MATCH(C2441,Akaun!$A$5:$A$150,0)))</f>
        <v/>
      </c>
    </row>
    <row r="2442" customFormat="false" ht="15" hidden="false" customHeight="true" outlineLevel="0" collapsed="false">
      <c r="G2442" s="1" t="str">
        <f aca="false">IF(C2442="","",INDEX(Akaun!$F$5:$F$150,MATCH(C2442,Akaun!$A$5:$A$150,0)))</f>
        <v/>
      </c>
      <c r="H2442" s="1" t="str">
        <f aca="false">IF(C2442="","",INDEX(Akaun!$D$5:$D$150,MATCH(C2442,Akaun!$A$5:$A$150,0)))</f>
        <v/>
      </c>
    </row>
    <row r="2443" customFormat="false" ht="15" hidden="false" customHeight="true" outlineLevel="0" collapsed="false">
      <c r="G2443" s="1" t="str">
        <f aca="false">IF(C2443="","",INDEX(Akaun!$F$5:$F$150,MATCH(C2443,Akaun!$A$5:$A$150,0)))</f>
        <v/>
      </c>
      <c r="H2443" s="1" t="str">
        <f aca="false">IF(C2443="","",INDEX(Akaun!$D$5:$D$150,MATCH(C2443,Akaun!$A$5:$A$150,0)))</f>
        <v/>
      </c>
    </row>
    <row r="2444" customFormat="false" ht="15" hidden="false" customHeight="true" outlineLevel="0" collapsed="false">
      <c r="G2444" s="1" t="str">
        <f aca="false">IF(C2444="","",INDEX(Akaun!$F$5:$F$150,MATCH(C2444,Akaun!$A$5:$A$150,0)))</f>
        <v/>
      </c>
      <c r="H2444" s="1" t="str">
        <f aca="false">IF(C2444="","",INDEX(Akaun!$D$5:$D$150,MATCH(C2444,Akaun!$A$5:$A$150,0)))</f>
        <v/>
      </c>
    </row>
    <row r="2445" customFormat="false" ht="15" hidden="false" customHeight="true" outlineLevel="0" collapsed="false">
      <c r="G2445" s="1" t="str">
        <f aca="false">IF(C2445="","",INDEX(Akaun!$F$5:$F$150,MATCH(C2445,Akaun!$A$5:$A$150,0)))</f>
        <v/>
      </c>
      <c r="H2445" s="1" t="str">
        <f aca="false">IF(C2445="","",INDEX(Akaun!$D$5:$D$150,MATCH(C2445,Akaun!$A$5:$A$150,0)))</f>
        <v/>
      </c>
    </row>
    <row r="2446" customFormat="false" ht="15" hidden="false" customHeight="true" outlineLevel="0" collapsed="false">
      <c r="G2446" s="1" t="str">
        <f aca="false">IF(C2446="","",INDEX(Akaun!$F$5:$F$150,MATCH(C2446,Akaun!$A$5:$A$150,0)))</f>
        <v/>
      </c>
      <c r="H2446" s="1" t="str">
        <f aca="false">IF(C2446="","",INDEX(Akaun!$D$5:$D$150,MATCH(C2446,Akaun!$A$5:$A$150,0)))</f>
        <v/>
      </c>
    </row>
    <row r="2447" customFormat="false" ht="15" hidden="false" customHeight="true" outlineLevel="0" collapsed="false">
      <c r="G2447" s="1" t="str">
        <f aca="false">IF(C2447="","",INDEX(Akaun!$F$5:$F$150,MATCH(C2447,Akaun!$A$5:$A$150,0)))</f>
        <v/>
      </c>
      <c r="H2447" s="1" t="str">
        <f aca="false">IF(C2447="","",INDEX(Akaun!$D$5:$D$150,MATCH(C2447,Akaun!$A$5:$A$150,0)))</f>
        <v/>
      </c>
    </row>
    <row r="2448" customFormat="false" ht="15" hidden="false" customHeight="true" outlineLevel="0" collapsed="false">
      <c r="G2448" s="1" t="str">
        <f aca="false">IF(C2448="","",INDEX(Akaun!$F$5:$F$150,MATCH(C2448,Akaun!$A$5:$A$150,0)))</f>
        <v/>
      </c>
      <c r="H2448" s="1" t="str">
        <f aca="false">IF(C2448="","",INDEX(Akaun!$D$5:$D$150,MATCH(C2448,Akaun!$A$5:$A$150,0)))</f>
        <v/>
      </c>
    </row>
    <row r="2449" customFormat="false" ht="15" hidden="false" customHeight="true" outlineLevel="0" collapsed="false">
      <c r="G2449" s="1" t="str">
        <f aca="false">IF(C2449="","",INDEX(Akaun!$F$5:$F$150,MATCH(C2449,Akaun!$A$5:$A$150,0)))</f>
        <v/>
      </c>
      <c r="H2449" s="1" t="str">
        <f aca="false">IF(C2449="","",INDEX(Akaun!$D$5:$D$150,MATCH(C2449,Akaun!$A$5:$A$150,0)))</f>
        <v/>
      </c>
    </row>
    <row r="2450" customFormat="false" ht="15" hidden="false" customHeight="true" outlineLevel="0" collapsed="false">
      <c r="G2450" s="1" t="str">
        <f aca="false">IF(C2450="","",INDEX(Akaun!$F$5:$F$150,MATCH(C2450,Akaun!$A$5:$A$150,0)))</f>
        <v/>
      </c>
      <c r="H2450" s="1" t="str">
        <f aca="false">IF(C2450="","",INDEX(Akaun!$D$5:$D$150,MATCH(C2450,Akaun!$A$5:$A$150,0)))</f>
        <v/>
      </c>
    </row>
    <row r="2451" customFormat="false" ht="15" hidden="false" customHeight="true" outlineLevel="0" collapsed="false">
      <c r="G2451" s="1" t="str">
        <f aca="false">IF(C2451="","",INDEX(Akaun!$F$5:$F$150,MATCH(C2451,Akaun!$A$5:$A$150,0)))</f>
        <v/>
      </c>
      <c r="H2451" s="1" t="str">
        <f aca="false">IF(C2451="","",INDEX(Akaun!$D$5:$D$150,MATCH(C2451,Akaun!$A$5:$A$150,0)))</f>
        <v/>
      </c>
    </row>
    <row r="2452" customFormat="false" ht="15" hidden="false" customHeight="true" outlineLevel="0" collapsed="false">
      <c r="G2452" s="1" t="str">
        <f aca="false">IF(C2452="","",INDEX(Akaun!$F$5:$F$150,MATCH(C2452,Akaun!$A$5:$A$150,0)))</f>
        <v/>
      </c>
      <c r="H2452" s="1" t="str">
        <f aca="false">IF(C2452="","",INDEX(Akaun!$D$5:$D$150,MATCH(C2452,Akaun!$A$5:$A$150,0)))</f>
        <v/>
      </c>
    </row>
    <row r="2453" customFormat="false" ht="15" hidden="false" customHeight="true" outlineLevel="0" collapsed="false">
      <c r="G2453" s="1" t="str">
        <f aca="false">IF(C2453="","",INDEX(Akaun!$F$5:$F$150,MATCH(C2453,Akaun!$A$5:$A$150,0)))</f>
        <v/>
      </c>
      <c r="H2453" s="1" t="str">
        <f aca="false">IF(C2453="","",INDEX(Akaun!$D$5:$D$150,MATCH(C2453,Akaun!$A$5:$A$150,0)))</f>
        <v/>
      </c>
    </row>
    <row r="2454" customFormat="false" ht="15" hidden="false" customHeight="true" outlineLevel="0" collapsed="false">
      <c r="G2454" s="1" t="str">
        <f aca="false">IF(C2454="","",INDEX(Akaun!$F$5:$F$150,MATCH(C2454,Akaun!$A$5:$A$150,0)))</f>
        <v/>
      </c>
      <c r="H2454" s="1" t="str">
        <f aca="false">IF(C2454="","",INDEX(Akaun!$D$5:$D$150,MATCH(C2454,Akaun!$A$5:$A$150,0)))</f>
        <v/>
      </c>
    </row>
    <row r="2455" customFormat="false" ht="15" hidden="false" customHeight="true" outlineLevel="0" collapsed="false">
      <c r="G2455" s="1" t="str">
        <f aca="false">IF(C2455="","",INDEX(Akaun!$F$5:$F$150,MATCH(C2455,Akaun!$A$5:$A$150,0)))</f>
        <v/>
      </c>
      <c r="H2455" s="1" t="str">
        <f aca="false">IF(C2455="","",INDEX(Akaun!$D$5:$D$150,MATCH(C2455,Akaun!$A$5:$A$150,0)))</f>
        <v/>
      </c>
    </row>
    <row r="2456" customFormat="false" ht="15" hidden="false" customHeight="true" outlineLevel="0" collapsed="false">
      <c r="G2456" s="1" t="str">
        <f aca="false">IF(C2456="","",INDEX(Akaun!$F$5:$F$150,MATCH(C2456,Akaun!$A$5:$A$150,0)))</f>
        <v/>
      </c>
      <c r="H2456" s="1" t="str">
        <f aca="false">IF(C2456="","",INDEX(Akaun!$D$5:$D$150,MATCH(C2456,Akaun!$A$5:$A$150,0)))</f>
        <v/>
      </c>
    </row>
    <row r="2457" customFormat="false" ht="15" hidden="false" customHeight="true" outlineLevel="0" collapsed="false">
      <c r="G2457" s="1" t="str">
        <f aca="false">IF(C2457="","",INDEX(Akaun!$F$5:$F$150,MATCH(C2457,Akaun!$A$5:$A$150,0)))</f>
        <v/>
      </c>
      <c r="H2457" s="1" t="str">
        <f aca="false">IF(C2457="","",INDEX(Akaun!$D$5:$D$150,MATCH(C2457,Akaun!$A$5:$A$150,0)))</f>
        <v/>
      </c>
    </row>
    <row r="2458" customFormat="false" ht="15" hidden="false" customHeight="true" outlineLevel="0" collapsed="false">
      <c r="G2458" s="1" t="str">
        <f aca="false">IF(C2458="","",INDEX(Akaun!$F$5:$F$150,MATCH(C2458,Akaun!$A$5:$A$150,0)))</f>
        <v/>
      </c>
      <c r="H2458" s="1" t="str">
        <f aca="false">IF(C2458="","",INDEX(Akaun!$D$5:$D$150,MATCH(C2458,Akaun!$A$5:$A$150,0)))</f>
        <v/>
      </c>
    </row>
    <row r="2459" customFormat="false" ht="15" hidden="false" customHeight="true" outlineLevel="0" collapsed="false">
      <c r="G2459" s="1" t="str">
        <f aca="false">IF(C2459="","",INDEX(Akaun!$F$5:$F$150,MATCH(C2459,Akaun!$A$5:$A$150,0)))</f>
        <v/>
      </c>
      <c r="H2459" s="1" t="str">
        <f aca="false">IF(C2459="","",INDEX(Akaun!$D$5:$D$150,MATCH(C2459,Akaun!$A$5:$A$150,0)))</f>
        <v/>
      </c>
    </row>
    <row r="2460" customFormat="false" ht="15" hidden="false" customHeight="true" outlineLevel="0" collapsed="false">
      <c r="G2460" s="1" t="str">
        <f aca="false">IF(C2460="","",INDEX(Akaun!$F$5:$F$150,MATCH(C2460,Akaun!$A$5:$A$150,0)))</f>
        <v/>
      </c>
      <c r="H2460" s="1" t="str">
        <f aca="false">IF(C2460="","",INDEX(Akaun!$D$5:$D$150,MATCH(C2460,Akaun!$A$5:$A$150,0)))</f>
        <v/>
      </c>
    </row>
    <row r="2461" customFormat="false" ht="15" hidden="false" customHeight="true" outlineLevel="0" collapsed="false">
      <c r="G2461" s="1" t="str">
        <f aca="false">IF(C2461="","",INDEX(Akaun!$F$5:$F$150,MATCH(C2461,Akaun!$A$5:$A$150,0)))</f>
        <v/>
      </c>
      <c r="H2461" s="1" t="str">
        <f aca="false">IF(C2461="","",INDEX(Akaun!$D$5:$D$150,MATCH(C2461,Akaun!$A$5:$A$150,0)))</f>
        <v/>
      </c>
    </row>
    <row r="2462" customFormat="false" ht="15" hidden="false" customHeight="true" outlineLevel="0" collapsed="false">
      <c r="G2462" s="1" t="str">
        <f aca="false">IF(C2462="","",INDEX(Akaun!$F$5:$F$150,MATCH(C2462,Akaun!$A$5:$A$150,0)))</f>
        <v/>
      </c>
      <c r="H2462" s="1" t="str">
        <f aca="false">IF(C2462="","",INDEX(Akaun!$D$5:$D$150,MATCH(C2462,Akaun!$A$5:$A$150,0)))</f>
        <v/>
      </c>
    </row>
    <row r="2463" customFormat="false" ht="15" hidden="false" customHeight="true" outlineLevel="0" collapsed="false">
      <c r="G2463" s="1" t="str">
        <f aca="false">IF(C2463="","",INDEX(Akaun!$F$5:$F$150,MATCH(C2463,Akaun!$A$5:$A$150,0)))</f>
        <v/>
      </c>
      <c r="H2463" s="1" t="str">
        <f aca="false">IF(C2463="","",INDEX(Akaun!$D$5:$D$150,MATCH(C2463,Akaun!$A$5:$A$150,0)))</f>
        <v/>
      </c>
    </row>
    <row r="2464" customFormat="false" ht="15" hidden="false" customHeight="true" outlineLevel="0" collapsed="false">
      <c r="G2464" s="1" t="str">
        <f aca="false">IF(C2464="","",INDEX(Akaun!$F$5:$F$150,MATCH(C2464,Akaun!$A$5:$A$150,0)))</f>
        <v/>
      </c>
      <c r="H2464" s="1" t="str">
        <f aca="false">IF(C2464="","",INDEX(Akaun!$D$5:$D$150,MATCH(C2464,Akaun!$A$5:$A$150,0)))</f>
        <v/>
      </c>
    </row>
    <row r="2465" customFormat="false" ht="15" hidden="false" customHeight="true" outlineLevel="0" collapsed="false">
      <c r="G2465" s="1" t="str">
        <f aca="false">IF(C2465="","",INDEX(Akaun!$F$5:$F$150,MATCH(C2465,Akaun!$A$5:$A$150,0)))</f>
        <v/>
      </c>
      <c r="H2465" s="1" t="str">
        <f aca="false">IF(C2465="","",INDEX(Akaun!$D$5:$D$150,MATCH(C2465,Akaun!$A$5:$A$150,0)))</f>
        <v/>
      </c>
    </row>
    <row r="2466" customFormat="false" ht="15" hidden="false" customHeight="true" outlineLevel="0" collapsed="false">
      <c r="G2466" s="1" t="str">
        <f aca="false">IF(C2466="","",INDEX(Akaun!$F$5:$F$150,MATCH(C2466,Akaun!$A$5:$A$150,0)))</f>
        <v/>
      </c>
      <c r="H2466" s="1" t="str">
        <f aca="false">IF(C2466="","",INDEX(Akaun!$D$5:$D$150,MATCH(C2466,Akaun!$A$5:$A$150,0)))</f>
        <v/>
      </c>
    </row>
    <row r="2467" customFormat="false" ht="15" hidden="false" customHeight="true" outlineLevel="0" collapsed="false">
      <c r="G2467" s="1" t="str">
        <f aca="false">IF(C2467="","",INDEX(Akaun!$F$5:$F$150,MATCH(C2467,Akaun!$A$5:$A$150,0)))</f>
        <v/>
      </c>
      <c r="H2467" s="1" t="str">
        <f aca="false">IF(C2467="","",INDEX(Akaun!$D$5:$D$150,MATCH(C2467,Akaun!$A$5:$A$150,0)))</f>
        <v/>
      </c>
    </row>
    <row r="2468" customFormat="false" ht="15" hidden="false" customHeight="true" outlineLevel="0" collapsed="false">
      <c r="G2468" s="1" t="str">
        <f aca="false">IF(C2468="","",INDEX(Akaun!$F$5:$F$150,MATCH(C2468,Akaun!$A$5:$A$150,0)))</f>
        <v/>
      </c>
      <c r="H2468" s="1" t="str">
        <f aca="false">IF(C2468="","",INDEX(Akaun!$D$5:$D$150,MATCH(C2468,Akaun!$A$5:$A$150,0)))</f>
        <v/>
      </c>
    </row>
    <row r="2469" customFormat="false" ht="15" hidden="false" customHeight="true" outlineLevel="0" collapsed="false">
      <c r="G2469" s="1" t="str">
        <f aca="false">IF(C2469="","",INDEX(Akaun!$F$5:$F$150,MATCH(C2469,Akaun!$A$5:$A$150,0)))</f>
        <v/>
      </c>
      <c r="H2469" s="1" t="str">
        <f aca="false">IF(C2469="","",INDEX(Akaun!$D$5:$D$150,MATCH(C2469,Akaun!$A$5:$A$150,0)))</f>
        <v/>
      </c>
    </row>
    <row r="2470" customFormat="false" ht="15" hidden="false" customHeight="true" outlineLevel="0" collapsed="false">
      <c r="G2470" s="1" t="str">
        <f aca="false">IF(C2470="","",INDEX(Akaun!$F$5:$F$150,MATCH(C2470,Akaun!$A$5:$A$150,0)))</f>
        <v/>
      </c>
      <c r="H2470" s="1" t="str">
        <f aca="false">IF(C2470="","",INDEX(Akaun!$D$5:$D$150,MATCH(C2470,Akaun!$A$5:$A$150,0)))</f>
        <v/>
      </c>
    </row>
    <row r="2471" customFormat="false" ht="15" hidden="false" customHeight="true" outlineLevel="0" collapsed="false">
      <c r="G2471" s="1" t="str">
        <f aca="false">IF(C2471="","",INDEX(Akaun!$F$5:$F$150,MATCH(C2471,Akaun!$A$5:$A$150,0)))</f>
        <v/>
      </c>
      <c r="H2471" s="1" t="str">
        <f aca="false">IF(C2471="","",INDEX(Akaun!$D$5:$D$150,MATCH(C2471,Akaun!$A$5:$A$150,0)))</f>
        <v/>
      </c>
    </row>
    <row r="2472" customFormat="false" ht="15" hidden="false" customHeight="true" outlineLevel="0" collapsed="false">
      <c r="G2472" s="1" t="str">
        <f aca="false">IF(C2472="","",INDEX(Akaun!$F$5:$F$150,MATCH(C2472,Akaun!$A$5:$A$150,0)))</f>
        <v/>
      </c>
      <c r="H2472" s="1" t="str">
        <f aca="false">IF(C2472="","",INDEX(Akaun!$D$5:$D$150,MATCH(C2472,Akaun!$A$5:$A$150,0)))</f>
        <v/>
      </c>
    </row>
    <row r="2473" customFormat="false" ht="15" hidden="false" customHeight="true" outlineLevel="0" collapsed="false">
      <c r="G2473" s="1" t="str">
        <f aca="false">IF(C2473="","",INDEX(Akaun!$F$5:$F$150,MATCH(C2473,Akaun!$A$5:$A$150,0)))</f>
        <v/>
      </c>
      <c r="H2473" s="1" t="str">
        <f aca="false">IF(C2473="","",INDEX(Akaun!$D$5:$D$150,MATCH(C2473,Akaun!$A$5:$A$150,0)))</f>
        <v/>
      </c>
    </row>
    <row r="2474" customFormat="false" ht="15" hidden="false" customHeight="true" outlineLevel="0" collapsed="false">
      <c r="G2474" s="1" t="str">
        <f aca="false">IF(C2474="","",INDEX(Akaun!$F$5:$F$150,MATCH(C2474,Akaun!$A$5:$A$150,0)))</f>
        <v/>
      </c>
      <c r="H2474" s="1" t="str">
        <f aca="false">IF(C2474="","",INDEX(Akaun!$D$5:$D$150,MATCH(C2474,Akaun!$A$5:$A$150,0)))</f>
        <v/>
      </c>
    </row>
    <row r="2475" customFormat="false" ht="15" hidden="false" customHeight="true" outlineLevel="0" collapsed="false">
      <c r="G2475" s="1" t="str">
        <f aca="false">IF(C2475="","",INDEX(Akaun!$F$5:$F$150,MATCH(C2475,Akaun!$A$5:$A$150,0)))</f>
        <v/>
      </c>
      <c r="H2475" s="1" t="str">
        <f aca="false">IF(C2475="","",INDEX(Akaun!$D$5:$D$150,MATCH(C2475,Akaun!$A$5:$A$150,0)))</f>
        <v/>
      </c>
    </row>
    <row r="2476" customFormat="false" ht="15" hidden="false" customHeight="true" outlineLevel="0" collapsed="false">
      <c r="G2476" s="1" t="str">
        <f aca="false">IF(C2476="","",INDEX(Akaun!$F$5:$F$150,MATCH(C2476,Akaun!$A$5:$A$150,0)))</f>
        <v/>
      </c>
      <c r="H2476" s="1" t="str">
        <f aca="false">IF(C2476="","",INDEX(Akaun!$D$5:$D$150,MATCH(C2476,Akaun!$A$5:$A$150,0)))</f>
        <v/>
      </c>
    </row>
    <row r="2477" customFormat="false" ht="15" hidden="false" customHeight="true" outlineLevel="0" collapsed="false">
      <c r="G2477" s="1" t="str">
        <f aca="false">IF(C2477="","",INDEX(Akaun!$F$5:$F$150,MATCH(C2477,Akaun!$A$5:$A$150,0)))</f>
        <v/>
      </c>
      <c r="H2477" s="1" t="str">
        <f aca="false">IF(C2477="","",INDEX(Akaun!$D$5:$D$150,MATCH(C2477,Akaun!$A$5:$A$150,0)))</f>
        <v/>
      </c>
    </row>
    <row r="2478" customFormat="false" ht="15" hidden="false" customHeight="true" outlineLevel="0" collapsed="false">
      <c r="G2478" s="1" t="str">
        <f aca="false">IF(C2478="","",INDEX(Akaun!$F$5:$F$150,MATCH(C2478,Akaun!$A$5:$A$150,0)))</f>
        <v/>
      </c>
      <c r="H2478" s="1" t="str">
        <f aca="false">IF(C2478="","",INDEX(Akaun!$D$5:$D$150,MATCH(C2478,Akaun!$A$5:$A$150,0)))</f>
        <v/>
      </c>
    </row>
    <row r="2479" customFormat="false" ht="15" hidden="false" customHeight="true" outlineLevel="0" collapsed="false">
      <c r="G2479" s="1" t="str">
        <f aca="false">IF(C2479="","",INDEX(Akaun!$F$5:$F$150,MATCH(C2479,Akaun!$A$5:$A$150,0)))</f>
        <v/>
      </c>
      <c r="H2479" s="1" t="str">
        <f aca="false">IF(C2479="","",INDEX(Akaun!$D$5:$D$150,MATCH(C2479,Akaun!$A$5:$A$150,0)))</f>
        <v/>
      </c>
    </row>
    <row r="2480" customFormat="false" ht="15" hidden="false" customHeight="true" outlineLevel="0" collapsed="false">
      <c r="G2480" s="1" t="str">
        <f aca="false">IF(C2480="","",INDEX(Akaun!$F$5:$F$150,MATCH(C2480,Akaun!$A$5:$A$150,0)))</f>
        <v/>
      </c>
      <c r="H2480" s="1" t="str">
        <f aca="false">IF(C2480="","",INDEX(Akaun!$D$5:$D$150,MATCH(C2480,Akaun!$A$5:$A$150,0)))</f>
        <v/>
      </c>
    </row>
    <row r="2481" customFormat="false" ht="15" hidden="false" customHeight="true" outlineLevel="0" collapsed="false">
      <c r="G2481" s="1" t="str">
        <f aca="false">IF(C2481="","",INDEX(Akaun!$F$5:$F$150,MATCH(C2481,Akaun!$A$5:$A$150,0)))</f>
        <v/>
      </c>
      <c r="H2481" s="1" t="str">
        <f aca="false">IF(C2481="","",INDEX(Akaun!$D$5:$D$150,MATCH(C2481,Akaun!$A$5:$A$150,0)))</f>
        <v/>
      </c>
    </row>
    <row r="2482" customFormat="false" ht="15" hidden="false" customHeight="true" outlineLevel="0" collapsed="false">
      <c r="G2482" s="1" t="str">
        <f aca="false">IF(C2482="","",INDEX(Akaun!$F$5:$F$150,MATCH(C2482,Akaun!$A$5:$A$150,0)))</f>
        <v/>
      </c>
      <c r="H2482" s="1" t="str">
        <f aca="false">IF(C2482="","",INDEX(Akaun!$D$5:$D$150,MATCH(C2482,Akaun!$A$5:$A$150,0)))</f>
        <v/>
      </c>
    </row>
    <row r="2483" customFormat="false" ht="15" hidden="false" customHeight="true" outlineLevel="0" collapsed="false">
      <c r="G2483" s="1" t="str">
        <f aca="false">IF(C2483="","",INDEX(Akaun!$F$5:$F$150,MATCH(C2483,Akaun!$A$5:$A$150,0)))</f>
        <v/>
      </c>
      <c r="H2483" s="1" t="str">
        <f aca="false">IF(C2483="","",INDEX(Akaun!$D$5:$D$150,MATCH(C2483,Akaun!$A$5:$A$150,0)))</f>
        <v/>
      </c>
    </row>
    <row r="2484" customFormat="false" ht="15" hidden="false" customHeight="true" outlineLevel="0" collapsed="false">
      <c r="G2484" s="1" t="str">
        <f aca="false">IF(C2484="","",INDEX(Akaun!$F$5:$F$150,MATCH(C2484,Akaun!$A$5:$A$150,0)))</f>
        <v/>
      </c>
      <c r="H2484" s="1" t="str">
        <f aca="false">IF(C2484="","",INDEX(Akaun!$D$5:$D$150,MATCH(C2484,Akaun!$A$5:$A$150,0)))</f>
        <v/>
      </c>
    </row>
    <row r="2485" customFormat="false" ht="15" hidden="false" customHeight="true" outlineLevel="0" collapsed="false">
      <c r="G2485" s="1" t="str">
        <f aca="false">IF(C2485="","",INDEX(Akaun!$F$5:$F$150,MATCH(C2485,Akaun!$A$5:$A$150,0)))</f>
        <v/>
      </c>
      <c r="H2485" s="1" t="str">
        <f aca="false">IF(C2485="","",INDEX(Akaun!$D$5:$D$150,MATCH(C2485,Akaun!$A$5:$A$150,0)))</f>
        <v/>
      </c>
    </row>
    <row r="2486" customFormat="false" ht="15" hidden="false" customHeight="true" outlineLevel="0" collapsed="false">
      <c r="G2486" s="1" t="str">
        <f aca="false">IF(C2486="","",INDEX(Akaun!$F$5:$F$150,MATCH(C2486,Akaun!$A$5:$A$150,0)))</f>
        <v/>
      </c>
      <c r="H2486" s="1" t="str">
        <f aca="false">IF(C2486="","",INDEX(Akaun!$D$5:$D$150,MATCH(C2486,Akaun!$A$5:$A$150,0)))</f>
        <v/>
      </c>
    </row>
    <row r="2487" customFormat="false" ht="15" hidden="false" customHeight="true" outlineLevel="0" collapsed="false">
      <c r="G2487" s="1" t="str">
        <f aca="false">IF(C2487="","",INDEX(Akaun!$F$5:$F$150,MATCH(C2487,Akaun!$A$5:$A$150,0)))</f>
        <v/>
      </c>
      <c r="H2487" s="1" t="str">
        <f aca="false">IF(C2487="","",INDEX(Akaun!$D$5:$D$150,MATCH(C2487,Akaun!$A$5:$A$150,0)))</f>
        <v/>
      </c>
    </row>
    <row r="2488" customFormat="false" ht="15" hidden="false" customHeight="true" outlineLevel="0" collapsed="false">
      <c r="G2488" s="1" t="str">
        <f aca="false">IF(C2488="","",INDEX(Akaun!$F$5:$F$150,MATCH(C2488,Akaun!$A$5:$A$150,0)))</f>
        <v/>
      </c>
      <c r="H2488" s="1" t="str">
        <f aca="false">IF(C2488="","",INDEX(Akaun!$D$5:$D$150,MATCH(C2488,Akaun!$A$5:$A$150,0)))</f>
        <v/>
      </c>
    </row>
    <row r="2489" customFormat="false" ht="15" hidden="false" customHeight="true" outlineLevel="0" collapsed="false">
      <c r="G2489" s="1" t="str">
        <f aca="false">IF(C2489="","",INDEX(Akaun!$F$5:$F$150,MATCH(C2489,Akaun!$A$5:$A$150,0)))</f>
        <v/>
      </c>
      <c r="H2489" s="1" t="str">
        <f aca="false">IF(C2489="","",INDEX(Akaun!$D$5:$D$150,MATCH(C2489,Akaun!$A$5:$A$150,0)))</f>
        <v/>
      </c>
    </row>
    <row r="2490" customFormat="false" ht="15" hidden="false" customHeight="true" outlineLevel="0" collapsed="false">
      <c r="G2490" s="1" t="str">
        <f aca="false">IF(C2490="","",INDEX(Akaun!$F$5:$F$150,MATCH(C2490,Akaun!$A$5:$A$150,0)))</f>
        <v/>
      </c>
      <c r="H2490" s="1" t="str">
        <f aca="false">IF(C2490="","",INDEX(Akaun!$D$5:$D$150,MATCH(C2490,Akaun!$A$5:$A$150,0)))</f>
        <v/>
      </c>
    </row>
    <row r="2491" customFormat="false" ht="15" hidden="false" customHeight="true" outlineLevel="0" collapsed="false">
      <c r="G2491" s="1" t="str">
        <f aca="false">IF(C2491="","",INDEX(Akaun!$F$5:$F$150,MATCH(C2491,Akaun!$A$5:$A$150,0)))</f>
        <v/>
      </c>
      <c r="H2491" s="1" t="str">
        <f aca="false">IF(C2491="","",INDEX(Akaun!$D$5:$D$150,MATCH(C2491,Akaun!$A$5:$A$150,0)))</f>
        <v/>
      </c>
    </row>
    <row r="2492" customFormat="false" ht="15" hidden="false" customHeight="true" outlineLevel="0" collapsed="false">
      <c r="G2492" s="1" t="str">
        <f aca="false">IF(C2492="","",INDEX(Akaun!$F$5:$F$150,MATCH(C2492,Akaun!$A$5:$A$150,0)))</f>
        <v/>
      </c>
      <c r="H2492" s="1" t="str">
        <f aca="false">IF(C2492="","",INDEX(Akaun!$D$5:$D$150,MATCH(C2492,Akaun!$A$5:$A$150,0)))</f>
        <v/>
      </c>
    </row>
    <row r="2493" customFormat="false" ht="15" hidden="false" customHeight="true" outlineLevel="0" collapsed="false">
      <c r="G2493" s="1" t="str">
        <f aca="false">IF(C2493="","",INDEX(Akaun!$F$5:$F$150,MATCH(C2493,Akaun!$A$5:$A$150,0)))</f>
        <v/>
      </c>
      <c r="H2493" s="1" t="str">
        <f aca="false">IF(C2493="","",INDEX(Akaun!$D$5:$D$150,MATCH(C2493,Akaun!$A$5:$A$150,0)))</f>
        <v/>
      </c>
    </row>
    <row r="2494" customFormat="false" ht="15" hidden="false" customHeight="true" outlineLevel="0" collapsed="false">
      <c r="G2494" s="1" t="str">
        <f aca="false">IF(C2494="","",INDEX(Akaun!$F$5:$F$150,MATCH(C2494,Akaun!$A$5:$A$150,0)))</f>
        <v/>
      </c>
      <c r="H2494" s="1" t="str">
        <f aca="false">IF(C2494="","",INDEX(Akaun!$D$5:$D$150,MATCH(C2494,Akaun!$A$5:$A$150,0)))</f>
        <v/>
      </c>
    </row>
    <row r="2495" customFormat="false" ht="15" hidden="false" customHeight="true" outlineLevel="0" collapsed="false">
      <c r="G2495" s="1" t="str">
        <f aca="false">IF(C2495="","",INDEX(Akaun!$F$5:$F$150,MATCH(C2495,Akaun!$A$5:$A$150,0)))</f>
        <v/>
      </c>
      <c r="H2495" s="1" t="str">
        <f aca="false">IF(C2495="","",INDEX(Akaun!$D$5:$D$150,MATCH(C2495,Akaun!$A$5:$A$150,0)))</f>
        <v/>
      </c>
    </row>
    <row r="2496" customFormat="false" ht="15" hidden="false" customHeight="true" outlineLevel="0" collapsed="false">
      <c r="G2496" s="1" t="str">
        <f aca="false">IF(C2496="","",INDEX(Akaun!$F$5:$F$150,MATCH(C2496,Akaun!$A$5:$A$150,0)))</f>
        <v/>
      </c>
      <c r="H2496" s="1" t="str">
        <f aca="false">IF(C2496="","",INDEX(Akaun!$D$5:$D$150,MATCH(C2496,Akaun!$A$5:$A$150,0)))</f>
        <v/>
      </c>
    </row>
    <row r="2497" customFormat="false" ht="15" hidden="false" customHeight="true" outlineLevel="0" collapsed="false">
      <c r="G2497" s="1" t="str">
        <f aca="false">IF(C2497="","",INDEX(Akaun!$F$5:$F$150,MATCH(C2497,Akaun!$A$5:$A$150,0)))</f>
        <v/>
      </c>
      <c r="H2497" s="1" t="str">
        <f aca="false">IF(C2497="","",INDEX(Akaun!$D$5:$D$150,MATCH(C2497,Akaun!$A$5:$A$150,0)))</f>
        <v/>
      </c>
    </row>
    <row r="2498" customFormat="false" ht="15" hidden="false" customHeight="true" outlineLevel="0" collapsed="false">
      <c r="G2498" s="1" t="str">
        <f aca="false">IF(C2498="","",INDEX(Akaun!$F$5:$F$150,MATCH(C2498,Akaun!$A$5:$A$150,0)))</f>
        <v/>
      </c>
      <c r="H2498" s="1" t="str">
        <f aca="false">IF(C2498="","",INDEX(Akaun!$D$5:$D$150,MATCH(C2498,Akaun!$A$5:$A$150,0)))</f>
        <v/>
      </c>
    </row>
    <row r="2499" customFormat="false" ht="15" hidden="false" customHeight="true" outlineLevel="0" collapsed="false">
      <c r="G2499" s="1" t="str">
        <f aca="false">IF(C2499="","",INDEX(Akaun!$F$5:$F$150,MATCH(C2499,Akaun!$A$5:$A$150,0)))</f>
        <v/>
      </c>
      <c r="H2499" s="1" t="str">
        <f aca="false">IF(C2499="","",INDEX(Akaun!$D$5:$D$150,MATCH(C2499,Akaun!$A$5:$A$150,0)))</f>
        <v/>
      </c>
    </row>
    <row r="2500" customFormat="false" ht="15" hidden="false" customHeight="true" outlineLevel="0" collapsed="false">
      <c r="G2500" s="1" t="str">
        <f aca="false">IF(C2500="","",INDEX(Akaun!$F$5:$F$150,MATCH(C2500,Akaun!$A$5:$A$150,0)))</f>
        <v/>
      </c>
      <c r="H2500" s="1" t="str">
        <f aca="false">IF(C2500="","",INDEX(Akaun!$D$5:$D$150,MATCH(C2500,Akaun!$A$5:$A$150,0)))</f>
        <v/>
      </c>
    </row>
    <row r="2501" customFormat="false" ht="15" hidden="false" customHeight="true" outlineLevel="0" collapsed="false">
      <c r="G2501" s="1" t="str">
        <f aca="false">IF(C2501="","",INDEX(Akaun!$F$5:$F$150,MATCH(C2501,Akaun!$A$5:$A$150,0)))</f>
        <v/>
      </c>
      <c r="H2501" s="1" t="str">
        <f aca="false">IF(C2501="","",INDEX(Akaun!$D$5:$D$150,MATCH(C2501,Akaun!$A$5:$A$150,0)))</f>
        <v/>
      </c>
    </row>
    <row r="2502" customFormat="false" ht="15" hidden="false" customHeight="true" outlineLevel="0" collapsed="false">
      <c r="G2502" s="1" t="str">
        <f aca="false">IF(C2502="","",INDEX(Akaun!$F$5:$F$150,MATCH(C2502,Akaun!$A$5:$A$150,0)))</f>
        <v/>
      </c>
      <c r="H2502" s="1" t="str">
        <f aca="false">IF(C2502="","",INDEX(Akaun!$D$5:$D$150,MATCH(C2502,Akaun!$A$5:$A$150,0)))</f>
        <v/>
      </c>
    </row>
    <row r="2503" customFormat="false" ht="15" hidden="false" customHeight="true" outlineLevel="0" collapsed="false">
      <c r="G2503" s="1" t="str">
        <f aca="false">IF(C2503="","",INDEX(Akaun!$F$5:$F$150,MATCH(C2503,Akaun!$A$5:$A$150,0)))</f>
        <v/>
      </c>
      <c r="H2503" s="1" t="str">
        <f aca="false">IF(C2503="","",INDEX(Akaun!$D$5:$D$150,MATCH(C2503,Akaun!$A$5:$A$150,0)))</f>
        <v/>
      </c>
    </row>
    <row r="2504" customFormat="false" ht="15" hidden="false" customHeight="true" outlineLevel="0" collapsed="false">
      <c r="G2504" s="1" t="str">
        <f aca="false">IF(C2504="","",INDEX(Akaun!$F$5:$F$150,MATCH(C2504,Akaun!$A$5:$A$150,0)))</f>
        <v/>
      </c>
      <c r="H2504" s="1" t="str">
        <f aca="false">IF(C2504="","",INDEX(Akaun!$D$5:$D$150,MATCH(C2504,Akaun!$A$5:$A$150,0)))</f>
        <v/>
      </c>
    </row>
    <row r="2505" customFormat="false" ht="15" hidden="false" customHeight="true" outlineLevel="0" collapsed="false">
      <c r="G2505" s="1" t="str">
        <f aca="false">IF(C2505="","",INDEX(Akaun!$F$5:$F$150,MATCH(C2505,Akaun!$A$5:$A$150,0)))</f>
        <v/>
      </c>
      <c r="H2505" s="1" t="str">
        <f aca="false">IF(C2505="","",INDEX(Akaun!$D$5:$D$150,MATCH(C2505,Akaun!$A$5:$A$150,0)))</f>
        <v/>
      </c>
    </row>
    <row r="2506" customFormat="false" ht="15" hidden="false" customHeight="true" outlineLevel="0" collapsed="false">
      <c r="G2506" s="1" t="str">
        <f aca="false">IF(C2506="","",INDEX(Akaun!$F$5:$F$150,MATCH(C2506,Akaun!$A$5:$A$150,0)))</f>
        <v/>
      </c>
      <c r="H2506" s="1" t="str">
        <f aca="false">IF(C2506="","",INDEX(Akaun!$D$5:$D$150,MATCH(C2506,Akaun!$A$5:$A$150,0)))</f>
        <v/>
      </c>
    </row>
    <row r="2507" customFormat="false" ht="15" hidden="false" customHeight="true" outlineLevel="0" collapsed="false">
      <c r="G2507" s="1" t="str">
        <f aca="false">IF(C2507="","",INDEX(Akaun!$F$5:$F$150,MATCH(C2507,Akaun!$A$5:$A$150,0)))</f>
        <v/>
      </c>
      <c r="H2507" s="1" t="str">
        <f aca="false">IF(C2507="","",INDEX(Akaun!$D$5:$D$150,MATCH(C2507,Akaun!$A$5:$A$150,0)))</f>
        <v/>
      </c>
    </row>
    <row r="2508" customFormat="false" ht="15" hidden="false" customHeight="true" outlineLevel="0" collapsed="false">
      <c r="G2508" s="1" t="str">
        <f aca="false">IF(C2508="","",INDEX(Akaun!$F$5:$F$150,MATCH(C2508,Akaun!$A$5:$A$150,0)))</f>
        <v/>
      </c>
      <c r="H2508" s="1" t="str">
        <f aca="false">IF(C2508="","",INDEX(Akaun!$D$5:$D$150,MATCH(C2508,Akaun!$A$5:$A$150,0)))</f>
        <v/>
      </c>
    </row>
    <row r="2509" customFormat="false" ht="15" hidden="false" customHeight="true" outlineLevel="0" collapsed="false">
      <c r="G2509" s="1" t="str">
        <f aca="false">IF(C2509="","",INDEX(Akaun!$F$5:$F$150,MATCH(C2509,Akaun!$A$5:$A$150,0)))</f>
        <v/>
      </c>
      <c r="H2509" s="1" t="str">
        <f aca="false">IF(C2509="","",INDEX(Akaun!$D$5:$D$150,MATCH(C2509,Akaun!$A$5:$A$150,0)))</f>
        <v/>
      </c>
    </row>
    <row r="2510" customFormat="false" ht="15" hidden="false" customHeight="true" outlineLevel="0" collapsed="false">
      <c r="G2510" s="1" t="str">
        <f aca="false">IF(C2510="","",INDEX(Akaun!$F$5:$F$150,MATCH(C2510,Akaun!$A$5:$A$150,0)))</f>
        <v/>
      </c>
      <c r="H2510" s="1" t="str">
        <f aca="false">IF(C2510="","",INDEX(Akaun!$D$5:$D$150,MATCH(C2510,Akaun!$A$5:$A$150,0)))</f>
        <v/>
      </c>
    </row>
    <row r="2511" customFormat="false" ht="15" hidden="false" customHeight="true" outlineLevel="0" collapsed="false">
      <c r="G2511" s="1" t="str">
        <f aca="false">IF(C2511="","",INDEX(Akaun!$F$5:$F$150,MATCH(C2511,Akaun!$A$5:$A$150,0)))</f>
        <v/>
      </c>
      <c r="H2511" s="1" t="str">
        <f aca="false">IF(C2511="","",INDEX(Akaun!$D$5:$D$150,MATCH(C2511,Akaun!$A$5:$A$150,0)))</f>
        <v/>
      </c>
    </row>
    <row r="2512" customFormat="false" ht="15" hidden="false" customHeight="true" outlineLevel="0" collapsed="false">
      <c r="G2512" s="1" t="str">
        <f aca="false">IF(C2512="","",INDEX(Akaun!$F$5:$F$150,MATCH(C2512,Akaun!$A$5:$A$150,0)))</f>
        <v/>
      </c>
      <c r="H2512" s="1" t="str">
        <f aca="false">IF(C2512="","",INDEX(Akaun!$D$5:$D$150,MATCH(C2512,Akaun!$A$5:$A$150,0)))</f>
        <v/>
      </c>
    </row>
    <row r="2513" customFormat="false" ht="15" hidden="false" customHeight="true" outlineLevel="0" collapsed="false">
      <c r="G2513" s="1" t="str">
        <f aca="false">IF(C2513="","",INDEX(Akaun!$F$5:$F$150,MATCH(C2513,Akaun!$A$5:$A$150,0)))</f>
        <v/>
      </c>
      <c r="H2513" s="1" t="str">
        <f aca="false">IF(C2513="","",INDEX(Akaun!$D$5:$D$150,MATCH(C2513,Akaun!$A$5:$A$150,0)))</f>
        <v/>
      </c>
    </row>
    <row r="2514" customFormat="false" ht="15" hidden="false" customHeight="true" outlineLevel="0" collapsed="false">
      <c r="G2514" s="1" t="str">
        <f aca="false">IF(C2514="","",INDEX(Akaun!$F$5:$F$150,MATCH(C2514,Akaun!$A$5:$A$150,0)))</f>
        <v/>
      </c>
      <c r="H2514" s="1" t="str">
        <f aca="false">IF(C2514="","",INDEX(Akaun!$D$5:$D$150,MATCH(C2514,Akaun!$A$5:$A$150,0)))</f>
        <v/>
      </c>
    </row>
    <row r="2515" customFormat="false" ht="15" hidden="false" customHeight="true" outlineLevel="0" collapsed="false">
      <c r="G2515" s="1" t="str">
        <f aca="false">IF(C2515="","",INDEX(Akaun!$F$5:$F$150,MATCH(C2515,Akaun!$A$5:$A$150,0)))</f>
        <v/>
      </c>
      <c r="H2515" s="1" t="str">
        <f aca="false">IF(C2515="","",INDEX(Akaun!$D$5:$D$150,MATCH(C2515,Akaun!$A$5:$A$150,0)))</f>
        <v/>
      </c>
    </row>
    <row r="2516" customFormat="false" ht="15" hidden="false" customHeight="true" outlineLevel="0" collapsed="false">
      <c r="G2516" s="1" t="str">
        <f aca="false">IF(C2516="","",INDEX(Akaun!$F$5:$F$150,MATCH(C2516,Akaun!$A$5:$A$150,0)))</f>
        <v/>
      </c>
      <c r="H2516" s="1" t="str">
        <f aca="false">IF(C2516="","",INDEX(Akaun!$D$5:$D$150,MATCH(C2516,Akaun!$A$5:$A$150,0)))</f>
        <v/>
      </c>
    </row>
    <row r="2517" customFormat="false" ht="15" hidden="false" customHeight="true" outlineLevel="0" collapsed="false">
      <c r="G2517" s="1" t="str">
        <f aca="false">IF(C2517="","",INDEX(Akaun!$F$5:$F$150,MATCH(C2517,Akaun!$A$5:$A$150,0)))</f>
        <v/>
      </c>
      <c r="H2517" s="1" t="str">
        <f aca="false">IF(C2517="","",INDEX(Akaun!$D$5:$D$150,MATCH(C2517,Akaun!$A$5:$A$150,0)))</f>
        <v/>
      </c>
    </row>
    <row r="2518" customFormat="false" ht="15" hidden="false" customHeight="true" outlineLevel="0" collapsed="false">
      <c r="G2518" s="1" t="str">
        <f aca="false">IF(C2518="","",INDEX(Akaun!$F$5:$F$150,MATCH(C2518,Akaun!$A$5:$A$150,0)))</f>
        <v/>
      </c>
      <c r="H2518" s="1" t="str">
        <f aca="false">IF(C2518="","",INDEX(Akaun!$D$5:$D$150,MATCH(C2518,Akaun!$A$5:$A$150,0)))</f>
        <v/>
      </c>
    </row>
    <row r="2519" customFormat="false" ht="15" hidden="false" customHeight="true" outlineLevel="0" collapsed="false">
      <c r="G2519" s="1" t="str">
        <f aca="false">IF(C2519="","",INDEX(Akaun!$F$5:$F$150,MATCH(C2519,Akaun!$A$5:$A$150,0)))</f>
        <v/>
      </c>
      <c r="H2519" s="1" t="str">
        <f aca="false">IF(C2519="","",INDEX(Akaun!$D$5:$D$150,MATCH(C2519,Akaun!$A$5:$A$150,0)))</f>
        <v/>
      </c>
    </row>
    <row r="2520" customFormat="false" ht="15" hidden="false" customHeight="true" outlineLevel="0" collapsed="false">
      <c r="G2520" s="1" t="str">
        <f aca="false">IF(C2520="","",INDEX(Akaun!$F$5:$F$150,MATCH(C2520,Akaun!$A$5:$A$150,0)))</f>
        <v/>
      </c>
      <c r="H2520" s="1" t="str">
        <f aca="false">IF(C2520="","",INDEX(Akaun!$D$5:$D$150,MATCH(C2520,Akaun!$A$5:$A$150,0)))</f>
        <v/>
      </c>
    </row>
    <row r="2521" customFormat="false" ht="15" hidden="false" customHeight="true" outlineLevel="0" collapsed="false">
      <c r="G2521" s="1" t="str">
        <f aca="false">IF(C2521="","",INDEX(Akaun!$F$5:$F$150,MATCH(C2521,Akaun!$A$5:$A$150,0)))</f>
        <v/>
      </c>
      <c r="H2521" s="1" t="str">
        <f aca="false">IF(C2521="","",INDEX(Akaun!$D$5:$D$150,MATCH(C2521,Akaun!$A$5:$A$150,0)))</f>
        <v/>
      </c>
    </row>
    <row r="2522" customFormat="false" ht="15" hidden="false" customHeight="true" outlineLevel="0" collapsed="false">
      <c r="G2522" s="1" t="str">
        <f aca="false">IF(C2522="","",INDEX(Akaun!$F$5:$F$150,MATCH(C2522,Akaun!$A$5:$A$150,0)))</f>
        <v/>
      </c>
      <c r="H2522" s="1" t="str">
        <f aca="false">IF(C2522="","",INDEX(Akaun!$D$5:$D$150,MATCH(C2522,Akaun!$A$5:$A$150,0)))</f>
        <v/>
      </c>
    </row>
    <row r="2523" customFormat="false" ht="15" hidden="false" customHeight="true" outlineLevel="0" collapsed="false">
      <c r="G2523" s="1" t="str">
        <f aca="false">IF(C2523="","",INDEX(Akaun!$F$5:$F$150,MATCH(C2523,Akaun!$A$5:$A$150,0)))</f>
        <v/>
      </c>
      <c r="H2523" s="1" t="str">
        <f aca="false">IF(C2523="","",INDEX(Akaun!$D$5:$D$150,MATCH(C2523,Akaun!$A$5:$A$150,0)))</f>
        <v/>
      </c>
    </row>
    <row r="2524" customFormat="false" ht="15" hidden="false" customHeight="true" outlineLevel="0" collapsed="false">
      <c r="G2524" s="1" t="str">
        <f aca="false">IF(C2524="","",INDEX(Akaun!$F$5:$F$150,MATCH(C2524,Akaun!$A$5:$A$150,0)))</f>
        <v/>
      </c>
      <c r="H2524" s="1" t="str">
        <f aca="false">IF(C2524="","",INDEX(Akaun!$D$5:$D$150,MATCH(C2524,Akaun!$A$5:$A$150,0)))</f>
        <v/>
      </c>
    </row>
    <row r="2525" customFormat="false" ht="15" hidden="false" customHeight="true" outlineLevel="0" collapsed="false">
      <c r="G2525" s="1" t="str">
        <f aca="false">IF(C2525="","",INDEX(Akaun!$F$5:$F$150,MATCH(C2525,Akaun!$A$5:$A$150,0)))</f>
        <v/>
      </c>
      <c r="H2525" s="1" t="str">
        <f aca="false">IF(C2525="","",INDEX(Akaun!$D$5:$D$150,MATCH(C2525,Akaun!$A$5:$A$150,0)))</f>
        <v/>
      </c>
    </row>
    <row r="2526" customFormat="false" ht="15" hidden="false" customHeight="true" outlineLevel="0" collapsed="false">
      <c r="G2526" s="1" t="str">
        <f aca="false">IF(C2526="","",INDEX(Akaun!$F$5:$F$150,MATCH(C2526,Akaun!$A$5:$A$150,0)))</f>
        <v/>
      </c>
      <c r="H2526" s="1" t="str">
        <f aca="false">IF(C2526="","",INDEX(Akaun!$D$5:$D$150,MATCH(C2526,Akaun!$A$5:$A$150,0)))</f>
        <v/>
      </c>
    </row>
    <row r="2527" customFormat="false" ht="15" hidden="false" customHeight="true" outlineLevel="0" collapsed="false">
      <c r="G2527" s="1" t="str">
        <f aca="false">IF(C2527="","",INDEX(Akaun!$F$5:$F$150,MATCH(C2527,Akaun!$A$5:$A$150,0)))</f>
        <v/>
      </c>
      <c r="H2527" s="1" t="str">
        <f aca="false">IF(C2527="","",INDEX(Akaun!$D$5:$D$150,MATCH(C2527,Akaun!$A$5:$A$150,0)))</f>
        <v/>
      </c>
    </row>
    <row r="2528" customFormat="false" ht="15" hidden="false" customHeight="true" outlineLevel="0" collapsed="false">
      <c r="G2528" s="1" t="str">
        <f aca="false">IF(C2528="","",INDEX(Akaun!$F$5:$F$150,MATCH(C2528,Akaun!$A$5:$A$150,0)))</f>
        <v/>
      </c>
      <c r="H2528" s="1" t="str">
        <f aca="false">IF(C2528="","",INDEX(Akaun!$D$5:$D$150,MATCH(C2528,Akaun!$A$5:$A$150,0)))</f>
        <v/>
      </c>
    </row>
    <row r="2529" customFormat="false" ht="15" hidden="false" customHeight="true" outlineLevel="0" collapsed="false">
      <c r="G2529" s="1" t="str">
        <f aca="false">IF(C2529="","",INDEX(Akaun!$F$5:$F$150,MATCH(C2529,Akaun!$A$5:$A$150,0)))</f>
        <v/>
      </c>
      <c r="H2529" s="1" t="str">
        <f aca="false">IF(C2529="","",INDEX(Akaun!$D$5:$D$150,MATCH(C2529,Akaun!$A$5:$A$150,0)))</f>
        <v/>
      </c>
    </row>
    <row r="2530" customFormat="false" ht="15" hidden="false" customHeight="true" outlineLevel="0" collapsed="false">
      <c r="G2530" s="1" t="str">
        <f aca="false">IF(C2530="","",INDEX(Akaun!$F$5:$F$150,MATCH(C2530,Akaun!$A$5:$A$150,0)))</f>
        <v/>
      </c>
      <c r="H2530" s="1" t="str">
        <f aca="false">IF(C2530="","",INDEX(Akaun!$D$5:$D$150,MATCH(C2530,Akaun!$A$5:$A$150,0)))</f>
        <v/>
      </c>
    </row>
    <row r="2531" customFormat="false" ht="15" hidden="false" customHeight="true" outlineLevel="0" collapsed="false">
      <c r="G2531" s="1" t="str">
        <f aca="false">IF(C2531="","",INDEX(Akaun!$F$5:$F$150,MATCH(C2531,Akaun!$A$5:$A$150,0)))</f>
        <v/>
      </c>
      <c r="H2531" s="1" t="str">
        <f aca="false">IF(C2531="","",INDEX(Akaun!$D$5:$D$150,MATCH(C2531,Akaun!$A$5:$A$150,0)))</f>
        <v/>
      </c>
    </row>
    <row r="2532" customFormat="false" ht="15" hidden="false" customHeight="true" outlineLevel="0" collapsed="false">
      <c r="G2532" s="1" t="str">
        <f aca="false">IF(C2532="","",INDEX(Akaun!$F$5:$F$150,MATCH(C2532,Akaun!$A$5:$A$150,0)))</f>
        <v/>
      </c>
      <c r="H2532" s="1" t="str">
        <f aca="false">IF(C2532="","",INDEX(Akaun!$D$5:$D$150,MATCH(C2532,Akaun!$A$5:$A$150,0)))</f>
        <v/>
      </c>
    </row>
    <row r="2533" customFormat="false" ht="15" hidden="false" customHeight="true" outlineLevel="0" collapsed="false">
      <c r="G2533" s="1" t="str">
        <f aca="false">IF(C2533="","",INDEX(Akaun!$F$5:$F$150,MATCH(C2533,Akaun!$A$5:$A$150,0)))</f>
        <v/>
      </c>
      <c r="H2533" s="1" t="str">
        <f aca="false">IF(C2533="","",INDEX(Akaun!$D$5:$D$150,MATCH(C2533,Akaun!$A$5:$A$150,0)))</f>
        <v/>
      </c>
    </row>
    <row r="2534" customFormat="false" ht="15" hidden="false" customHeight="true" outlineLevel="0" collapsed="false">
      <c r="G2534" s="1" t="str">
        <f aca="false">IF(C2534="","",INDEX(Akaun!$F$5:$F$150,MATCH(C2534,Akaun!$A$5:$A$150,0)))</f>
        <v/>
      </c>
      <c r="H2534" s="1" t="str">
        <f aca="false">IF(C2534="","",INDEX(Akaun!$D$5:$D$150,MATCH(C2534,Akaun!$A$5:$A$150,0)))</f>
        <v/>
      </c>
    </row>
    <row r="2535" customFormat="false" ht="15" hidden="false" customHeight="true" outlineLevel="0" collapsed="false">
      <c r="G2535" s="1" t="str">
        <f aca="false">IF(C2535="","",INDEX(Akaun!$F$5:$F$150,MATCH(C2535,Akaun!$A$5:$A$150,0)))</f>
        <v/>
      </c>
      <c r="H2535" s="1" t="str">
        <f aca="false">IF(C2535="","",INDEX(Akaun!$D$5:$D$150,MATCH(C2535,Akaun!$A$5:$A$150,0)))</f>
        <v/>
      </c>
    </row>
    <row r="2536" customFormat="false" ht="15" hidden="false" customHeight="true" outlineLevel="0" collapsed="false">
      <c r="G2536" s="1" t="str">
        <f aca="false">IF(C2536="","",INDEX(Akaun!$F$5:$F$150,MATCH(C2536,Akaun!$A$5:$A$150,0)))</f>
        <v/>
      </c>
      <c r="H2536" s="1" t="str">
        <f aca="false">IF(C2536="","",INDEX(Akaun!$D$5:$D$150,MATCH(C2536,Akaun!$A$5:$A$150,0)))</f>
        <v/>
      </c>
    </row>
    <row r="2537" customFormat="false" ht="15" hidden="false" customHeight="true" outlineLevel="0" collapsed="false">
      <c r="G2537" s="1" t="str">
        <f aca="false">IF(C2537="","",INDEX(Akaun!$F$5:$F$150,MATCH(C2537,Akaun!$A$5:$A$150,0)))</f>
        <v/>
      </c>
      <c r="H2537" s="1" t="str">
        <f aca="false">IF(C2537="","",INDEX(Akaun!$D$5:$D$150,MATCH(C2537,Akaun!$A$5:$A$150,0)))</f>
        <v/>
      </c>
    </row>
    <row r="2538" customFormat="false" ht="15" hidden="false" customHeight="true" outlineLevel="0" collapsed="false">
      <c r="G2538" s="1" t="str">
        <f aca="false">IF(C2538="","",INDEX(Akaun!$F$5:$F$150,MATCH(C2538,Akaun!$A$5:$A$150,0)))</f>
        <v/>
      </c>
      <c r="H2538" s="1" t="str">
        <f aca="false">IF(C2538="","",INDEX(Akaun!$D$5:$D$150,MATCH(C2538,Akaun!$A$5:$A$150,0)))</f>
        <v/>
      </c>
    </row>
    <row r="2539" customFormat="false" ht="15" hidden="false" customHeight="true" outlineLevel="0" collapsed="false">
      <c r="G2539" s="1" t="str">
        <f aca="false">IF(C2539="","",INDEX(Akaun!$F$5:$F$150,MATCH(C2539,Akaun!$A$5:$A$150,0)))</f>
        <v/>
      </c>
      <c r="H2539" s="1" t="str">
        <f aca="false">IF(C2539="","",INDEX(Akaun!$D$5:$D$150,MATCH(C2539,Akaun!$A$5:$A$150,0)))</f>
        <v/>
      </c>
    </row>
    <row r="2540" customFormat="false" ht="15" hidden="false" customHeight="true" outlineLevel="0" collapsed="false">
      <c r="G2540" s="1" t="str">
        <f aca="false">IF(C2540="","",INDEX(Akaun!$F$5:$F$150,MATCH(C2540,Akaun!$A$5:$A$150,0)))</f>
        <v/>
      </c>
      <c r="H2540" s="1" t="str">
        <f aca="false">IF(C2540="","",INDEX(Akaun!$D$5:$D$150,MATCH(C2540,Akaun!$A$5:$A$150,0)))</f>
        <v/>
      </c>
    </row>
    <row r="2541" customFormat="false" ht="15" hidden="false" customHeight="true" outlineLevel="0" collapsed="false">
      <c r="G2541" s="1" t="str">
        <f aca="false">IF(C2541="","",INDEX(Akaun!$F$5:$F$150,MATCH(C2541,Akaun!$A$5:$A$150,0)))</f>
        <v/>
      </c>
      <c r="H2541" s="1" t="str">
        <f aca="false">IF(C2541="","",INDEX(Akaun!$D$5:$D$150,MATCH(C2541,Akaun!$A$5:$A$150,0)))</f>
        <v/>
      </c>
    </row>
    <row r="2542" customFormat="false" ht="15" hidden="false" customHeight="true" outlineLevel="0" collapsed="false">
      <c r="G2542" s="1" t="str">
        <f aca="false">IF(C2542="","",INDEX(Akaun!$F$5:$F$150,MATCH(C2542,Akaun!$A$5:$A$150,0)))</f>
        <v/>
      </c>
      <c r="H2542" s="1" t="str">
        <f aca="false">IF(C2542="","",INDEX(Akaun!$D$5:$D$150,MATCH(C2542,Akaun!$A$5:$A$150,0)))</f>
        <v/>
      </c>
    </row>
    <row r="2543" customFormat="false" ht="15" hidden="false" customHeight="true" outlineLevel="0" collapsed="false">
      <c r="G2543" s="1" t="str">
        <f aca="false">IF(C2543="","",INDEX(Akaun!$F$5:$F$150,MATCH(C2543,Akaun!$A$5:$A$150,0)))</f>
        <v/>
      </c>
      <c r="H2543" s="1" t="str">
        <f aca="false">IF(C2543="","",INDEX(Akaun!$D$5:$D$150,MATCH(C2543,Akaun!$A$5:$A$150,0)))</f>
        <v/>
      </c>
    </row>
    <row r="2544" customFormat="false" ht="15" hidden="false" customHeight="true" outlineLevel="0" collapsed="false">
      <c r="G2544" s="1" t="str">
        <f aca="false">IF(C2544="","",INDEX(Akaun!$F$5:$F$150,MATCH(C2544,Akaun!$A$5:$A$150,0)))</f>
        <v/>
      </c>
      <c r="H2544" s="1" t="str">
        <f aca="false">IF(C2544="","",INDEX(Akaun!$D$5:$D$150,MATCH(C2544,Akaun!$A$5:$A$150,0)))</f>
        <v/>
      </c>
    </row>
    <row r="2545" customFormat="false" ht="15" hidden="false" customHeight="true" outlineLevel="0" collapsed="false">
      <c r="G2545" s="1" t="str">
        <f aca="false">IF(C2545="","",INDEX(Akaun!$F$5:$F$150,MATCH(C2545,Akaun!$A$5:$A$150,0)))</f>
        <v/>
      </c>
      <c r="H2545" s="1" t="str">
        <f aca="false">IF(C2545="","",INDEX(Akaun!$D$5:$D$150,MATCH(C2545,Akaun!$A$5:$A$150,0)))</f>
        <v/>
      </c>
    </row>
    <row r="2546" customFormat="false" ht="15" hidden="false" customHeight="true" outlineLevel="0" collapsed="false">
      <c r="G2546" s="1" t="str">
        <f aca="false">IF(C2546="","",INDEX(Akaun!$F$5:$F$150,MATCH(C2546,Akaun!$A$5:$A$150,0)))</f>
        <v/>
      </c>
      <c r="H2546" s="1" t="str">
        <f aca="false">IF(C2546="","",INDEX(Akaun!$D$5:$D$150,MATCH(C2546,Akaun!$A$5:$A$150,0)))</f>
        <v/>
      </c>
    </row>
    <row r="2547" customFormat="false" ht="15" hidden="false" customHeight="true" outlineLevel="0" collapsed="false">
      <c r="G2547" s="1" t="str">
        <f aca="false">IF(C2547="","",INDEX(Akaun!$F$5:$F$150,MATCH(C2547,Akaun!$A$5:$A$150,0)))</f>
        <v/>
      </c>
      <c r="H2547" s="1" t="str">
        <f aca="false">IF(C2547="","",INDEX(Akaun!$D$5:$D$150,MATCH(C2547,Akaun!$A$5:$A$150,0)))</f>
        <v/>
      </c>
    </row>
    <row r="2548" customFormat="false" ht="15" hidden="false" customHeight="true" outlineLevel="0" collapsed="false">
      <c r="G2548" s="1" t="str">
        <f aca="false">IF(C2548="","",INDEX(Akaun!$F$5:$F$150,MATCH(C2548,Akaun!$A$5:$A$150,0)))</f>
        <v/>
      </c>
      <c r="H2548" s="1" t="str">
        <f aca="false">IF(C2548="","",INDEX(Akaun!$D$5:$D$150,MATCH(C2548,Akaun!$A$5:$A$150,0)))</f>
        <v/>
      </c>
    </row>
    <row r="2549" customFormat="false" ht="15" hidden="false" customHeight="true" outlineLevel="0" collapsed="false">
      <c r="G2549" s="1" t="str">
        <f aca="false">IF(C2549="","",INDEX(Akaun!$F$5:$F$150,MATCH(C2549,Akaun!$A$5:$A$150,0)))</f>
        <v/>
      </c>
      <c r="H2549" s="1" t="str">
        <f aca="false">IF(C2549="","",INDEX(Akaun!$D$5:$D$150,MATCH(C2549,Akaun!$A$5:$A$150,0)))</f>
        <v/>
      </c>
    </row>
    <row r="2550" customFormat="false" ht="15" hidden="false" customHeight="true" outlineLevel="0" collapsed="false">
      <c r="G2550" s="1" t="str">
        <f aca="false">IF(C2550="","",INDEX(Akaun!$F$5:$F$150,MATCH(C2550,Akaun!$A$5:$A$150,0)))</f>
        <v/>
      </c>
      <c r="H2550" s="1" t="str">
        <f aca="false">IF(C2550="","",INDEX(Akaun!$D$5:$D$150,MATCH(C2550,Akaun!$A$5:$A$150,0)))</f>
        <v/>
      </c>
    </row>
    <row r="2551" customFormat="false" ht="15" hidden="false" customHeight="true" outlineLevel="0" collapsed="false">
      <c r="G2551" s="1" t="str">
        <f aca="false">IF(C2551="","",INDEX(Akaun!$F$5:$F$150,MATCH(C2551,Akaun!$A$5:$A$150,0)))</f>
        <v/>
      </c>
      <c r="H2551" s="1" t="str">
        <f aca="false">IF(C2551="","",INDEX(Akaun!$D$5:$D$150,MATCH(C2551,Akaun!$A$5:$A$150,0)))</f>
        <v/>
      </c>
    </row>
    <row r="2552" customFormat="false" ht="15" hidden="false" customHeight="true" outlineLevel="0" collapsed="false">
      <c r="G2552" s="1" t="str">
        <f aca="false">IF(C2552="","",INDEX(Akaun!$F$5:$F$150,MATCH(C2552,Akaun!$A$5:$A$150,0)))</f>
        <v/>
      </c>
      <c r="H2552" s="1" t="str">
        <f aca="false">IF(C2552="","",INDEX(Akaun!$D$5:$D$150,MATCH(C2552,Akaun!$A$5:$A$150,0)))</f>
        <v/>
      </c>
    </row>
    <row r="2553" customFormat="false" ht="15" hidden="false" customHeight="true" outlineLevel="0" collapsed="false">
      <c r="G2553" s="1" t="str">
        <f aca="false">IF(C2553="","",INDEX(Akaun!$F$5:$F$150,MATCH(C2553,Akaun!$A$5:$A$150,0)))</f>
        <v/>
      </c>
      <c r="H2553" s="1" t="str">
        <f aca="false">IF(C2553="","",INDEX(Akaun!$D$5:$D$150,MATCH(C2553,Akaun!$A$5:$A$150,0)))</f>
        <v/>
      </c>
    </row>
    <row r="2554" customFormat="false" ht="15" hidden="false" customHeight="true" outlineLevel="0" collapsed="false">
      <c r="G2554" s="1" t="str">
        <f aca="false">IF(C2554="","",INDEX(Akaun!$F$5:$F$150,MATCH(C2554,Akaun!$A$5:$A$150,0)))</f>
        <v/>
      </c>
      <c r="H2554" s="1" t="str">
        <f aca="false">IF(C2554="","",INDEX(Akaun!$D$5:$D$150,MATCH(C2554,Akaun!$A$5:$A$150,0)))</f>
        <v/>
      </c>
    </row>
    <row r="2555" customFormat="false" ht="15" hidden="false" customHeight="true" outlineLevel="0" collapsed="false">
      <c r="G2555" s="1" t="str">
        <f aca="false">IF(C2555="","",INDEX(Akaun!$F$5:$F$150,MATCH(C2555,Akaun!$A$5:$A$150,0)))</f>
        <v/>
      </c>
      <c r="H2555" s="1" t="str">
        <f aca="false">IF(C2555="","",INDEX(Akaun!$D$5:$D$150,MATCH(C2555,Akaun!$A$5:$A$150,0)))</f>
        <v/>
      </c>
    </row>
    <row r="2556" customFormat="false" ht="15" hidden="false" customHeight="true" outlineLevel="0" collapsed="false">
      <c r="G2556" s="1" t="str">
        <f aca="false">IF(C2556="","",INDEX(Akaun!$F$5:$F$150,MATCH(C2556,Akaun!$A$5:$A$150,0)))</f>
        <v/>
      </c>
      <c r="H2556" s="1" t="str">
        <f aca="false">IF(C2556="","",INDEX(Akaun!$D$5:$D$150,MATCH(C2556,Akaun!$A$5:$A$150,0)))</f>
        <v/>
      </c>
    </row>
    <row r="2557" customFormat="false" ht="15" hidden="false" customHeight="true" outlineLevel="0" collapsed="false">
      <c r="G2557" s="1" t="str">
        <f aca="false">IF(C2557="","",INDEX(Akaun!$F$5:$F$150,MATCH(C2557,Akaun!$A$5:$A$150,0)))</f>
        <v/>
      </c>
      <c r="H2557" s="1" t="str">
        <f aca="false">IF(C2557="","",INDEX(Akaun!$D$5:$D$150,MATCH(C2557,Akaun!$A$5:$A$150,0)))</f>
        <v/>
      </c>
    </row>
    <row r="2558" customFormat="false" ht="15" hidden="false" customHeight="true" outlineLevel="0" collapsed="false">
      <c r="G2558" s="1" t="str">
        <f aca="false">IF(C2558="","",INDEX(Akaun!$F$5:$F$150,MATCH(C2558,Akaun!$A$5:$A$150,0)))</f>
        <v/>
      </c>
      <c r="H2558" s="1" t="str">
        <f aca="false">IF(C2558="","",INDEX(Akaun!$D$5:$D$150,MATCH(C2558,Akaun!$A$5:$A$150,0)))</f>
        <v/>
      </c>
    </row>
    <row r="2559" customFormat="false" ht="15" hidden="false" customHeight="true" outlineLevel="0" collapsed="false">
      <c r="G2559" s="1" t="str">
        <f aca="false">IF(C2559="","",INDEX(Akaun!$F$5:$F$150,MATCH(C2559,Akaun!$A$5:$A$150,0)))</f>
        <v/>
      </c>
      <c r="H2559" s="1" t="str">
        <f aca="false">IF(C2559="","",INDEX(Akaun!$D$5:$D$150,MATCH(C2559,Akaun!$A$5:$A$150,0)))</f>
        <v/>
      </c>
    </row>
    <row r="2560" customFormat="false" ht="15" hidden="false" customHeight="true" outlineLevel="0" collapsed="false">
      <c r="G2560" s="1" t="str">
        <f aca="false">IF(C2560="","",INDEX(Akaun!$F$5:$F$150,MATCH(C2560,Akaun!$A$5:$A$150,0)))</f>
        <v/>
      </c>
      <c r="H2560" s="1" t="str">
        <f aca="false">IF(C2560="","",INDEX(Akaun!$D$5:$D$150,MATCH(C2560,Akaun!$A$5:$A$150,0)))</f>
        <v/>
      </c>
    </row>
    <row r="2561" customFormat="false" ht="15" hidden="false" customHeight="true" outlineLevel="0" collapsed="false">
      <c r="G2561" s="1" t="str">
        <f aca="false">IF(C2561="","",INDEX(Akaun!$F$5:$F$150,MATCH(C2561,Akaun!$A$5:$A$150,0)))</f>
        <v/>
      </c>
      <c r="H2561" s="1" t="str">
        <f aca="false">IF(C2561="","",INDEX(Akaun!$D$5:$D$150,MATCH(C2561,Akaun!$A$5:$A$150,0)))</f>
        <v/>
      </c>
    </row>
    <row r="2562" customFormat="false" ht="15" hidden="false" customHeight="true" outlineLevel="0" collapsed="false">
      <c r="G2562" s="1" t="str">
        <f aca="false">IF(C2562="","",INDEX(Akaun!$F$5:$F$150,MATCH(C2562,Akaun!$A$5:$A$150,0)))</f>
        <v/>
      </c>
      <c r="H2562" s="1" t="str">
        <f aca="false">IF(C2562="","",INDEX(Akaun!$D$5:$D$150,MATCH(C2562,Akaun!$A$5:$A$150,0)))</f>
        <v/>
      </c>
    </row>
    <row r="2563" customFormat="false" ht="15" hidden="false" customHeight="true" outlineLevel="0" collapsed="false">
      <c r="G2563" s="1" t="str">
        <f aca="false">IF(C2563="","",INDEX(Akaun!$F$5:$F$150,MATCH(C2563,Akaun!$A$5:$A$150,0)))</f>
        <v/>
      </c>
      <c r="H2563" s="1" t="str">
        <f aca="false">IF(C2563="","",INDEX(Akaun!$D$5:$D$150,MATCH(C2563,Akaun!$A$5:$A$150,0)))</f>
        <v/>
      </c>
    </row>
    <row r="2564" customFormat="false" ht="15" hidden="false" customHeight="true" outlineLevel="0" collapsed="false">
      <c r="G2564" s="1" t="str">
        <f aca="false">IF(C2564="","",INDEX(Akaun!$F$5:$F$150,MATCH(C2564,Akaun!$A$5:$A$150,0)))</f>
        <v/>
      </c>
      <c r="H2564" s="1" t="str">
        <f aca="false">IF(C2564="","",INDEX(Akaun!$D$5:$D$150,MATCH(C2564,Akaun!$A$5:$A$150,0)))</f>
        <v/>
      </c>
    </row>
    <row r="2565" customFormat="false" ht="15" hidden="false" customHeight="true" outlineLevel="0" collapsed="false">
      <c r="G2565" s="1" t="str">
        <f aca="false">IF(C2565="","",INDEX(Akaun!$F$5:$F$150,MATCH(C2565,Akaun!$A$5:$A$150,0)))</f>
        <v/>
      </c>
      <c r="H2565" s="1" t="str">
        <f aca="false">IF(C2565="","",INDEX(Akaun!$D$5:$D$150,MATCH(C2565,Akaun!$A$5:$A$150,0)))</f>
        <v/>
      </c>
    </row>
    <row r="2566" customFormat="false" ht="15" hidden="false" customHeight="true" outlineLevel="0" collapsed="false">
      <c r="G2566" s="1" t="str">
        <f aca="false">IF(C2566="","",INDEX(Akaun!$F$5:$F$150,MATCH(C2566,Akaun!$A$5:$A$150,0)))</f>
        <v/>
      </c>
      <c r="H2566" s="1" t="str">
        <f aca="false">IF(C2566="","",INDEX(Akaun!$D$5:$D$150,MATCH(C2566,Akaun!$A$5:$A$150,0)))</f>
        <v/>
      </c>
    </row>
    <row r="2567" customFormat="false" ht="15" hidden="false" customHeight="true" outlineLevel="0" collapsed="false">
      <c r="G2567" s="1" t="str">
        <f aca="false">IF(C2567="","",INDEX(Akaun!$F$5:$F$150,MATCH(C2567,Akaun!$A$5:$A$150,0)))</f>
        <v/>
      </c>
      <c r="H2567" s="1" t="str">
        <f aca="false">IF(C2567="","",INDEX(Akaun!$D$5:$D$150,MATCH(C2567,Akaun!$A$5:$A$150,0)))</f>
        <v/>
      </c>
    </row>
    <row r="2568" customFormat="false" ht="15" hidden="false" customHeight="true" outlineLevel="0" collapsed="false">
      <c r="G2568" s="1" t="str">
        <f aca="false">IF(C2568="","",INDEX(Akaun!$F$5:$F$150,MATCH(C2568,Akaun!$A$5:$A$150,0)))</f>
        <v/>
      </c>
      <c r="H2568" s="1" t="str">
        <f aca="false">IF(C2568="","",INDEX(Akaun!$D$5:$D$150,MATCH(C2568,Akaun!$A$5:$A$150,0)))</f>
        <v/>
      </c>
    </row>
    <row r="2569" customFormat="false" ht="15" hidden="false" customHeight="true" outlineLevel="0" collapsed="false">
      <c r="G2569" s="1" t="str">
        <f aca="false">IF(C2569="","",INDEX(Akaun!$F$5:$F$150,MATCH(C2569,Akaun!$A$5:$A$150,0)))</f>
        <v/>
      </c>
      <c r="H2569" s="1" t="str">
        <f aca="false">IF(C2569="","",INDEX(Akaun!$D$5:$D$150,MATCH(C2569,Akaun!$A$5:$A$150,0)))</f>
        <v/>
      </c>
    </row>
    <row r="2570" customFormat="false" ht="15" hidden="false" customHeight="true" outlineLevel="0" collapsed="false">
      <c r="G2570" s="1" t="str">
        <f aca="false">IF(C2570="","",INDEX(Akaun!$F$5:$F$150,MATCH(C2570,Akaun!$A$5:$A$150,0)))</f>
        <v/>
      </c>
      <c r="H2570" s="1" t="str">
        <f aca="false">IF(C2570="","",INDEX(Akaun!$D$5:$D$150,MATCH(C2570,Akaun!$A$5:$A$150,0)))</f>
        <v/>
      </c>
    </row>
    <row r="2571" customFormat="false" ht="15" hidden="false" customHeight="true" outlineLevel="0" collapsed="false">
      <c r="G2571" s="1" t="str">
        <f aca="false">IF(C2571="","",INDEX(Akaun!$F$5:$F$150,MATCH(C2571,Akaun!$A$5:$A$150,0)))</f>
        <v/>
      </c>
      <c r="H2571" s="1" t="str">
        <f aca="false">IF(C2571="","",INDEX(Akaun!$D$5:$D$150,MATCH(C2571,Akaun!$A$5:$A$150,0)))</f>
        <v/>
      </c>
    </row>
    <row r="2572" customFormat="false" ht="15" hidden="false" customHeight="true" outlineLevel="0" collapsed="false">
      <c r="G2572" s="1" t="str">
        <f aca="false">IF(C2572="","",INDEX(Akaun!$F$5:$F$150,MATCH(C2572,Akaun!$A$5:$A$150,0)))</f>
        <v/>
      </c>
      <c r="H2572" s="1" t="str">
        <f aca="false">IF(C2572="","",INDEX(Akaun!$D$5:$D$150,MATCH(C2572,Akaun!$A$5:$A$150,0)))</f>
        <v/>
      </c>
    </row>
    <row r="2573" customFormat="false" ht="15" hidden="false" customHeight="true" outlineLevel="0" collapsed="false">
      <c r="G2573" s="1" t="str">
        <f aca="false">IF(C2573="","",INDEX(Akaun!$F$5:$F$150,MATCH(C2573,Akaun!$A$5:$A$150,0)))</f>
        <v/>
      </c>
      <c r="H2573" s="1" t="str">
        <f aca="false">IF(C2573="","",INDEX(Akaun!$D$5:$D$150,MATCH(C2573,Akaun!$A$5:$A$150,0)))</f>
        <v/>
      </c>
    </row>
    <row r="2574" customFormat="false" ht="15" hidden="false" customHeight="true" outlineLevel="0" collapsed="false">
      <c r="G2574" s="1" t="str">
        <f aca="false">IF(C2574="","",INDEX(Akaun!$F$5:$F$150,MATCH(C2574,Akaun!$A$5:$A$150,0)))</f>
        <v/>
      </c>
      <c r="H2574" s="1" t="str">
        <f aca="false">IF(C2574="","",INDEX(Akaun!$D$5:$D$150,MATCH(C2574,Akaun!$A$5:$A$150,0)))</f>
        <v/>
      </c>
    </row>
    <row r="2575" customFormat="false" ht="15" hidden="false" customHeight="true" outlineLevel="0" collapsed="false">
      <c r="G2575" s="1" t="str">
        <f aca="false">IF(C2575="","",INDEX(Akaun!$F$5:$F$150,MATCH(C2575,Akaun!$A$5:$A$150,0)))</f>
        <v/>
      </c>
      <c r="H2575" s="1" t="str">
        <f aca="false">IF(C2575="","",INDEX(Akaun!$D$5:$D$150,MATCH(C2575,Akaun!$A$5:$A$150,0)))</f>
        <v/>
      </c>
    </row>
    <row r="2576" customFormat="false" ht="15" hidden="false" customHeight="true" outlineLevel="0" collapsed="false">
      <c r="G2576" s="1" t="str">
        <f aca="false">IF(C2576="","",INDEX(Akaun!$F$5:$F$150,MATCH(C2576,Akaun!$A$5:$A$150,0)))</f>
        <v/>
      </c>
      <c r="H2576" s="1" t="str">
        <f aca="false">IF(C2576="","",INDEX(Akaun!$D$5:$D$150,MATCH(C2576,Akaun!$A$5:$A$150,0)))</f>
        <v/>
      </c>
    </row>
    <row r="2577" customFormat="false" ht="15" hidden="false" customHeight="true" outlineLevel="0" collapsed="false">
      <c r="G2577" s="1" t="str">
        <f aca="false">IF(C2577="","",INDEX(Akaun!$F$5:$F$150,MATCH(C2577,Akaun!$A$5:$A$150,0)))</f>
        <v/>
      </c>
      <c r="H2577" s="1" t="str">
        <f aca="false">IF(C2577="","",INDEX(Akaun!$D$5:$D$150,MATCH(C2577,Akaun!$A$5:$A$150,0)))</f>
        <v/>
      </c>
    </row>
    <row r="2578" customFormat="false" ht="15" hidden="false" customHeight="true" outlineLevel="0" collapsed="false">
      <c r="G2578" s="1" t="str">
        <f aca="false">IF(C2578="","",INDEX(Akaun!$F$5:$F$150,MATCH(C2578,Akaun!$A$5:$A$150,0)))</f>
        <v/>
      </c>
      <c r="H2578" s="1" t="str">
        <f aca="false">IF(C2578="","",INDEX(Akaun!$D$5:$D$150,MATCH(C2578,Akaun!$A$5:$A$150,0)))</f>
        <v/>
      </c>
    </row>
    <row r="2579" customFormat="false" ht="15" hidden="false" customHeight="true" outlineLevel="0" collapsed="false">
      <c r="G2579" s="1" t="str">
        <f aca="false">IF(C2579="","",INDEX(Akaun!$F$5:$F$150,MATCH(C2579,Akaun!$A$5:$A$150,0)))</f>
        <v/>
      </c>
      <c r="H2579" s="1" t="str">
        <f aca="false">IF(C2579="","",INDEX(Akaun!$D$5:$D$150,MATCH(C2579,Akaun!$A$5:$A$150,0)))</f>
        <v/>
      </c>
    </row>
    <row r="2580" customFormat="false" ht="15" hidden="false" customHeight="true" outlineLevel="0" collapsed="false">
      <c r="G2580" s="1" t="str">
        <f aca="false">IF(C2580="","",INDEX(Akaun!$F$5:$F$150,MATCH(C2580,Akaun!$A$5:$A$150,0)))</f>
        <v/>
      </c>
      <c r="H2580" s="1" t="str">
        <f aca="false">IF(C2580="","",INDEX(Akaun!$D$5:$D$150,MATCH(C2580,Akaun!$A$5:$A$150,0)))</f>
        <v/>
      </c>
    </row>
    <row r="2581" customFormat="false" ht="15" hidden="false" customHeight="true" outlineLevel="0" collapsed="false">
      <c r="G2581" s="1" t="str">
        <f aca="false">IF(C2581="","",INDEX(Akaun!$F$5:$F$150,MATCH(C2581,Akaun!$A$5:$A$150,0)))</f>
        <v/>
      </c>
      <c r="H2581" s="1" t="str">
        <f aca="false">IF(C2581="","",INDEX(Akaun!$D$5:$D$150,MATCH(C2581,Akaun!$A$5:$A$150,0)))</f>
        <v/>
      </c>
    </row>
    <row r="2582" customFormat="false" ht="15" hidden="false" customHeight="true" outlineLevel="0" collapsed="false">
      <c r="G2582" s="1" t="str">
        <f aca="false">IF(C2582="","",INDEX(Akaun!$F$5:$F$150,MATCH(C2582,Akaun!$A$5:$A$150,0)))</f>
        <v/>
      </c>
      <c r="H2582" s="1" t="str">
        <f aca="false">IF(C2582="","",INDEX(Akaun!$D$5:$D$150,MATCH(C2582,Akaun!$A$5:$A$150,0)))</f>
        <v/>
      </c>
    </row>
    <row r="2583" customFormat="false" ht="15" hidden="false" customHeight="true" outlineLevel="0" collapsed="false">
      <c r="G2583" s="1" t="str">
        <f aca="false">IF(C2583="","",INDEX(Akaun!$F$5:$F$150,MATCH(C2583,Akaun!$A$5:$A$150,0)))</f>
        <v/>
      </c>
      <c r="H2583" s="1" t="str">
        <f aca="false">IF(C2583="","",INDEX(Akaun!$D$5:$D$150,MATCH(C2583,Akaun!$A$5:$A$150,0)))</f>
        <v/>
      </c>
    </row>
    <row r="2584" customFormat="false" ht="15" hidden="false" customHeight="true" outlineLevel="0" collapsed="false">
      <c r="G2584" s="1" t="str">
        <f aca="false">IF(C2584="","",INDEX(Akaun!$F$5:$F$150,MATCH(C2584,Akaun!$A$5:$A$150,0)))</f>
        <v/>
      </c>
      <c r="H2584" s="1" t="str">
        <f aca="false">IF(C2584="","",INDEX(Akaun!$D$5:$D$150,MATCH(C2584,Akaun!$A$5:$A$150,0)))</f>
        <v/>
      </c>
    </row>
    <row r="2585" customFormat="false" ht="15" hidden="false" customHeight="true" outlineLevel="0" collapsed="false">
      <c r="G2585" s="1" t="str">
        <f aca="false">IF(C2585="","",INDEX(Akaun!$F$5:$F$150,MATCH(C2585,Akaun!$A$5:$A$150,0)))</f>
        <v/>
      </c>
      <c r="H2585" s="1" t="str">
        <f aca="false">IF(C2585="","",INDEX(Akaun!$D$5:$D$150,MATCH(C2585,Akaun!$A$5:$A$150,0)))</f>
        <v/>
      </c>
    </row>
    <row r="2586" customFormat="false" ht="15" hidden="false" customHeight="true" outlineLevel="0" collapsed="false">
      <c r="G2586" s="1" t="str">
        <f aca="false">IF(C2586="","",INDEX(Akaun!$F$5:$F$150,MATCH(C2586,Akaun!$A$5:$A$150,0)))</f>
        <v/>
      </c>
      <c r="H2586" s="1" t="str">
        <f aca="false">IF(C2586="","",INDEX(Akaun!$D$5:$D$150,MATCH(C2586,Akaun!$A$5:$A$150,0)))</f>
        <v/>
      </c>
    </row>
    <row r="2587" customFormat="false" ht="15" hidden="false" customHeight="true" outlineLevel="0" collapsed="false">
      <c r="G2587" s="1" t="str">
        <f aca="false">IF(C2587="","",INDEX(Akaun!$F$5:$F$150,MATCH(C2587,Akaun!$A$5:$A$150,0)))</f>
        <v/>
      </c>
      <c r="H2587" s="1" t="str">
        <f aca="false">IF(C2587="","",INDEX(Akaun!$D$5:$D$150,MATCH(C2587,Akaun!$A$5:$A$150,0)))</f>
        <v/>
      </c>
    </row>
    <row r="2588" customFormat="false" ht="15" hidden="false" customHeight="true" outlineLevel="0" collapsed="false">
      <c r="G2588" s="1" t="str">
        <f aca="false">IF(C2588="","",INDEX(Akaun!$F$5:$F$150,MATCH(C2588,Akaun!$A$5:$A$150,0)))</f>
        <v/>
      </c>
      <c r="H2588" s="1" t="str">
        <f aca="false">IF(C2588="","",INDEX(Akaun!$D$5:$D$150,MATCH(C2588,Akaun!$A$5:$A$150,0)))</f>
        <v/>
      </c>
    </row>
    <row r="2589" customFormat="false" ht="15" hidden="false" customHeight="true" outlineLevel="0" collapsed="false">
      <c r="G2589" s="1" t="str">
        <f aca="false">IF(C2589="","",INDEX(Akaun!$F$5:$F$150,MATCH(C2589,Akaun!$A$5:$A$150,0)))</f>
        <v/>
      </c>
      <c r="H2589" s="1" t="str">
        <f aca="false">IF(C2589="","",INDEX(Akaun!$D$5:$D$150,MATCH(C2589,Akaun!$A$5:$A$150,0)))</f>
        <v/>
      </c>
    </row>
    <row r="2590" customFormat="false" ht="15" hidden="false" customHeight="true" outlineLevel="0" collapsed="false">
      <c r="G2590" s="1" t="str">
        <f aca="false">IF(C2590="","",INDEX(Akaun!$F$5:$F$150,MATCH(C2590,Akaun!$A$5:$A$150,0)))</f>
        <v/>
      </c>
      <c r="H2590" s="1" t="str">
        <f aca="false">IF(C2590="","",INDEX(Akaun!$D$5:$D$150,MATCH(C2590,Akaun!$A$5:$A$150,0)))</f>
        <v/>
      </c>
    </row>
    <row r="2591" customFormat="false" ht="15" hidden="false" customHeight="true" outlineLevel="0" collapsed="false">
      <c r="G2591" s="1" t="str">
        <f aca="false">IF(C2591="","",INDEX(Akaun!$F$5:$F$150,MATCH(C2591,Akaun!$A$5:$A$150,0)))</f>
        <v/>
      </c>
      <c r="H2591" s="1" t="str">
        <f aca="false">IF(C2591="","",INDEX(Akaun!$D$5:$D$150,MATCH(C2591,Akaun!$A$5:$A$150,0)))</f>
        <v/>
      </c>
    </row>
    <row r="2592" customFormat="false" ht="15" hidden="false" customHeight="true" outlineLevel="0" collapsed="false">
      <c r="G2592" s="1" t="str">
        <f aca="false">IF(C2592="","",INDEX(Akaun!$F$5:$F$150,MATCH(C2592,Akaun!$A$5:$A$150,0)))</f>
        <v/>
      </c>
      <c r="H2592" s="1" t="str">
        <f aca="false">IF(C2592="","",INDEX(Akaun!$D$5:$D$150,MATCH(C2592,Akaun!$A$5:$A$150,0)))</f>
        <v/>
      </c>
    </row>
    <row r="2593" customFormat="false" ht="15" hidden="false" customHeight="true" outlineLevel="0" collapsed="false">
      <c r="G2593" s="1" t="str">
        <f aca="false">IF(C2593="","",INDEX(Akaun!$F$5:$F$150,MATCH(C2593,Akaun!$A$5:$A$150,0)))</f>
        <v/>
      </c>
      <c r="H2593" s="1" t="str">
        <f aca="false">IF(C2593="","",INDEX(Akaun!$D$5:$D$150,MATCH(C2593,Akaun!$A$5:$A$150,0)))</f>
        <v/>
      </c>
    </row>
    <row r="2594" customFormat="false" ht="15" hidden="false" customHeight="true" outlineLevel="0" collapsed="false">
      <c r="G2594" s="1" t="str">
        <f aca="false">IF(C2594="","",INDEX(Akaun!$F$5:$F$150,MATCH(C2594,Akaun!$A$5:$A$150,0)))</f>
        <v/>
      </c>
      <c r="H2594" s="1" t="str">
        <f aca="false">IF(C2594="","",INDEX(Akaun!$D$5:$D$150,MATCH(C2594,Akaun!$A$5:$A$150,0)))</f>
        <v/>
      </c>
    </row>
    <row r="2595" customFormat="false" ht="15" hidden="false" customHeight="true" outlineLevel="0" collapsed="false">
      <c r="G2595" s="1" t="str">
        <f aca="false">IF(C2595="","",INDEX(Akaun!$F$5:$F$150,MATCH(C2595,Akaun!$A$5:$A$150,0)))</f>
        <v/>
      </c>
      <c r="H2595" s="1" t="str">
        <f aca="false">IF(C2595="","",INDEX(Akaun!$D$5:$D$150,MATCH(C2595,Akaun!$A$5:$A$150,0)))</f>
        <v/>
      </c>
    </row>
    <row r="2596" customFormat="false" ht="15" hidden="false" customHeight="true" outlineLevel="0" collapsed="false">
      <c r="G2596" s="1" t="str">
        <f aca="false">IF(C2596="","",INDEX(Akaun!$F$5:$F$150,MATCH(C2596,Akaun!$A$5:$A$150,0)))</f>
        <v/>
      </c>
      <c r="H2596" s="1" t="str">
        <f aca="false">IF(C2596="","",INDEX(Akaun!$D$5:$D$150,MATCH(C2596,Akaun!$A$5:$A$150,0)))</f>
        <v/>
      </c>
    </row>
    <row r="2597" customFormat="false" ht="15" hidden="false" customHeight="true" outlineLevel="0" collapsed="false">
      <c r="G2597" s="1" t="str">
        <f aca="false">IF(C2597="","",INDEX(Akaun!$F$5:$F$150,MATCH(C2597,Akaun!$A$5:$A$150,0)))</f>
        <v/>
      </c>
      <c r="H2597" s="1" t="str">
        <f aca="false">IF(C2597="","",INDEX(Akaun!$D$5:$D$150,MATCH(C2597,Akaun!$A$5:$A$150,0)))</f>
        <v/>
      </c>
    </row>
    <row r="2598" customFormat="false" ht="15" hidden="false" customHeight="true" outlineLevel="0" collapsed="false">
      <c r="G2598" s="1" t="str">
        <f aca="false">IF(C2598="","",INDEX(Akaun!$F$5:$F$150,MATCH(C2598,Akaun!$A$5:$A$150,0)))</f>
        <v/>
      </c>
      <c r="H2598" s="1" t="str">
        <f aca="false">IF(C2598="","",INDEX(Akaun!$D$5:$D$150,MATCH(C2598,Akaun!$A$5:$A$150,0)))</f>
        <v/>
      </c>
    </row>
    <row r="2599" customFormat="false" ht="15" hidden="false" customHeight="true" outlineLevel="0" collapsed="false">
      <c r="G2599" s="1" t="str">
        <f aca="false">IF(C2599="","",INDEX(Akaun!$F$5:$F$150,MATCH(C2599,Akaun!$A$5:$A$150,0)))</f>
        <v/>
      </c>
      <c r="H2599" s="1" t="str">
        <f aca="false">IF(C2599="","",INDEX(Akaun!$D$5:$D$150,MATCH(C2599,Akaun!$A$5:$A$150,0)))</f>
        <v/>
      </c>
    </row>
    <row r="2600" customFormat="false" ht="15" hidden="false" customHeight="true" outlineLevel="0" collapsed="false">
      <c r="G2600" s="1" t="str">
        <f aca="false">IF(C2600="","",INDEX(Akaun!$F$5:$F$150,MATCH(C2600,Akaun!$A$5:$A$150,0)))</f>
        <v/>
      </c>
      <c r="H2600" s="1" t="str">
        <f aca="false">IF(C2600="","",INDEX(Akaun!$D$5:$D$150,MATCH(C2600,Akaun!$A$5:$A$150,0)))</f>
        <v/>
      </c>
    </row>
    <row r="2601" customFormat="false" ht="15" hidden="false" customHeight="true" outlineLevel="0" collapsed="false">
      <c r="G2601" s="1" t="str">
        <f aca="false">IF(C2601="","",INDEX(Akaun!$F$5:$F$150,MATCH(C2601,Akaun!$A$5:$A$150,0)))</f>
        <v/>
      </c>
      <c r="H2601" s="1" t="str">
        <f aca="false">IF(C2601="","",INDEX(Akaun!$D$5:$D$150,MATCH(C2601,Akaun!$A$5:$A$150,0)))</f>
        <v/>
      </c>
    </row>
    <row r="2602" customFormat="false" ht="15" hidden="false" customHeight="true" outlineLevel="0" collapsed="false">
      <c r="G2602" s="1" t="str">
        <f aca="false">IF(C2602="","",INDEX(Akaun!$F$5:$F$150,MATCH(C2602,Akaun!$A$5:$A$150,0)))</f>
        <v/>
      </c>
      <c r="H2602" s="1" t="str">
        <f aca="false">IF(C2602="","",INDEX(Akaun!$D$5:$D$150,MATCH(C2602,Akaun!$A$5:$A$150,0)))</f>
        <v/>
      </c>
    </row>
    <row r="2603" customFormat="false" ht="15" hidden="false" customHeight="true" outlineLevel="0" collapsed="false">
      <c r="G2603" s="1" t="str">
        <f aca="false">IF(C2603="","",INDEX(Akaun!$F$5:$F$150,MATCH(C2603,Akaun!$A$5:$A$150,0)))</f>
        <v/>
      </c>
      <c r="H2603" s="1" t="str">
        <f aca="false">IF(C2603="","",INDEX(Akaun!$D$5:$D$150,MATCH(C2603,Akaun!$A$5:$A$150,0)))</f>
        <v/>
      </c>
    </row>
    <row r="2604" customFormat="false" ht="15" hidden="false" customHeight="true" outlineLevel="0" collapsed="false">
      <c r="G2604" s="1" t="str">
        <f aca="false">IF(C2604="","",INDEX(Akaun!$F$5:$F$150,MATCH(C2604,Akaun!$A$5:$A$150,0)))</f>
        <v/>
      </c>
      <c r="H2604" s="1" t="str">
        <f aca="false">IF(C2604="","",INDEX(Akaun!$D$5:$D$150,MATCH(C2604,Akaun!$A$5:$A$150,0)))</f>
        <v/>
      </c>
    </row>
    <row r="2605" customFormat="false" ht="15" hidden="false" customHeight="true" outlineLevel="0" collapsed="false">
      <c r="G2605" s="1" t="str">
        <f aca="false">IF(C2605="","",INDEX(Akaun!$F$5:$F$150,MATCH(C2605,Akaun!$A$5:$A$150,0)))</f>
        <v/>
      </c>
      <c r="H2605" s="1" t="str">
        <f aca="false">IF(C2605="","",INDEX(Akaun!$D$5:$D$150,MATCH(C2605,Akaun!$A$5:$A$150,0)))</f>
        <v/>
      </c>
    </row>
    <row r="2606" customFormat="false" ht="15" hidden="false" customHeight="true" outlineLevel="0" collapsed="false">
      <c r="G2606" s="1" t="str">
        <f aca="false">IF(C2606="","",INDEX(Akaun!$F$5:$F$150,MATCH(C2606,Akaun!$A$5:$A$150,0)))</f>
        <v/>
      </c>
      <c r="H2606" s="1" t="str">
        <f aca="false">IF(C2606="","",INDEX(Akaun!$D$5:$D$150,MATCH(C2606,Akaun!$A$5:$A$150,0)))</f>
        <v/>
      </c>
    </row>
    <row r="2607" customFormat="false" ht="15" hidden="false" customHeight="true" outlineLevel="0" collapsed="false">
      <c r="G2607" s="1" t="str">
        <f aca="false">IF(C2607="","",INDEX(Akaun!$F$5:$F$150,MATCH(C2607,Akaun!$A$5:$A$150,0)))</f>
        <v/>
      </c>
      <c r="H2607" s="1" t="str">
        <f aca="false">IF(C2607="","",INDEX(Akaun!$D$5:$D$150,MATCH(C2607,Akaun!$A$5:$A$150,0)))</f>
        <v/>
      </c>
    </row>
    <row r="2608" customFormat="false" ht="15" hidden="false" customHeight="true" outlineLevel="0" collapsed="false">
      <c r="G2608" s="1" t="str">
        <f aca="false">IF(C2608="","",INDEX(Akaun!$F$5:$F$150,MATCH(C2608,Akaun!$A$5:$A$150,0)))</f>
        <v/>
      </c>
      <c r="H2608" s="1" t="str">
        <f aca="false">IF(C2608="","",INDEX(Akaun!$D$5:$D$150,MATCH(C2608,Akaun!$A$5:$A$150,0)))</f>
        <v/>
      </c>
    </row>
    <row r="2609" customFormat="false" ht="15" hidden="false" customHeight="true" outlineLevel="0" collapsed="false">
      <c r="G2609" s="1" t="str">
        <f aca="false">IF(C2609="","",INDEX(Akaun!$F$5:$F$150,MATCH(C2609,Akaun!$A$5:$A$150,0)))</f>
        <v/>
      </c>
      <c r="H2609" s="1" t="str">
        <f aca="false">IF(C2609="","",INDEX(Akaun!$D$5:$D$150,MATCH(C2609,Akaun!$A$5:$A$150,0)))</f>
        <v/>
      </c>
    </row>
    <row r="2610" customFormat="false" ht="15" hidden="false" customHeight="true" outlineLevel="0" collapsed="false">
      <c r="G2610" s="1" t="str">
        <f aca="false">IF(C2610="","",INDEX(Akaun!$F$5:$F$150,MATCH(C2610,Akaun!$A$5:$A$150,0)))</f>
        <v/>
      </c>
      <c r="H2610" s="1" t="str">
        <f aca="false">IF(C2610="","",INDEX(Akaun!$D$5:$D$150,MATCH(C2610,Akaun!$A$5:$A$150,0)))</f>
        <v/>
      </c>
    </row>
    <row r="2611" customFormat="false" ht="15" hidden="false" customHeight="true" outlineLevel="0" collapsed="false">
      <c r="G2611" s="1" t="str">
        <f aca="false">IF(C2611="","",INDEX(Akaun!$F$5:$F$150,MATCH(C2611,Akaun!$A$5:$A$150,0)))</f>
        <v/>
      </c>
      <c r="H2611" s="1" t="str">
        <f aca="false">IF(C2611="","",INDEX(Akaun!$D$5:$D$150,MATCH(C2611,Akaun!$A$5:$A$150,0)))</f>
        <v/>
      </c>
    </row>
    <row r="2612" customFormat="false" ht="15" hidden="false" customHeight="true" outlineLevel="0" collapsed="false">
      <c r="G2612" s="1" t="str">
        <f aca="false">IF(C2612="","",INDEX(Akaun!$F$5:$F$150,MATCH(C2612,Akaun!$A$5:$A$150,0)))</f>
        <v/>
      </c>
      <c r="H2612" s="1" t="str">
        <f aca="false">IF(C2612="","",INDEX(Akaun!$D$5:$D$150,MATCH(C2612,Akaun!$A$5:$A$150,0)))</f>
        <v/>
      </c>
    </row>
    <row r="2613" customFormat="false" ht="15" hidden="false" customHeight="true" outlineLevel="0" collapsed="false">
      <c r="G2613" s="1" t="str">
        <f aca="false">IF(C2613="","",INDEX(Akaun!$F$5:$F$150,MATCH(C2613,Akaun!$A$5:$A$150,0)))</f>
        <v/>
      </c>
      <c r="H2613" s="1" t="str">
        <f aca="false">IF(C2613="","",INDEX(Akaun!$D$5:$D$150,MATCH(C2613,Akaun!$A$5:$A$150,0)))</f>
        <v/>
      </c>
    </row>
    <row r="2614" customFormat="false" ht="15" hidden="false" customHeight="true" outlineLevel="0" collapsed="false">
      <c r="G2614" s="1" t="str">
        <f aca="false">IF(C2614="","",INDEX(Akaun!$F$5:$F$150,MATCH(C2614,Akaun!$A$5:$A$150,0)))</f>
        <v/>
      </c>
      <c r="H2614" s="1" t="str">
        <f aca="false">IF(C2614="","",INDEX(Akaun!$D$5:$D$150,MATCH(C2614,Akaun!$A$5:$A$150,0)))</f>
        <v/>
      </c>
    </row>
    <row r="2615" customFormat="false" ht="15" hidden="false" customHeight="true" outlineLevel="0" collapsed="false">
      <c r="G2615" s="1" t="str">
        <f aca="false">IF(C2615="","",INDEX(Akaun!$F$5:$F$150,MATCH(C2615,Akaun!$A$5:$A$150,0)))</f>
        <v/>
      </c>
      <c r="H2615" s="1" t="str">
        <f aca="false">IF(C2615="","",INDEX(Akaun!$D$5:$D$150,MATCH(C2615,Akaun!$A$5:$A$150,0)))</f>
        <v/>
      </c>
    </row>
    <row r="2616" customFormat="false" ht="15" hidden="false" customHeight="true" outlineLevel="0" collapsed="false">
      <c r="G2616" s="1" t="str">
        <f aca="false">IF(C2616="","",INDEX(Akaun!$F$5:$F$150,MATCH(C2616,Akaun!$A$5:$A$150,0)))</f>
        <v/>
      </c>
      <c r="H2616" s="1" t="str">
        <f aca="false">IF(C2616="","",INDEX(Akaun!$D$5:$D$150,MATCH(C2616,Akaun!$A$5:$A$150,0)))</f>
        <v/>
      </c>
    </row>
    <row r="2617" customFormat="false" ht="15" hidden="false" customHeight="true" outlineLevel="0" collapsed="false">
      <c r="G2617" s="1" t="str">
        <f aca="false">IF(C2617="","",INDEX(Akaun!$F$5:$F$150,MATCH(C2617,Akaun!$A$5:$A$150,0)))</f>
        <v/>
      </c>
      <c r="H2617" s="1" t="str">
        <f aca="false">IF(C2617="","",INDEX(Akaun!$D$5:$D$150,MATCH(C2617,Akaun!$A$5:$A$150,0)))</f>
        <v/>
      </c>
    </row>
    <row r="2618" customFormat="false" ht="15" hidden="false" customHeight="true" outlineLevel="0" collapsed="false">
      <c r="G2618" s="1" t="str">
        <f aca="false">IF(C2618="","",INDEX(Akaun!$F$5:$F$150,MATCH(C2618,Akaun!$A$5:$A$150,0)))</f>
        <v/>
      </c>
      <c r="H2618" s="1" t="str">
        <f aca="false">IF(C2618="","",INDEX(Akaun!$D$5:$D$150,MATCH(C2618,Akaun!$A$5:$A$150,0)))</f>
        <v/>
      </c>
    </row>
    <row r="2619" customFormat="false" ht="15" hidden="false" customHeight="true" outlineLevel="0" collapsed="false">
      <c r="G2619" s="1" t="str">
        <f aca="false">IF(C2619="","",INDEX(Akaun!$F$5:$F$150,MATCH(C2619,Akaun!$A$5:$A$150,0)))</f>
        <v/>
      </c>
      <c r="H2619" s="1" t="str">
        <f aca="false">IF(C2619="","",INDEX(Akaun!$D$5:$D$150,MATCH(C2619,Akaun!$A$5:$A$150,0)))</f>
        <v/>
      </c>
    </row>
    <row r="2620" customFormat="false" ht="15" hidden="false" customHeight="true" outlineLevel="0" collapsed="false">
      <c r="G2620" s="1" t="str">
        <f aca="false">IF(C2620="","",INDEX(Akaun!$F$5:$F$150,MATCH(C2620,Akaun!$A$5:$A$150,0)))</f>
        <v/>
      </c>
      <c r="H2620" s="1" t="str">
        <f aca="false">IF(C2620="","",INDEX(Akaun!$D$5:$D$150,MATCH(C2620,Akaun!$A$5:$A$150,0)))</f>
        <v/>
      </c>
    </row>
    <row r="2621" customFormat="false" ht="15" hidden="false" customHeight="true" outlineLevel="0" collapsed="false">
      <c r="G2621" s="1" t="str">
        <f aca="false">IF(C2621="","",INDEX(Akaun!$F$5:$F$150,MATCH(C2621,Akaun!$A$5:$A$150,0)))</f>
        <v/>
      </c>
      <c r="H2621" s="1" t="str">
        <f aca="false">IF(C2621="","",INDEX(Akaun!$D$5:$D$150,MATCH(C2621,Akaun!$A$5:$A$150,0)))</f>
        <v/>
      </c>
    </row>
    <row r="2622" customFormat="false" ht="15" hidden="false" customHeight="true" outlineLevel="0" collapsed="false">
      <c r="G2622" s="1" t="str">
        <f aca="false">IF(C2622="","",INDEX(Akaun!$F$5:$F$150,MATCH(C2622,Akaun!$A$5:$A$150,0)))</f>
        <v/>
      </c>
      <c r="H2622" s="1" t="str">
        <f aca="false">IF(C2622="","",INDEX(Akaun!$D$5:$D$150,MATCH(C2622,Akaun!$A$5:$A$150,0)))</f>
        <v/>
      </c>
    </row>
    <row r="2623" customFormat="false" ht="15" hidden="false" customHeight="true" outlineLevel="0" collapsed="false">
      <c r="G2623" s="1" t="str">
        <f aca="false">IF(C2623="","",INDEX(Akaun!$F$5:$F$150,MATCH(C2623,Akaun!$A$5:$A$150,0)))</f>
        <v/>
      </c>
      <c r="H2623" s="1" t="str">
        <f aca="false">IF(C2623="","",INDEX(Akaun!$D$5:$D$150,MATCH(C2623,Akaun!$A$5:$A$150,0)))</f>
        <v/>
      </c>
    </row>
    <row r="2624" customFormat="false" ht="15" hidden="false" customHeight="true" outlineLevel="0" collapsed="false">
      <c r="G2624" s="1" t="str">
        <f aca="false">IF(C2624="","",INDEX(Akaun!$F$5:$F$150,MATCH(C2624,Akaun!$A$5:$A$150,0)))</f>
        <v/>
      </c>
      <c r="H2624" s="1" t="str">
        <f aca="false">IF(C2624="","",INDEX(Akaun!$D$5:$D$150,MATCH(C2624,Akaun!$A$5:$A$150,0)))</f>
        <v/>
      </c>
    </row>
    <row r="2625" customFormat="false" ht="15" hidden="false" customHeight="true" outlineLevel="0" collapsed="false">
      <c r="G2625" s="1" t="str">
        <f aca="false">IF(C2625="","",INDEX(Akaun!$F$5:$F$150,MATCH(C2625,Akaun!$A$5:$A$150,0)))</f>
        <v/>
      </c>
      <c r="H2625" s="1" t="str">
        <f aca="false">IF(C2625="","",INDEX(Akaun!$D$5:$D$150,MATCH(C2625,Akaun!$A$5:$A$150,0)))</f>
        <v/>
      </c>
    </row>
    <row r="2626" customFormat="false" ht="15" hidden="false" customHeight="true" outlineLevel="0" collapsed="false">
      <c r="G2626" s="1" t="str">
        <f aca="false">IF(C2626="","",INDEX(Akaun!$F$5:$F$150,MATCH(C2626,Akaun!$A$5:$A$150,0)))</f>
        <v/>
      </c>
      <c r="H2626" s="1" t="str">
        <f aca="false">IF(C2626="","",INDEX(Akaun!$D$5:$D$150,MATCH(C2626,Akaun!$A$5:$A$150,0)))</f>
        <v/>
      </c>
    </row>
    <row r="2627" customFormat="false" ht="15" hidden="false" customHeight="true" outlineLevel="0" collapsed="false">
      <c r="G2627" s="1" t="str">
        <f aca="false">IF(C2627="","",INDEX(Akaun!$F$5:$F$150,MATCH(C2627,Akaun!$A$5:$A$150,0)))</f>
        <v/>
      </c>
      <c r="H2627" s="1" t="str">
        <f aca="false">IF(C2627="","",INDEX(Akaun!$D$5:$D$150,MATCH(C2627,Akaun!$A$5:$A$150,0)))</f>
        <v/>
      </c>
    </row>
    <row r="2628" customFormat="false" ht="15" hidden="false" customHeight="true" outlineLevel="0" collapsed="false">
      <c r="G2628" s="1" t="str">
        <f aca="false">IF(C2628="","",INDEX(Akaun!$F$5:$F$150,MATCH(C2628,Akaun!$A$5:$A$150,0)))</f>
        <v/>
      </c>
      <c r="H2628" s="1" t="str">
        <f aca="false">IF(C2628="","",INDEX(Akaun!$D$5:$D$150,MATCH(C2628,Akaun!$A$5:$A$150,0)))</f>
        <v/>
      </c>
    </row>
    <row r="2629" customFormat="false" ht="15" hidden="false" customHeight="true" outlineLevel="0" collapsed="false">
      <c r="G2629" s="1" t="str">
        <f aca="false">IF(C2629="","",INDEX(Akaun!$F$5:$F$150,MATCH(C2629,Akaun!$A$5:$A$150,0)))</f>
        <v/>
      </c>
      <c r="H2629" s="1" t="str">
        <f aca="false">IF(C2629="","",INDEX(Akaun!$D$5:$D$150,MATCH(C2629,Akaun!$A$5:$A$150,0)))</f>
        <v/>
      </c>
    </row>
    <row r="2630" customFormat="false" ht="15" hidden="false" customHeight="true" outlineLevel="0" collapsed="false">
      <c r="G2630" s="1" t="str">
        <f aca="false">IF(C2630="","",INDEX(Akaun!$F$5:$F$150,MATCH(C2630,Akaun!$A$5:$A$150,0)))</f>
        <v/>
      </c>
      <c r="H2630" s="1" t="str">
        <f aca="false">IF(C2630="","",INDEX(Akaun!$D$5:$D$150,MATCH(C2630,Akaun!$A$5:$A$150,0)))</f>
        <v/>
      </c>
    </row>
    <row r="2631" customFormat="false" ht="15" hidden="false" customHeight="true" outlineLevel="0" collapsed="false">
      <c r="G2631" s="1" t="str">
        <f aca="false">IF(C2631="","",INDEX(Akaun!$F$5:$F$150,MATCH(C2631,Akaun!$A$5:$A$150,0)))</f>
        <v/>
      </c>
      <c r="H2631" s="1" t="str">
        <f aca="false">IF(C2631="","",INDEX(Akaun!$D$5:$D$150,MATCH(C2631,Akaun!$A$5:$A$150,0)))</f>
        <v/>
      </c>
    </row>
    <row r="2632" customFormat="false" ht="15" hidden="false" customHeight="true" outlineLevel="0" collapsed="false">
      <c r="G2632" s="1" t="str">
        <f aca="false">IF(C2632="","",INDEX(Akaun!$F$5:$F$150,MATCH(C2632,Akaun!$A$5:$A$150,0)))</f>
        <v/>
      </c>
      <c r="H2632" s="1" t="str">
        <f aca="false">IF(C2632="","",INDEX(Akaun!$D$5:$D$150,MATCH(C2632,Akaun!$A$5:$A$150,0)))</f>
        <v/>
      </c>
    </row>
    <row r="2633" customFormat="false" ht="15" hidden="false" customHeight="true" outlineLevel="0" collapsed="false">
      <c r="G2633" s="1" t="str">
        <f aca="false">IF(C2633="","",INDEX(Akaun!$F$5:$F$150,MATCH(C2633,Akaun!$A$5:$A$150,0)))</f>
        <v/>
      </c>
      <c r="H2633" s="1" t="str">
        <f aca="false">IF(C2633="","",INDEX(Akaun!$D$5:$D$150,MATCH(C2633,Akaun!$A$5:$A$150,0)))</f>
        <v/>
      </c>
    </row>
    <row r="2634" customFormat="false" ht="15" hidden="false" customHeight="true" outlineLevel="0" collapsed="false">
      <c r="G2634" s="1" t="str">
        <f aca="false">IF(C2634="","",INDEX(Akaun!$F$5:$F$150,MATCH(C2634,Akaun!$A$5:$A$150,0)))</f>
        <v/>
      </c>
      <c r="H2634" s="1" t="str">
        <f aca="false">IF(C2634="","",INDEX(Akaun!$D$5:$D$150,MATCH(C2634,Akaun!$A$5:$A$150,0)))</f>
        <v/>
      </c>
    </row>
    <row r="2635" customFormat="false" ht="15" hidden="false" customHeight="true" outlineLevel="0" collapsed="false">
      <c r="G2635" s="1" t="str">
        <f aca="false">IF(C2635="","",INDEX(Akaun!$F$5:$F$150,MATCH(C2635,Akaun!$A$5:$A$150,0)))</f>
        <v/>
      </c>
      <c r="H2635" s="1" t="str">
        <f aca="false">IF(C2635="","",INDEX(Akaun!$D$5:$D$150,MATCH(C2635,Akaun!$A$5:$A$150,0)))</f>
        <v/>
      </c>
    </row>
    <row r="2636" customFormat="false" ht="15" hidden="false" customHeight="true" outlineLevel="0" collapsed="false">
      <c r="G2636" s="1" t="str">
        <f aca="false">IF(C2636="","",INDEX(Akaun!$F$5:$F$150,MATCH(C2636,Akaun!$A$5:$A$150,0)))</f>
        <v/>
      </c>
      <c r="H2636" s="1" t="str">
        <f aca="false">IF(C2636="","",INDEX(Akaun!$D$5:$D$150,MATCH(C2636,Akaun!$A$5:$A$150,0)))</f>
        <v/>
      </c>
    </row>
    <row r="2637" customFormat="false" ht="15" hidden="false" customHeight="true" outlineLevel="0" collapsed="false">
      <c r="G2637" s="1" t="str">
        <f aca="false">IF(C2637="","",INDEX(Akaun!$F$5:$F$150,MATCH(C2637,Akaun!$A$5:$A$150,0)))</f>
        <v/>
      </c>
      <c r="H2637" s="1" t="str">
        <f aca="false">IF(C2637="","",INDEX(Akaun!$D$5:$D$150,MATCH(C2637,Akaun!$A$5:$A$150,0)))</f>
        <v/>
      </c>
    </row>
    <row r="2638" customFormat="false" ht="15" hidden="false" customHeight="true" outlineLevel="0" collapsed="false">
      <c r="G2638" s="1" t="str">
        <f aca="false">IF(C2638="","",INDEX(Akaun!$F$5:$F$150,MATCH(C2638,Akaun!$A$5:$A$150,0)))</f>
        <v/>
      </c>
      <c r="H2638" s="1" t="str">
        <f aca="false">IF(C2638="","",INDEX(Akaun!$D$5:$D$150,MATCH(C2638,Akaun!$A$5:$A$150,0)))</f>
        <v/>
      </c>
    </row>
    <row r="2639" customFormat="false" ht="15" hidden="false" customHeight="true" outlineLevel="0" collapsed="false">
      <c r="G2639" s="1" t="str">
        <f aca="false">IF(C2639="","",INDEX(Akaun!$F$5:$F$150,MATCH(C2639,Akaun!$A$5:$A$150,0)))</f>
        <v/>
      </c>
      <c r="H2639" s="1" t="str">
        <f aca="false">IF(C2639="","",INDEX(Akaun!$D$5:$D$150,MATCH(C2639,Akaun!$A$5:$A$150,0)))</f>
        <v/>
      </c>
    </row>
    <row r="2640" customFormat="false" ht="15" hidden="false" customHeight="true" outlineLevel="0" collapsed="false">
      <c r="G2640" s="1" t="str">
        <f aca="false">IF(C2640="","",INDEX(Akaun!$F$5:$F$150,MATCH(C2640,Akaun!$A$5:$A$150,0)))</f>
        <v/>
      </c>
      <c r="H2640" s="1" t="str">
        <f aca="false">IF(C2640="","",INDEX(Akaun!$D$5:$D$150,MATCH(C2640,Akaun!$A$5:$A$150,0)))</f>
        <v/>
      </c>
    </row>
    <row r="2641" customFormat="false" ht="15" hidden="false" customHeight="true" outlineLevel="0" collapsed="false">
      <c r="G2641" s="1" t="str">
        <f aca="false">IF(C2641="","",INDEX(Akaun!$F$5:$F$150,MATCH(C2641,Akaun!$A$5:$A$150,0)))</f>
        <v/>
      </c>
      <c r="H2641" s="1" t="str">
        <f aca="false">IF(C2641="","",INDEX(Akaun!$D$5:$D$150,MATCH(C2641,Akaun!$A$5:$A$150,0)))</f>
        <v/>
      </c>
    </row>
    <row r="2642" customFormat="false" ht="15" hidden="false" customHeight="true" outlineLevel="0" collapsed="false">
      <c r="G2642" s="1" t="str">
        <f aca="false">IF(C2642="","",INDEX(Akaun!$F$5:$F$150,MATCH(C2642,Akaun!$A$5:$A$150,0)))</f>
        <v/>
      </c>
      <c r="H2642" s="1" t="str">
        <f aca="false">IF(C2642="","",INDEX(Akaun!$D$5:$D$150,MATCH(C2642,Akaun!$A$5:$A$150,0)))</f>
        <v/>
      </c>
    </row>
    <row r="2643" customFormat="false" ht="15" hidden="false" customHeight="true" outlineLevel="0" collapsed="false">
      <c r="G2643" s="1" t="str">
        <f aca="false">IF(C2643="","",INDEX(Akaun!$F$5:$F$150,MATCH(C2643,Akaun!$A$5:$A$150,0)))</f>
        <v/>
      </c>
      <c r="H2643" s="1" t="str">
        <f aca="false">IF(C2643="","",INDEX(Akaun!$D$5:$D$150,MATCH(C2643,Akaun!$A$5:$A$150,0)))</f>
        <v/>
      </c>
    </row>
    <row r="2644" customFormat="false" ht="15" hidden="false" customHeight="true" outlineLevel="0" collapsed="false">
      <c r="G2644" s="1" t="str">
        <f aca="false">IF(C2644="","",INDEX(Akaun!$F$5:$F$150,MATCH(C2644,Akaun!$A$5:$A$150,0)))</f>
        <v/>
      </c>
      <c r="H2644" s="1" t="str">
        <f aca="false">IF(C2644="","",INDEX(Akaun!$D$5:$D$150,MATCH(C2644,Akaun!$A$5:$A$150,0)))</f>
        <v/>
      </c>
    </row>
    <row r="2645" customFormat="false" ht="15" hidden="false" customHeight="true" outlineLevel="0" collapsed="false">
      <c r="G2645" s="1" t="str">
        <f aca="false">IF(C2645="","",INDEX(Akaun!$F$5:$F$150,MATCH(C2645,Akaun!$A$5:$A$150,0)))</f>
        <v/>
      </c>
      <c r="H2645" s="1" t="str">
        <f aca="false">IF(C2645="","",INDEX(Akaun!$D$5:$D$150,MATCH(C2645,Akaun!$A$5:$A$150,0)))</f>
        <v/>
      </c>
    </row>
    <row r="2646" customFormat="false" ht="15" hidden="false" customHeight="true" outlineLevel="0" collapsed="false">
      <c r="G2646" s="1" t="str">
        <f aca="false">IF(C2646="","",INDEX(Akaun!$F$5:$F$150,MATCH(C2646,Akaun!$A$5:$A$150,0)))</f>
        <v/>
      </c>
      <c r="H2646" s="1" t="str">
        <f aca="false">IF(C2646="","",INDEX(Akaun!$D$5:$D$150,MATCH(C2646,Akaun!$A$5:$A$150,0)))</f>
        <v/>
      </c>
    </row>
    <row r="2647" customFormat="false" ht="15" hidden="false" customHeight="true" outlineLevel="0" collapsed="false">
      <c r="G2647" s="1" t="str">
        <f aca="false">IF(C2647="","",INDEX(Akaun!$F$5:$F$150,MATCH(C2647,Akaun!$A$5:$A$150,0)))</f>
        <v/>
      </c>
      <c r="H2647" s="1" t="str">
        <f aca="false">IF(C2647="","",INDEX(Akaun!$D$5:$D$150,MATCH(C2647,Akaun!$A$5:$A$150,0)))</f>
        <v/>
      </c>
    </row>
    <row r="2648" customFormat="false" ht="15" hidden="false" customHeight="true" outlineLevel="0" collapsed="false">
      <c r="G2648" s="1" t="str">
        <f aca="false">IF(C2648="","",INDEX(Akaun!$F$5:$F$150,MATCH(C2648,Akaun!$A$5:$A$150,0)))</f>
        <v/>
      </c>
      <c r="H2648" s="1" t="str">
        <f aca="false">IF(C2648="","",INDEX(Akaun!$D$5:$D$150,MATCH(C2648,Akaun!$A$5:$A$150,0)))</f>
        <v/>
      </c>
    </row>
    <row r="2649" customFormat="false" ht="15" hidden="false" customHeight="true" outlineLevel="0" collapsed="false">
      <c r="G2649" s="1" t="str">
        <f aca="false">IF(C2649="","",INDEX(Akaun!$F$5:$F$150,MATCH(C2649,Akaun!$A$5:$A$150,0)))</f>
        <v/>
      </c>
      <c r="H2649" s="1" t="str">
        <f aca="false">IF(C2649="","",INDEX(Akaun!$D$5:$D$150,MATCH(C2649,Akaun!$A$5:$A$150,0)))</f>
        <v/>
      </c>
    </row>
    <row r="2650" customFormat="false" ht="15" hidden="false" customHeight="true" outlineLevel="0" collapsed="false">
      <c r="G2650" s="1" t="str">
        <f aca="false">IF(C2650="","",INDEX(Akaun!$F$5:$F$150,MATCH(C2650,Akaun!$A$5:$A$150,0)))</f>
        <v/>
      </c>
      <c r="H2650" s="1" t="str">
        <f aca="false">IF(C2650="","",INDEX(Akaun!$D$5:$D$150,MATCH(C2650,Akaun!$A$5:$A$150,0)))</f>
        <v/>
      </c>
    </row>
    <row r="2651" customFormat="false" ht="15" hidden="false" customHeight="true" outlineLevel="0" collapsed="false">
      <c r="G2651" s="1" t="str">
        <f aca="false">IF(C2651="","",INDEX(Akaun!$F$5:$F$150,MATCH(C2651,Akaun!$A$5:$A$150,0)))</f>
        <v/>
      </c>
      <c r="H2651" s="1" t="str">
        <f aca="false">IF(C2651="","",INDEX(Akaun!$D$5:$D$150,MATCH(C2651,Akaun!$A$5:$A$150,0)))</f>
        <v/>
      </c>
    </row>
    <row r="2652" customFormat="false" ht="15" hidden="false" customHeight="true" outlineLevel="0" collapsed="false">
      <c r="G2652" s="1" t="str">
        <f aca="false">IF(C2652="","",INDEX(Akaun!$F$5:$F$150,MATCH(C2652,Akaun!$A$5:$A$150,0)))</f>
        <v/>
      </c>
      <c r="H2652" s="1" t="str">
        <f aca="false">IF(C2652="","",INDEX(Akaun!$D$5:$D$150,MATCH(C2652,Akaun!$A$5:$A$150,0)))</f>
        <v/>
      </c>
    </row>
    <row r="2653" customFormat="false" ht="15" hidden="false" customHeight="true" outlineLevel="0" collapsed="false">
      <c r="G2653" s="1" t="str">
        <f aca="false">IF(C2653="","",INDEX(Akaun!$F$5:$F$150,MATCH(C2653,Akaun!$A$5:$A$150,0)))</f>
        <v/>
      </c>
      <c r="H2653" s="1" t="str">
        <f aca="false">IF(C2653="","",INDEX(Akaun!$D$5:$D$150,MATCH(C2653,Akaun!$A$5:$A$150,0)))</f>
        <v/>
      </c>
    </row>
    <row r="2654" customFormat="false" ht="15" hidden="false" customHeight="true" outlineLevel="0" collapsed="false">
      <c r="G2654" s="1" t="str">
        <f aca="false">IF(C2654="","",INDEX(Akaun!$F$5:$F$150,MATCH(C2654,Akaun!$A$5:$A$150,0)))</f>
        <v/>
      </c>
      <c r="H2654" s="1" t="str">
        <f aca="false">IF(C2654="","",INDEX(Akaun!$D$5:$D$150,MATCH(C2654,Akaun!$A$5:$A$150,0)))</f>
        <v/>
      </c>
    </row>
    <row r="2655" customFormat="false" ht="15" hidden="false" customHeight="true" outlineLevel="0" collapsed="false">
      <c r="G2655" s="1" t="str">
        <f aca="false">IF(C2655="","",INDEX(Akaun!$F$5:$F$150,MATCH(C2655,Akaun!$A$5:$A$150,0)))</f>
        <v/>
      </c>
      <c r="H2655" s="1" t="str">
        <f aca="false">IF(C2655="","",INDEX(Akaun!$D$5:$D$150,MATCH(C2655,Akaun!$A$5:$A$150,0)))</f>
        <v/>
      </c>
    </row>
    <row r="2656" customFormat="false" ht="15" hidden="false" customHeight="true" outlineLevel="0" collapsed="false">
      <c r="G2656" s="1" t="str">
        <f aca="false">IF(C2656="","",INDEX(Akaun!$F$5:$F$150,MATCH(C2656,Akaun!$A$5:$A$150,0)))</f>
        <v/>
      </c>
      <c r="H2656" s="1" t="str">
        <f aca="false">IF(C2656="","",INDEX(Akaun!$D$5:$D$150,MATCH(C2656,Akaun!$A$5:$A$150,0)))</f>
        <v/>
      </c>
    </row>
    <row r="2657" customFormat="false" ht="15" hidden="false" customHeight="true" outlineLevel="0" collapsed="false">
      <c r="G2657" s="1" t="str">
        <f aca="false">IF(C2657="","",INDEX(Akaun!$F$5:$F$150,MATCH(C2657,Akaun!$A$5:$A$150,0)))</f>
        <v/>
      </c>
      <c r="H2657" s="1" t="str">
        <f aca="false">IF(C2657="","",INDEX(Akaun!$D$5:$D$150,MATCH(C2657,Akaun!$A$5:$A$150,0)))</f>
        <v/>
      </c>
    </row>
    <row r="2658" customFormat="false" ht="15" hidden="false" customHeight="true" outlineLevel="0" collapsed="false">
      <c r="G2658" s="1" t="str">
        <f aca="false">IF(C2658="","",INDEX(Akaun!$F$5:$F$150,MATCH(C2658,Akaun!$A$5:$A$150,0)))</f>
        <v/>
      </c>
      <c r="H2658" s="1" t="str">
        <f aca="false">IF(C2658="","",INDEX(Akaun!$D$5:$D$150,MATCH(C2658,Akaun!$A$5:$A$150,0)))</f>
        <v/>
      </c>
    </row>
    <row r="2659" customFormat="false" ht="15" hidden="false" customHeight="true" outlineLevel="0" collapsed="false">
      <c r="G2659" s="1" t="str">
        <f aca="false">IF(C2659="","",INDEX(Akaun!$F$5:$F$150,MATCH(C2659,Akaun!$A$5:$A$150,0)))</f>
        <v/>
      </c>
      <c r="H2659" s="1" t="str">
        <f aca="false">IF(C2659="","",INDEX(Akaun!$D$5:$D$150,MATCH(C2659,Akaun!$A$5:$A$150,0)))</f>
        <v/>
      </c>
    </row>
    <row r="2660" customFormat="false" ht="15" hidden="false" customHeight="true" outlineLevel="0" collapsed="false">
      <c r="G2660" s="1" t="str">
        <f aca="false">IF(C2660="","",INDEX(Akaun!$F$5:$F$150,MATCH(C2660,Akaun!$A$5:$A$150,0)))</f>
        <v/>
      </c>
      <c r="H2660" s="1" t="str">
        <f aca="false">IF(C2660="","",INDEX(Akaun!$D$5:$D$150,MATCH(C2660,Akaun!$A$5:$A$150,0)))</f>
        <v/>
      </c>
    </row>
    <row r="2661" customFormat="false" ht="15" hidden="false" customHeight="true" outlineLevel="0" collapsed="false">
      <c r="G2661" s="1" t="str">
        <f aca="false">IF(C2661="","",INDEX(Akaun!$F$5:$F$150,MATCH(C2661,Akaun!$A$5:$A$150,0)))</f>
        <v/>
      </c>
      <c r="H2661" s="1" t="str">
        <f aca="false">IF(C2661="","",INDEX(Akaun!$D$5:$D$150,MATCH(C2661,Akaun!$A$5:$A$150,0)))</f>
        <v/>
      </c>
    </row>
    <row r="2662" customFormat="false" ht="15" hidden="false" customHeight="true" outlineLevel="0" collapsed="false">
      <c r="G2662" s="1" t="str">
        <f aca="false">IF(C2662="","",INDEX(Akaun!$F$5:$F$150,MATCH(C2662,Akaun!$A$5:$A$150,0)))</f>
        <v/>
      </c>
      <c r="H2662" s="1" t="str">
        <f aca="false">IF(C2662="","",INDEX(Akaun!$D$5:$D$150,MATCH(C2662,Akaun!$A$5:$A$150,0)))</f>
        <v/>
      </c>
    </row>
    <row r="2663" customFormat="false" ht="15" hidden="false" customHeight="true" outlineLevel="0" collapsed="false">
      <c r="G2663" s="1" t="str">
        <f aca="false">IF(C2663="","",INDEX(Akaun!$F$5:$F$150,MATCH(C2663,Akaun!$A$5:$A$150,0)))</f>
        <v/>
      </c>
      <c r="H2663" s="1" t="str">
        <f aca="false">IF(C2663="","",INDEX(Akaun!$D$5:$D$150,MATCH(C2663,Akaun!$A$5:$A$150,0)))</f>
        <v/>
      </c>
    </row>
    <row r="2664" customFormat="false" ht="15" hidden="false" customHeight="true" outlineLevel="0" collapsed="false">
      <c r="G2664" s="1" t="str">
        <f aca="false">IF(C2664="","",INDEX(Akaun!$F$5:$F$150,MATCH(C2664,Akaun!$A$5:$A$150,0)))</f>
        <v/>
      </c>
      <c r="H2664" s="1" t="str">
        <f aca="false">IF(C2664="","",INDEX(Akaun!$D$5:$D$150,MATCH(C2664,Akaun!$A$5:$A$150,0)))</f>
        <v/>
      </c>
    </row>
    <row r="2665" customFormat="false" ht="15" hidden="false" customHeight="true" outlineLevel="0" collapsed="false">
      <c r="G2665" s="1" t="str">
        <f aca="false">IF(C2665="","",INDEX(Akaun!$F$5:$F$150,MATCH(C2665,Akaun!$A$5:$A$150,0)))</f>
        <v/>
      </c>
      <c r="H2665" s="1" t="str">
        <f aca="false">IF(C2665="","",INDEX(Akaun!$D$5:$D$150,MATCH(C2665,Akaun!$A$5:$A$150,0)))</f>
        <v/>
      </c>
    </row>
    <row r="2666" customFormat="false" ht="15" hidden="false" customHeight="true" outlineLevel="0" collapsed="false">
      <c r="G2666" s="1" t="str">
        <f aca="false">IF(C2666="","",INDEX(Akaun!$F$5:$F$150,MATCH(C2666,Akaun!$A$5:$A$150,0)))</f>
        <v/>
      </c>
      <c r="H2666" s="1" t="str">
        <f aca="false">IF(C2666="","",INDEX(Akaun!$D$5:$D$150,MATCH(C2666,Akaun!$A$5:$A$150,0)))</f>
        <v/>
      </c>
    </row>
    <row r="2667" customFormat="false" ht="15" hidden="false" customHeight="true" outlineLevel="0" collapsed="false">
      <c r="G2667" s="1" t="str">
        <f aca="false">IF(C2667="","",INDEX(Akaun!$F$5:$F$150,MATCH(C2667,Akaun!$A$5:$A$150,0)))</f>
        <v/>
      </c>
      <c r="H2667" s="1" t="str">
        <f aca="false">IF(C2667="","",INDEX(Akaun!$D$5:$D$150,MATCH(C2667,Akaun!$A$5:$A$150,0)))</f>
        <v/>
      </c>
    </row>
    <row r="2668" customFormat="false" ht="15" hidden="false" customHeight="true" outlineLevel="0" collapsed="false">
      <c r="G2668" s="1" t="str">
        <f aca="false">IF(C2668="","",INDEX(Akaun!$F$5:$F$150,MATCH(C2668,Akaun!$A$5:$A$150,0)))</f>
        <v/>
      </c>
      <c r="H2668" s="1" t="str">
        <f aca="false">IF(C2668="","",INDEX(Akaun!$D$5:$D$150,MATCH(C2668,Akaun!$A$5:$A$150,0)))</f>
        <v/>
      </c>
    </row>
    <row r="2669" customFormat="false" ht="15" hidden="false" customHeight="true" outlineLevel="0" collapsed="false">
      <c r="G2669" s="1" t="str">
        <f aca="false">IF(C2669="","",INDEX(Akaun!$F$5:$F$150,MATCH(C2669,Akaun!$A$5:$A$150,0)))</f>
        <v/>
      </c>
      <c r="H2669" s="1" t="str">
        <f aca="false">IF(C2669="","",INDEX(Akaun!$D$5:$D$150,MATCH(C2669,Akaun!$A$5:$A$150,0)))</f>
        <v/>
      </c>
    </row>
    <row r="2670" customFormat="false" ht="15" hidden="false" customHeight="true" outlineLevel="0" collapsed="false">
      <c r="G2670" s="1" t="str">
        <f aca="false">IF(C2670="","",INDEX(Akaun!$F$5:$F$150,MATCH(C2670,Akaun!$A$5:$A$150,0)))</f>
        <v/>
      </c>
      <c r="H2670" s="1" t="str">
        <f aca="false">IF(C2670="","",INDEX(Akaun!$D$5:$D$150,MATCH(C2670,Akaun!$A$5:$A$150,0)))</f>
        <v/>
      </c>
    </row>
    <row r="2671" customFormat="false" ht="15" hidden="false" customHeight="true" outlineLevel="0" collapsed="false">
      <c r="G2671" s="1" t="str">
        <f aca="false">IF(C2671="","",INDEX(Akaun!$F$5:$F$150,MATCH(C2671,Akaun!$A$5:$A$150,0)))</f>
        <v/>
      </c>
      <c r="H2671" s="1" t="str">
        <f aca="false">IF(C2671="","",INDEX(Akaun!$D$5:$D$150,MATCH(C2671,Akaun!$A$5:$A$150,0)))</f>
        <v/>
      </c>
    </row>
    <row r="2672" customFormat="false" ht="15" hidden="false" customHeight="true" outlineLevel="0" collapsed="false">
      <c r="G2672" s="1" t="str">
        <f aca="false">IF(C2672="","",INDEX(Akaun!$F$5:$F$150,MATCH(C2672,Akaun!$A$5:$A$150,0)))</f>
        <v/>
      </c>
      <c r="H2672" s="1" t="str">
        <f aca="false">IF(C2672="","",INDEX(Akaun!$D$5:$D$150,MATCH(C2672,Akaun!$A$5:$A$150,0)))</f>
        <v/>
      </c>
    </row>
    <row r="2673" customFormat="false" ht="15" hidden="false" customHeight="true" outlineLevel="0" collapsed="false">
      <c r="G2673" s="1" t="str">
        <f aca="false">IF(C2673="","",INDEX(Akaun!$F$5:$F$150,MATCH(C2673,Akaun!$A$5:$A$150,0)))</f>
        <v/>
      </c>
      <c r="H2673" s="1" t="str">
        <f aca="false">IF(C2673="","",INDEX(Akaun!$D$5:$D$150,MATCH(C2673,Akaun!$A$5:$A$150,0)))</f>
        <v/>
      </c>
    </row>
    <row r="2674" customFormat="false" ht="15" hidden="false" customHeight="true" outlineLevel="0" collapsed="false">
      <c r="G2674" s="1" t="str">
        <f aca="false">IF(C2674="","",INDEX(Akaun!$F$5:$F$150,MATCH(C2674,Akaun!$A$5:$A$150,0)))</f>
        <v/>
      </c>
      <c r="H2674" s="1" t="str">
        <f aca="false">IF(C2674="","",INDEX(Akaun!$D$5:$D$150,MATCH(C2674,Akaun!$A$5:$A$150,0)))</f>
        <v/>
      </c>
    </row>
    <row r="2675" customFormat="false" ht="15" hidden="false" customHeight="true" outlineLevel="0" collapsed="false">
      <c r="G2675" s="1" t="str">
        <f aca="false">IF(C2675="","",INDEX(Akaun!$F$5:$F$150,MATCH(C2675,Akaun!$A$5:$A$150,0)))</f>
        <v/>
      </c>
      <c r="H2675" s="1" t="str">
        <f aca="false">IF(C2675="","",INDEX(Akaun!$D$5:$D$150,MATCH(C2675,Akaun!$A$5:$A$150,0)))</f>
        <v/>
      </c>
    </row>
    <row r="2676" customFormat="false" ht="15" hidden="false" customHeight="true" outlineLevel="0" collapsed="false">
      <c r="G2676" s="1" t="str">
        <f aca="false">IF(C2676="","",INDEX(Akaun!$F$5:$F$150,MATCH(C2676,Akaun!$A$5:$A$150,0)))</f>
        <v/>
      </c>
      <c r="H2676" s="1" t="str">
        <f aca="false">IF(C2676="","",INDEX(Akaun!$D$5:$D$150,MATCH(C2676,Akaun!$A$5:$A$150,0)))</f>
        <v/>
      </c>
    </row>
    <row r="2677" customFormat="false" ht="15" hidden="false" customHeight="true" outlineLevel="0" collapsed="false">
      <c r="G2677" s="1" t="str">
        <f aca="false">IF(C2677="","",INDEX(Akaun!$F$5:$F$150,MATCH(C2677,Akaun!$A$5:$A$150,0)))</f>
        <v/>
      </c>
      <c r="H2677" s="1" t="str">
        <f aca="false">IF(C2677="","",INDEX(Akaun!$D$5:$D$150,MATCH(C2677,Akaun!$A$5:$A$150,0)))</f>
        <v/>
      </c>
    </row>
    <row r="2678" customFormat="false" ht="15" hidden="false" customHeight="true" outlineLevel="0" collapsed="false">
      <c r="G2678" s="1" t="str">
        <f aca="false">IF(C2678="","",INDEX(Akaun!$F$5:$F$150,MATCH(C2678,Akaun!$A$5:$A$150,0)))</f>
        <v/>
      </c>
      <c r="H2678" s="1" t="str">
        <f aca="false">IF(C2678="","",INDEX(Akaun!$D$5:$D$150,MATCH(C2678,Akaun!$A$5:$A$150,0)))</f>
        <v/>
      </c>
    </row>
    <row r="2679" customFormat="false" ht="15" hidden="false" customHeight="true" outlineLevel="0" collapsed="false">
      <c r="G2679" s="1" t="str">
        <f aca="false">IF(C2679="","",INDEX(Akaun!$F$5:$F$150,MATCH(C2679,Akaun!$A$5:$A$150,0)))</f>
        <v/>
      </c>
      <c r="H2679" s="1" t="str">
        <f aca="false">IF(C2679="","",INDEX(Akaun!$D$5:$D$150,MATCH(C2679,Akaun!$A$5:$A$150,0)))</f>
        <v/>
      </c>
    </row>
    <row r="2680" customFormat="false" ht="15" hidden="false" customHeight="true" outlineLevel="0" collapsed="false">
      <c r="G2680" s="1" t="str">
        <f aca="false">IF(C2680="","",INDEX(Akaun!$F$5:$F$150,MATCH(C2680,Akaun!$A$5:$A$150,0)))</f>
        <v/>
      </c>
      <c r="H2680" s="1" t="str">
        <f aca="false">IF(C2680="","",INDEX(Akaun!$D$5:$D$150,MATCH(C2680,Akaun!$A$5:$A$150,0)))</f>
        <v/>
      </c>
    </row>
    <row r="2681" customFormat="false" ht="15" hidden="false" customHeight="true" outlineLevel="0" collapsed="false">
      <c r="G2681" s="1" t="str">
        <f aca="false">IF(C2681="","",INDEX(Akaun!$F$5:$F$150,MATCH(C2681,Akaun!$A$5:$A$150,0)))</f>
        <v/>
      </c>
      <c r="H2681" s="1" t="str">
        <f aca="false">IF(C2681="","",INDEX(Akaun!$D$5:$D$150,MATCH(C2681,Akaun!$A$5:$A$150,0)))</f>
        <v/>
      </c>
    </row>
    <row r="2682" customFormat="false" ht="15" hidden="false" customHeight="true" outlineLevel="0" collapsed="false">
      <c r="G2682" s="1" t="str">
        <f aca="false">IF(C2682="","",INDEX(Akaun!$F$5:$F$150,MATCH(C2682,Akaun!$A$5:$A$150,0)))</f>
        <v/>
      </c>
      <c r="H2682" s="1" t="str">
        <f aca="false">IF(C2682="","",INDEX(Akaun!$D$5:$D$150,MATCH(C2682,Akaun!$A$5:$A$150,0)))</f>
        <v/>
      </c>
    </row>
    <row r="2683" customFormat="false" ht="15" hidden="false" customHeight="true" outlineLevel="0" collapsed="false">
      <c r="G2683" s="1" t="str">
        <f aca="false">IF(C2683="","",INDEX(Akaun!$F$5:$F$150,MATCH(C2683,Akaun!$A$5:$A$150,0)))</f>
        <v/>
      </c>
      <c r="H2683" s="1" t="str">
        <f aca="false">IF(C2683="","",INDEX(Akaun!$D$5:$D$150,MATCH(C2683,Akaun!$A$5:$A$150,0)))</f>
        <v/>
      </c>
    </row>
    <row r="2684" customFormat="false" ht="15" hidden="false" customHeight="true" outlineLevel="0" collapsed="false">
      <c r="G2684" s="1" t="str">
        <f aca="false">IF(C2684="","",INDEX(Akaun!$F$5:$F$150,MATCH(C2684,Akaun!$A$5:$A$150,0)))</f>
        <v/>
      </c>
      <c r="H2684" s="1" t="str">
        <f aca="false">IF(C2684="","",INDEX(Akaun!$D$5:$D$150,MATCH(C2684,Akaun!$A$5:$A$150,0)))</f>
        <v/>
      </c>
    </row>
    <row r="2685" customFormat="false" ht="15" hidden="false" customHeight="true" outlineLevel="0" collapsed="false">
      <c r="G2685" s="1" t="str">
        <f aca="false">IF(C2685="","",INDEX(Akaun!$F$5:$F$150,MATCH(C2685,Akaun!$A$5:$A$150,0)))</f>
        <v/>
      </c>
      <c r="H2685" s="1" t="str">
        <f aca="false">IF(C2685="","",INDEX(Akaun!$D$5:$D$150,MATCH(C2685,Akaun!$A$5:$A$150,0)))</f>
        <v/>
      </c>
    </row>
    <row r="2686" customFormat="false" ht="15" hidden="false" customHeight="true" outlineLevel="0" collapsed="false">
      <c r="G2686" s="1" t="str">
        <f aca="false">IF(C2686="","",INDEX(Akaun!$F$5:$F$150,MATCH(C2686,Akaun!$A$5:$A$150,0)))</f>
        <v/>
      </c>
      <c r="H2686" s="1" t="str">
        <f aca="false">IF(C2686="","",INDEX(Akaun!$D$5:$D$150,MATCH(C2686,Akaun!$A$5:$A$150,0)))</f>
        <v/>
      </c>
    </row>
    <row r="2687" customFormat="false" ht="15" hidden="false" customHeight="true" outlineLevel="0" collapsed="false">
      <c r="G2687" s="1" t="str">
        <f aca="false">IF(C2687="","",INDEX(Akaun!$F$5:$F$150,MATCH(C2687,Akaun!$A$5:$A$150,0)))</f>
        <v/>
      </c>
      <c r="H2687" s="1" t="str">
        <f aca="false">IF(C2687="","",INDEX(Akaun!$D$5:$D$150,MATCH(C2687,Akaun!$A$5:$A$150,0)))</f>
        <v/>
      </c>
    </row>
    <row r="2688" customFormat="false" ht="15" hidden="false" customHeight="true" outlineLevel="0" collapsed="false">
      <c r="G2688" s="1" t="str">
        <f aca="false">IF(C2688="","",INDEX(Akaun!$F$5:$F$150,MATCH(C2688,Akaun!$A$5:$A$150,0)))</f>
        <v/>
      </c>
      <c r="H2688" s="1" t="str">
        <f aca="false">IF(C2688="","",INDEX(Akaun!$D$5:$D$150,MATCH(C2688,Akaun!$A$5:$A$150,0)))</f>
        <v/>
      </c>
    </row>
    <row r="2689" customFormat="false" ht="15" hidden="false" customHeight="true" outlineLevel="0" collapsed="false">
      <c r="G2689" s="1" t="str">
        <f aca="false">IF(C2689="","",INDEX(Akaun!$F$5:$F$150,MATCH(C2689,Akaun!$A$5:$A$150,0)))</f>
        <v/>
      </c>
      <c r="H2689" s="1" t="str">
        <f aca="false">IF(C2689="","",INDEX(Akaun!$D$5:$D$150,MATCH(C2689,Akaun!$A$5:$A$150,0)))</f>
        <v/>
      </c>
    </row>
    <row r="2690" customFormat="false" ht="15" hidden="false" customHeight="true" outlineLevel="0" collapsed="false">
      <c r="G2690" s="1" t="str">
        <f aca="false">IF(C2690="","",INDEX(Akaun!$F$5:$F$150,MATCH(C2690,Akaun!$A$5:$A$150,0)))</f>
        <v/>
      </c>
      <c r="H2690" s="1" t="str">
        <f aca="false">IF(C2690="","",INDEX(Akaun!$D$5:$D$150,MATCH(C2690,Akaun!$A$5:$A$150,0)))</f>
        <v/>
      </c>
    </row>
    <row r="2691" customFormat="false" ht="15" hidden="false" customHeight="true" outlineLevel="0" collapsed="false">
      <c r="G2691" s="1" t="str">
        <f aca="false">IF(C2691="","",INDEX(Akaun!$F$5:$F$150,MATCH(C2691,Akaun!$A$5:$A$150,0)))</f>
        <v/>
      </c>
      <c r="H2691" s="1" t="str">
        <f aca="false">IF(C2691="","",INDEX(Akaun!$D$5:$D$150,MATCH(C2691,Akaun!$A$5:$A$150,0)))</f>
        <v/>
      </c>
    </row>
    <row r="2692" customFormat="false" ht="15" hidden="false" customHeight="true" outlineLevel="0" collapsed="false">
      <c r="G2692" s="1" t="str">
        <f aca="false">IF(C2692="","",INDEX(Akaun!$F$5:$F$150,MATCH(C2692,Akaun!$A$5:$A$150,0)))</f>
        <v/>
      </c>
      <c r="H2692" s="1" t="str">
        <f aca="false">IF(C2692="","",INDEX(Akaun!$D$5:$D$150,MATCH(C2692,Akaun!$A$5:$A$150,0)))</f>
        <v/>
      </c>
    </row>
    <row r="2693" customFormat="false" ht="15" hidden="false" customHeight="true" outlineLevel="0" collapsed="false">
      <c r="G2693" s="1" t="str">
        <f aca="false">IF(C2693="","",INDEX(Akaun!$F$5:$F$150,MATCH(C2693,Akaun!$A$5:$A$150,0)))</f>
        <v/>
      </c>
      <c r="H2693" s="1" t="str">
        <f aca="false">IF(C2693="","",INDEX(Akaun!$D$5:$D$150,MATCH(C2693,Akaun!$A$5:$A$150,0)))</f>
        <v/>
      </c>
    </row>
    <row r="2694" customFormat="false" ht="15" hidden="false" customHeight="true" outlineLevel="0" collapsed="false">
      <c r="G2694" s="1" t="str">
        <f aca="false">IF(C2694="","",INDEX(Akaun!$F$5:$F$150,MATCH(C2694,Akaun!$A$5:$A$150,0)))</f>
        <v/>
      </c>
      <c r="H2694" s="1" t="str">
        <f aca="false">IF(C2694="","",INDEX(Akaun!$D$5:$D$150,MATCH(C2694,Akaun!$A$5:$A$150,0)))</f>
        <v/>
      </c>
    </row>
    <row r="2695" customFormat="false" ht="15" hidden="false" customHeight="true" outlineLevel="0" collapsed="false">
      <c r="G2695" s="1" t="str">
        <f aca="false">IF(C2695="","",INDEX(Akaun!$F$5:$F$150,MATCH(C2695,Akaun!$A$5:$A$150,0)))</f>
        <v/>
      </c>
      <c r="H2695" s="1" t="str">
        <f aca="false">IF(C2695="","",INDEX(Akaun!$D$5:$D$150,MATCH(C2695,Akaun!$A$5:$A$150,0)))</f>
        <v/>
      </c>
    </row>
    <row r="2696" customFormat="false" ht="15" hidden="false" customHeight="true" outlineLevel="0" collapsed="false">
      <c r="G2696" s="1" t="str">
        <f aca="false">IF(C2696="","",INDEX(Akaun!$F$5:$F$150,MATCH(C2696,Akaun!$A$5:$A$150,0)))</f>
        <v/>
      </c>
      <c r="H2696" s="1" t="str">
        <f aca="false">IF(C2696="","",INDEX(Akaun!$D$5:$D$150,MATCH(C2696,Akaun!$A$5:$A$150,0)))</f>
        <v/>
      </c>
    </row>
    <row r="2697" customFormat="false" ht="15" hidden="false" customHeight="true" outlineLevel="0" collapsed="false">
      <c r="G2697" s="1" t="str">
        <f aca="false">IF(C2697="","",INDEX(Akaun!$F$5:$F$150,MATCH(C2697,Akaun!$A$5:$A$150,0)))</f>
        <v/>
      </c>
      <c r="H2697" s="1" t="str">
        <f aca="false">IF(C2697="","",INDEX(Akaun!$D$5:$D$150,MATCH(C2697,Akaun!$A$5:$A$150,0)))</f>
        <v/>
      </c>
    </row>
    <row r="2698" customFormat="false" ht="15" hidden="false" customHeight="true" outlineLevel="0" collapsed="false">
      <c r="G2698" s="1" t="str">
        <f aca="false">IF(C2698="","",INDEX(Akaun!$F$5:$F$150,MATCH(C2698,Akaun!$A$5:$A$150,0)))</f>
        <v/>
      </c>
      <c r="H2698" s="1" t="str">
        <f aca="false">IF(C2698="","",INDEX(Akaun!$D$5:$D$150,MATCH(C2698,Akaun!$A$5:$A$150,0)))</f>
        <v/>
      </c>
    </row>
    <row r="2699" customFormat="false" ht="15" hidden="false" customHeight="true" outlineLevel="0" collapsed="false">
      <c r="G2699" s="1" t="str">
        <f aca="false">IF(C2699="","",INDEX(Akaun!$F$5:$F$150,MATCH(C2699,Akaun!$A$5:$A$150,0)))</f>
        <v/>
      </c>
      <c r="H2699" s="1" t="str">
        <f aca="false">IF(C2699="","",INDEX(Akaun!$D$5:$D$150,MATCH(C2699,Akaun!$A$5:$A$150,0)))</f>
        <v/>
      </c>
    </row>
    <row r="2700" customFormat="false" ht="15" hidden="false" customHeight="true" outlineLevel="0" collapsed="false">
      <c r="G2700" s="1" t="str">
        <f aca="false">IF(C2700="","",INDEX(Akaun!$F$5:$F$150,MATCH(C2700,Akaun!$A$5:$A$150,0)))</f>
        <v/>
      </c>
      <c r="H2700" s="1" t="str">
        <f aca="false">IF(C2700="","",INDEX(Akaun!$D$5:$D$150,MATCH(C2700,Akaun!$A$5:$A$150,0)))</f>
        <v/>
      </c>
    </row>
    <row r="2701" customFormat="false" ht="15" hidden="false" customHeight="true" outlineLevel="0" collapsed="false">
      <c r="G2701" s="1" t="str">
        <f aca="false">IF(C2701="","",INDEX(Akaun!$F$5:$F$150,MATCH(C2701,Akaun!$A$5:$A$150,0)))</f>
        <v/>
      </c>
      <c r="H2701" s="1" t="str">
        <f aca="false">IF(C2701="","",INDEX(Akaun!$D$5:$D$150,MATCH(C2701,Akaun!$A$5:$A$150,0)))</f>
        <v/>
      </c>
    </row>
    <row r="2702" customFormat="false" ht="15" hidden="false" customHeight="true" outlineLevel="0" collapsed="false">
      <c r="G2702" s="1" t="str">
        <f aca="false">IF(C2702="","",INDEX(Akaun!$F$5:$F$150,MATCH(C2702,Akaun!$A$5:$A$150,0)))</f>
        <v/>
      </c>
      <c r="H2702" s="1" t="str">
        <f aca="false">IF(C2702="","",INDEX(Akaun!$D$5:$D$150,MATCH(C2702,Akaun!$A$5:$A$150,0)))</f>
        <v/>
      </c>
    </row>
    <row r="2703" customFormat="false" ht="15" hidden="false" customHeight="true" outlineLevel="0" collapsed="false">
      <c r="G2703" s="1" t="str">
        <f aca="false">IF(C2703="","",INDEX(Akaun!$F$5:$F$150,MATCH(C2703,Akaun!$A$5:$A$150,0)))</f>
        <v/>
      </c>
      <c r="H2703" s="1" t="str">
        <f aca="false">IF(C2703="","",INDEX(Akaun!$D$5:$D$150,MATCH(C2703,Akaun!$A$5:$A$150,0)))</f>
        <v/>
      </c>
    </row>
    <row r="2704" customFormat="false" ht="15" hidden="false" customHeight="true" outlineLevel="0" collapsed="false">
      <c r="G2704" s="1" t="str">
        <f aca="false">IF(C2704="","",INDEX(Akaun!$F$5:$F$150,MATCH(C2704,Akaun!$A$5:$A$150,0)))</f>
        <v/>
      </c>
      <c r="H2704" s="1" t="str">
        <f aca="false">IF(C2704="","",INDEX(Akaun!$D$5:$D$150,MATCH(C2704,Akaun!$A$5:$A$150,0)))</f>
        <v/>
      </c>
    </row>
    <row r="2705" customFormat="false" ht="15" hidden="false" customHeight="true" outlineLevel="0" collapsed="false">
      <c r="G2705" s="1" t="str">
        <f aca="false">IF(C2705="","",INDEX(Akaun!$F$5:$F$150,MATCH(C2705,Akaun!$A$5:$A$150,0)))</f>
        <v/>
      </c>
      <c r="H2705" s="1" t="str">
        <f aca="false">IF(C2705="","",INDEX(Akaun!$D$5:$D$150,MATCH(C2705,Akaun!$A$5:$A$150,0)))</f>
        <v/>
      </c>
    </row>
    <row r="2706" customFormat="false" ht="15" hidden="false" customHeight="true" outlineLevel="0" collapsed="false">
      <c r="G2706" s="1" t="str">
        <f aca="false">IF(C2706="","",INDEX(Akaun!$F$5:$F$150,MATCH(C2706,Akaun!$A$5:$A$150,0)))</f>
        <v/>
      </c>
      <c r="H2706" s="1" t="str">
        <f aca="false">IF(C2706="","",INDEX(Akaun!$D$5:$D$150,MATCH(C2706,Akaun!$A$5:$A$150,0)))</f>
        <v/>
      </c>
    </row>
    <row r="2707" customFormat="false" ht="15" hidden="false" customHeight="true" outlineLevel="0" collapsed="false">
      <c r="G2707" s="1" t="str">
        <f aca="false">IF(C2707="","",INDEX(Akaun!$F$5:$F$150,MATCH(C2707,Akaun!$A$5:$A$150,0)))</f>
        <v/>
      </c>
      <c r="H2707" s="1" t="str">
        <f aca="false">IF(C2707="","",INDEX(Akaun!$D$5:$D$150,MATCH(C2707,Akaun!$A$5:$A$150,0)))</f>
        <v/>
      </c>
    </row>
    <row r="2708" customFormat="false" ht="15" hidden="false" customHeight="true" outlineLevel="0" collapsed="false">
      <c r="G2708" s="1" t="str">
        <f aca="false">IF(C2708="","",INDEX(Akaun!$F$5:$F$150,MATCH(C2708,Akaun!$A$5:$A$150,0)))</f>
        <v/>
      </c>
      <c r="H2708" s="1" t="str">
        <f aca="false">IF(C2708="","",INDEX(Akaun!$D$5:$D$150,MATCH(C2708,Akaun!$A$5:$A$150,0)))</f>
        <v/>
      </c>
    </row>
    <row r="2709" customFormat="false" ht="15" hidden="false" customHeight="true" outlineLevel="0" collapsed="false">
      <c r="G2709" s="1" t="str">
        <f aca="false">IF(C2709="","",INDEX(Akaun!$F$5:$F$150,MATCH(C2709,Akaun!$A$5:$A$150,0)))</f>
        <v/>
      </c>
      <c r="H2709" s="1" t="str">
        <f aca="false">IF(C2709="","",INDEX(Akaun!$D$5:$D$150,MATCH(C2709,Akaun!$A$5:$A$150,0)))</f>
        <v/>
      </c>
    </row>
    <row r="2710" customFormat="false" ht="15" hidden="false" customHeight="true" outlineLevel="0" collapsed="false">
      <c r="G2710" s="1" t="str">
        <f aca="false">IF(C2710="","",INDEX(Akaun!$F$5:$F$150,MATCH(C2710,Akaun!$A$5:$A$150,0)))</f>
        <v/>
      </c>
      <c r="H2710" s="1" t="str">
        <f aca="false">IF(C2710="","",INDEX(Akaun!$D$5:$D$150,MATCH(C2710,Akaun!$A$5:$A$150,0)))</f>
        <v/>
      </c>
    </row>
    <row r="2711" customFormat="false" ht="15" hidden="false" customHeight="true" outlineLevel="0" collapsed="false">
      <c r="G2711" s="1" t="str">
        <f aca="false">IF(C2711="","",INDEX(Akaun!$F$5:$F$150,MATCH(C2711,Akaun!$A$5:$A$150,0)))</f>
        <v/>
      </c>
      <c r="H2711" s="1" t="str">
        <f aca="false">IF(C2711="","",INDEX(Akaun!$D$5:$D$150,MATCH(C2711,Akaun!$A$5:$A$150,0)))</f>
        <v/>
      </c>
    </row>
    <row r="2712" customFormat="false" ht="15" hidden="false" customHeight="true" outlineLevel="0" collapsed="false">
      <c r="G2712" s="1" t="str">
        <f aca="false">IF(C2712="","",INDEX(Akaun!$F$5:$F$150,MATCH(C2712,Akaun!$A$5:$A$150,0)))</f>
        <v/>
      </c>
      <c r="H2712" s="1" t="str">
        <f aca="false">IF(C2712="","",INDEX(Akaun!$D$5:$D$150,MATCH(C2712,Akaun!$A$5:$A$150,0)))</f>
        <v/>
      </c>
    </row>
    <row r="2713" customFormat="false" ht="15" hidden="false" customHeight="true" outlineLevel="0" collapsed="false">
      <c r="G2713" s="1" t="str">
        <f aca="false">IF(C2713="","",INDEX(Akaun!$F$5:$F$150,MATCH(C2713,Akaun!$A$5:$A$150,0)))</f>
        <v/>
      </c>
      <c r="H2713" s="1" t="str">
        <f aca="false">IF(C2713="","",INDEX(Akaun!$D$5:$D$150,MATCH(C2713,Akaun!$A$5:$A$150,0)))</f>
        <v/>
      </c>
    </row>
    <row r="2714" customFormat="false" ht="15" hidden="false" customHeight="true" outlineLevel="0" collapsed="false">
      <c r="G2714" s="1" t="str">
        <f aca="false">IF(C2714="","",INDEX(Akaun!$F$5:$F$150,MATCH(C2714,Akaun!$A$5:$A$150,0)))</f>
        <v/>
      </c>
      <c r="H2714" s="1" t="str">
        <f aca="false">IF(C2714="","",INDEX(Akaun!$D$5:$D$150,MATCH(C2714,Akaun!$A$5:$A$150,0)))</f>
        <v/>
      </c>
    </row>
    <row r="2715" customFormat="false" ht="15" hidden="false" customHeight="true" outlineLevel="0" collapsed="false">
      <c r="G2715" s="1" t="str">
        <f aca="false">IF(C2715="","",INDEX(Akaun!$F$5:$F$150,MATCH(C2715,Akaun!$A$5:$A$150,0)))</f>
        <v/>
      </c>
      <c r="H2715" s="1" t="str">
        <f aca="false">IF(C2715="","",INDEX(Akaun!$D$5:$D$150,MATCH(C2715,Akaun!$A$5:$A$150,0)))</f>
        <v/>
      </c>
    </row>
    <row r="2716" customFormat="false" ht="15" hidden="false" customHeight="true" outlineLevel="0" collapsed="false">
      <c r="G2716" s="1" t="str">
        <f aca="false">IF(C2716="","",INDEX(Akaun!$F$5:$F$150,MATCH(C2716,Akaun!$A$5:$A$150,0)))</f>
        <v/>
      </c>
      <c r="H2716" s="1" t="str">
        <f aca="false">IF(C2716="","",INDEX(Akaun!$D$5:$D$150,MATCH(C2716,Akaun!$A$5:$A$150,0)))</f>
        <v/>
      </c>
    </row>
    <row r="2717" customFormat="false" ht="15" hidden="false" customHeight="true" outlineLevel="0" collapsed="false">
      <c r="G2717" s="1" t="str">
        <f aca="false">IF(C2717="","",INDEX(Akaun!$F$5:$F$150,MATCH(C2717,Akaun!$A$5:$A$150,0)))</f>
        <v/>
      </c>
      <c r="H2717" s="1" t="str">
        <f aca="false">IF(C2717="","",INDEX(Akaun!$D$5:$D$150,MATCH(C2717,Akaun!$A$5:$A$150,0)))</f>
        <v/>
      </c>
    </row>
    <row r="2718" customFormat="false" ht="15" hidden="false" customHeight="true" outlineLevel="0" collapsed="false">
      <c r="G2718" s="1" t="str">
        <f aca="false">IF(C2718="","",INDEX(Akaun!$F$5:$F$150,MATCH(C2718,Akaun!$A$5:$A$150,0)))</f>
        <v/>
      </c>
      <c r="H2718" s="1" t="str">
        <f aca="false">IF(C2718="","",INDEX(Akaun!$D$5:$D$150,MATCH(C2718,Akaun!$A$5:$A$150,0)))</f>
        <v/>
      </c>
    </row>
    <row r="2719" customFormat="false" ht="15" hidden="false" customHeight="true" outlineLevel="0" collapsed="false">
      <c r="G2719" s="1" t="str">
        <f aca="false">IF(C2719="","",INDEX(Akaun!$F$5:$F$150,MATCH(C2719,Akaun!$A$5:$A$150,0)))</f>
        <v/>
      </c>
      <c r="H2719" s="1" t="str">
        <f aca="false">IF(C2719="","",INDEX(Akaun!$D$5:$D$150,MATCH(C2719,Akaun!$A$5:$A$150,0)))</f>
        <v/>
      </c>
    </row>
    <row r="2720" customFormat="false" ht="15" hidden="false" customHeight="true" outlineLevel="0" collapsed="false">
      <c r="G2720" s="1" t="str">
        <f aca="false">IF(C2720="","",INDEX(Akaun!$F$5:$F$150,MATCH(C2720,Akaun!$A$5:$A$150,0)))</f>
        <v/>
      </c>
      <c r="H2720" s="1" t="str">
        <f aca="false">IF(C2720="","",INDEX(Akaun!$D$5:$D$150,MATCH(C2720,Akaun!$A$5:$A$150,0)))</f>
        <v/>
      </c>
    </row>
    <row r="2721" customFormat="false" ht="15" hidden="false" customHeight="true" outlineLevel="0" collapsed="false">
      <c r="G2721" s="1" t="str">
        <f aca="false">IF(C2721="","",INDEX(Akaun!$F$5:$F$150,MATCH(C2721,Akaun!$A$5:$A$150,0)))</f>
        <v/>
      </c>
      <c r="H2721" s="1" t="str">
        <f aca="false">IF(C2721="","",INDEX(Akaun!$D$5:$D$150,MATCH(C2721,Akaun!$A$5:$A$150,0)))</f>
        <v/>
      </c>
    </row>
    <row r="2722" customFormat="false" ht="15" hidden="false" customHeight="true" outlineLevel="0" collapsed="false">
      <c r="G2722" s="1" t="str">
        <f aca="false">IF(C2722="","",INDEX(Akaun!$F$5:$F$150,MATCH(C2722,Akaun!$A$5:$A$150,0)))</f>
        <v/>
      </c>
      <c r="H2722" s="1" t="str">
        <f aca="false">IF(C2722="","",INDEX(Akaun!$D$5:$D$150,MATCH(C2722,Akaun!$A$5:$A$150,0)))</f>
        <v/>
      </c>
    </row>
    <row r="2723" customFormat="false" ht="15" hidden="false" customHeight="true" outlineLevel="0" collapsed="false">
      <c r="G2723" s="1" t="str">
        <f aca="false">IF(C2723="","",INDEX(Akaun!$F$5:$F$150,MATCH(C2723,Akaun!$A$5:$A$150,0)))</f>
        <v/>
      </c>
      <c r="H2723" s="1" t="str">
        <f aca="false">IF(C2723="","",INDEX(Akaun!$D$5:$D$150,MATCH(C2723,Akaun!$A$5:$A$150,0)))</f>
        <v/>
      </c>
    </row>
    <row r="2724" customFormat="false" ht="15" hidden="false" customHeight="true" outlineLevel="0" collapsed="false">
      <c r="G2724" s="1" t="str">
        <f aca="false">IF(C2724="","",INDEX(Akaun!$F$5:$F$150,MATCH(C2724,Akaun!$A$5:$A$150,0)))</f>
        <v/>
      </c>
      <c r="H2724" s="1" t="str">
        <f aca="false">IF(C2724="","",INDEX(Akaun!$D$5:$D$150,MATCH(C2724,Akaun!$A$5:$A$150,0)))</f>
        <v/>
      </c>
    </row>
    <row r="2725" customFormat="false" ht="15" hidden="false" customHeight="true" outlineLevel="0" collapsed="false">
      <c r="G2725" s="1" t="str">
        <f aca="false">IF(C2725="","",INDEX(Akaun!$F$5:$F$150,MATCH(C2725,Akaun!$A$5:$A$150,0)))</f>
        <v/>
      </c>
      <c r="H2725" s="1" t="str">
        <f aca="false">IF(C2725="","",INDEX(Akaun!$D$5:$D$150,MATCH(C2725,Akaun!$A$5:$A$150,0)))</f>
        <v/>
      </c>
    </row>
    <row r="2726" customFormat="false" ht="15" hidden="false" customHeight="true" outlineLevel="0" collapsed="false">
      <c r="G2726" s="1" t="str">
        <f aca="false">IF(C2726="","",INDEX(Akaun!$F$5:$F$150,MATCH(C2726,Akaun!$A$5:$A$150,0)))</f>
        <v/>
      </c>
      <c r="H2726" s="1" t="str">
        <f aca="false">IF(C2726="","",INDEX(Akaun!$D$5:$D$150,MATCH(C2726,Akaun!$A$5:$A$150,0)))</f>
        <v/>
      </c>
    </row>
    <row r="2727" customFormat="false" ht="15" hidden="false" customHeight="true" outlineLevel="0" collapsed="false">
      <c r="G2727" s="1" t="str">
        <f aca="false">IF(C2727="","",INDEX(Akaun!$F$5:$F$150,MATCH(C2727,Akaun!$A$5:$A$150,0)))</f>
        <v/>
      </c>
      <c r="H2727" s="1" t="str">
        <f aca="false">IF(C2727="","",INDEX(Akaun!$D$5:$D$150,MATCH(C2727,Akaun!$A$5:$A$150,0)))</f>
        <v/>
      </c>
    </row>
    <row r="2728" customFormat="false" ht="15" hidden="false" customHeight="true" outlineLevel="0" collapsed="false">
      <c r="G2728" s="1" t="str">
        <f aca="false">IF(C2728="","",INDEX(Akaun!$F$5:$F$150,MATCH(C2728,Akaun!$A$5:$A$150,0)))</f>
        <v/>
      </c>
      <c r="H2728" s="1" t="str">
        <f aca="false">IF(C2728="","",INDEX(Akaun!$D$5:$D$150,MATCH(C2728,Akaun!$A$5:$A$150,0)))</f>
        <v/>
      </c>
    </row>
    <row r="2729" customFormat="false" ht="15" hidden="false" customHeight="true" outlineLevel="0" collapsed="false">
      <c r="G2729" s="1" t="str">
        <f aca="false">IF(C2729="","",INDEX(Akaun!$F$5:$F$150,MATCH(C2729,Akaun!$A$5:$A$150,0)))</f>
        <v/>
      </c>
      <c r="H2729" s="1" t="str">
        <f aca="false">IF(C2729="","",INDEX(Akaun!$D$5:$D$150,MATCH(C2729,Akaun!$A$5:$A$150,0)))</f>
        <v/>
      </c>
    </row>
    <row r="2730" customFormat="false" ht="15" hidden="false" customHeight="true" outlineLevel="0" collapsed="false">
      <c r="G2730" s="1" t="str">
        <f aca="false">IF(C2730="","",INDEX(Akaun!$F$5:$F$150,MATCH(C2730,Akaun!$A$5:$A$150,0)))</f>
        <v/>
      </c>
      <c r="H2730" s="1" t="str">
        <f aca="false">IF(C2730="","",INDEX(Akaun!$D$5:$D$150,MATCH(C2730,Akaun!$A$5:$A$150,0)))</f>
        <v/>
      </c>
    </row>
    <row r="2731" customFormat="false" ht="15" hidden="false" customHeight="true" outlineLevel="0" collapsed="false">
      <c r="G2731" s="1" t="str">
        <f aca="false">IF(C2731="","",INDEX(Akaun!$F$5:$F$150,MATCH(C2731,Akaun!$A$5:$A$150,0)))</f>
        <v/>
      </c>
      <c r="H2731" s="1" t="str">
        <f aca="false">IF(C2731="","",INDEX(Akaun!$D$5:$D$150,MATCH(C2731,Akaun!$A$5:$A$150,0)))</f>
        <v/>
      </c>
    </row>
    <row r="2732" customFormat="false" ht="15" hidden="false" customHeight="true" outlineLevel="0" collapsed="false">
      <c r="G2732" s="1" t="str">
        <f aca="false">IF(C2732="","",INDEX(Akaun!$F$5:$F$150,MATCH(C2732,Akaun!$A$5:$A$150,0)))</f>
        <v/>
      </c>
      <c r="H2732" s="1" t="str">
        <f aca="false">IF(C2732="","",INDEX(Akaun!$D$5:$D$150,MATCH(C2732,Akaun!$A$5:$A$150,0)))</f>
        <v/>
      </c>
    </row>
    <row r="2733" customFormat="false" ht="15" hidden="false" customHeight="true" outlineLevel="0" collapsed="false">
      <c r="G2733" s="1" t="str">
        <f aca="false">IF(C2733="","",INDEX(Akaun!$F$5:$F$150,MATCH(C2733,Akaun!$A$5:$A$150,0)))</f>
        <v/>
      </c>
      <c r="H2733" s="1" t="str">
        <f aca="false">IF(C2733="","",INDEX(Akaun!$D$5:$D$150,MATCH(C2733,Akaun!$A$5:$A$150,0)))</f>
        <v/>
      </c>
    </row>
    <row r="2734" customFormat="false" ht="15" hidden="false" customHeight="true" outlineLevel="0" collapsed="false">
      <c r="G2734" s="1" t="str">
        <f aca="false">IF(C2734="","",INDEX(Akaun!$F$5:$F$150,MATCH(C2734,Akaun!$A$5:$A$150,0)))</f>
        <v/>
      </c>
      <c r="H2734" s="1" t="str">
        <f aca="false">IF(C2734="","",INDEX(Akaun!$D$5:$D$150,MATCH(C2734,Akaun!$A$5:$A$150,0)))</f>
        <v/>
      </c>
    </row>
    <row r="2735" customFormat="false" ht="15" hidden="false" customHeight="true" outlineLevel="0" collapsed="false">
      <c r="G2735" s="1" t="str">
        <f aca="false">IF(C2735="","",INDEX(Akaun!$F$5:$F$150,MATCH(C2735,Akaun!$A$5:$A$150,0)))</f>
        <v/>
      </c>
      <c r="H2735" s="1" t="str">
        <f aca="false">IF(C2735="","",INDEX(Akaun!$D$5:$D$150,MATCH(C2735,Akaun!$A$5:$A$150,0)))</f>
        <v/>
      </c>
    </row>
    <row r="2736" customFormat="false" ht="15" hidden="false" customHeight="true" outlineLevel="0" collapsed="false">
      <c r="G2736" s="1" t="str">
        <f aca="false">IF(C2736="","",INDEX(Akaun!$F$5:$F$150,MATCH(C2736,Akaun!$A$5:$A$150,0)))</f>
        <v/>
      </c>
      <c r="H2736" s="1" t="str">
        <f aca="false">IF(C2736="","",INDEX(Akaun!$D$5:$D$150,MATCH(C2736,Akaun!$A$5:$A$150,0)))</f>
        <v/>
      </c>
    </row>
    <row r="2737" customFormat="false" ht="15" hidden="false" customHeight="true" outlineLevel="0" collapsed="false">
      <c r="G2737" s="1" t="str">
        <f aca="false">IF(C2737="","",INDEX(Akaun!$F$5:$F$150,MATCH(C2737,Akaun!$A$5:$A$150,0)))</f>
        <v/>
      </c>
      <c r="H2737" s="1" t="str">
        <f aca="false">IF(C2737="","",INDEX(Akaun!$D$5:$D$150,MATCH(C2737,Akaun!$A$5:$A$150,0)))</f>
        <v/>
      </c>
    </row>
    <row r="2738" customFormat="false" ht="15" hidden="false" customHeight="true" outlineLevel="0" collapsed="false">
      <c r="G2738" s="1" t="str">
        <f aca="false">IF(C2738="","",INDEX(Akaun!$F$5:$F$150,MATCH(C2738,Akaun!$A$5:$A$150,0)))</f>
        <v/>
      </c>
      <c r="H2738" s="1" t="str">
        <f aca="false">IF(C2738="","",INDEX(Akaun!$D$5:$D$150,MATCH(C2738,Akaun!$A$5:$A$150,0)))</f>
        <v/>
      </c>
    </row>
    <row r="2739" customFormat="false" ht="15" hidden="false" customHeight="true" outlineLevel="0" collapsed="false">
      <c r="G2739" s="1" t="str">
        <f aca="false">IF(C2739="","",INDEX(Akaun!$F$5:$F$150,MATCH(C2739,Akaun!$A$5:$A$150,0)))</f>
        <v/>
      </c>
      <c r="H2739" s="1" t="str">
        <f aca="false">IF(C2739="","",INDEX(Akaun!$D$5:$D$150,MATCH(C2739,Akaun!$A$5:$A$150,0)))</f>
        <v/>
      </c>
    </row>
    <row r="2740" customFormat="false" ht="15" hidden="false" customHeight="true" outlineLevel="0" collapsed="false">
      <c r="G2740" s="1" t="str">
        <f aca="false">IF(C2740="","",INDEX(Akaun!$F$5:$F$150,MATCH(C2740,Akaun!$A$5:$A$150,0)))</f>
        <v/>
      </c>
      <c r="H2740" s="1" t="str">
        <f aca="false">IF(C2740="","",INDEX(Akaun!$D$5:$D$150,MATCH(C2740,Akaun!$A$5:$A$150,0)))</f>
        <v/>
      </c>
    </row>
    <row r="2741" customFormat="false" ht="15" hidden="false" customHeight="true" outlineLevel="0" collapsed="false">
      <c r="G2741" s="1" t="str">
        <f aca="false">IF(C2741="","",INDEX(Akaun!$F$5:$F$150,MATCH(C2741,Akaun!$A$5:$A$150,0)))</f>
        <v/>
      </c>
      <c r="H2741" s="1" t="str">
        <f aca="false">IF(C2741="","",INDEX(Akaun!$D$5:$D$150,MATCH(C2741,Akaun!$A$5:$A$150,0)))</f>
        <v/>
      </c>
    </row>
    <row r="2742" customFormat="false" ht="15" hidden="false" customHeight="true" outlineLevel="0" collapsed="false">
      <c r="G2742" s="1" t="str">
        <f aca="false">IF(C2742="","",INDEX(Akaun!$F$5:$F$150,MATCH(C2742,Akaun!$A$5:$A$150,0)))</f>
        <v/>
      </c>
      <c r="H2742" s="1" t="str">
        <f aca="false">IF(C2742="","",INDEX(Akaun!$D$5:$D$150,MATCH(C2742,Akaun!$A$5:$A$150,0)))</f>
        <v/>
      </c>
    </row>
    <row r="2743" customFormat="false" ht="15" hidden="false" customHeight="true" outlineLevel="0" collapsed="false">
      <c r="G2743" s="1" t="str">
        <f aca="false">IF(C2743="","",INDEX(Akaun!$F$5:$F$150,MATCH(C2743,Akaun!$A$5:$A$150,0)))</f>
        <v/>
      </c>
      <c r="H2743" s="1" t="str">
        <f aca="false">IF(C2743="","",INDEX(Akaun!$D$5:$D$150,MATCH(C2743,Akaun!$A$5:$A$150,0)))</f>
        <v/>
      </c>
    </row>
    <row r="2744" customFormat="false" ht="15" hidden="false" customHeight="true" outlineLevel="0" collapsed="false">
      <c r="G2744" s="1" t="str">
        <f aca="false">IF(C2744="","",INDEX(Akaun!$F$5:$F$150,MATCH(C2744,Akaun!$A$5:$A$150,0)))</f>
        <v/>
      </c>
      <c r="H2744" s="1" t="str">
        <f aca="false">IF(C2744="","",INDEX(Akaun!$D$5:$D$150,MATCH(C2744,Akaun!$A$5:$A$150,0)))</f>
        <v/>
      </c>
    </row>
    <row r="2745" customFormat="false" ht="15" hidden="false" customHeight="true" outlineLevel="0" collapsed="false">
      <c r="G2745" s="1" t="str">
        <f aca="false">IF(C2745="","",INDEX(Akaun!$F$5:$F$150,MATCH(C2745,Akaun!$A$5:$A$150,0)))</f>
        <v/>
      </c>
      <c r="H2745" s="1" t="str">
        <f aca="false">IF(C2745="","",INDEX(Akaun!$D$5:$D$150,MATCH(C2745,Akaun!$A$5:$A$150,0)))</f>
        <v/>
      </c>
    </row>
    <row r="2746" customFormat="false" ht="15" hidden="false" customHeight="true" outlineLevel="0" collapsed="false">
      <c r="G2746" s="1" t="str">
        <f aca="false">IF(C2746="","",INDEX(Akaun!$F$5:$F$150,MATCH(C2746,Akaun!$A$5:$A$150,0)))</f>
        <v/>
      </c>
      <c r="H2746" s="1" t="str">
        <f aca="false">IF(C2746="","",INDEX(Akaun!$D$5:$D$150,MATCH(C2746,Akaun!$A$5:$A$150,0)))</f>
        <v/>
      </c>
    </row>
    <row r="2747" customFormat="false" ht="15" hidden="false" customHeight="true" outlineLevel="0" collapsed="false">
      <c r="G2747" s="1" t="str">
        <f aca="false">IF(C2747="","",INDEX(Akaun!$F$5:$F$150,MATCH(C2747,Akaun!$A$5:$A$150,0)))</f>
        <v/>
      </c>
      <c r="H2747" s="1" t="str">
        <f aca="false">IF(C2747="","",INDEX(Akaun!$D$5:$D$150,MATCH(C2747,Akaun!$A$5:$A$150,0)))</f>
        <v/>
      </c>
    </row>
    <row r="2748" customFormat="false" ht="15" hidden="false" customHeight="true" outlineLevel="0" collapsed="false">
      <c r="G2748" s="1" t="str">
        <f aca="false">IF(C2748="","",INDEX(Akaun!$F$5:$F$150,MATCH(C2748,Akaun!$A$5:$A$150,0)))</f>
        <v/>
      </c>
      <c r="H2748" s="1" t="str">
        <f aca="false">IF(C2748="","",INDEX(Akaun!$D$5:$D$150,MATCH(C2748,Akaun!$A$5:$A$150,0)))</f>
        <v/>
      </c>
    </row>
    <row r="2749" customFormat="false" ht="15" hidden="false" customHeight="true" outlineLevel="0" collapsed="false">
      <c r="G2749" s="1" t="str">
        <f aca="false">IF(C2749="","",INDEX(Akaun!$F$5:$F$150,MATCH(C2749,Akaun!$A$5:$A$150,0)))</f>
        <v/>
      </c>
      <c r="H2749" s="1" t="str">
        <f aca="false">IF(C2749="","",INDEX(Akaun!$D$5:$D$150,MATCH(C2749,Akaun!$A$5:$A$150,0)))</f>
        <v/>
      </c>
    </row>
    <row r="2750" customFormat="false" ht="15" hidden="false" customHeight="true" outlineLevel="0" collapsed="false">
      <c r="G2750" s="1" t="str">
        <f aca="false">IF(C2750="","",INDEX(Akaun!$F$5:$F$150,MATCH(C2750,Akaun!$A$5:$A$150,0)))</f>
        <v/>
      </c>
      <c r="H2750" s="1" t="str">
        <f aca="false">IF(C2750="","",INDEX(Akaun!$D$5:$D$150,MATCH(C2750,Akaun!$A$5:$A$150,0)))</f>
        <v/>
      </c>
    </row>
    <row r="2751" customFormat="false" ht="15" hidden="false" customHeight="true" outlineLevel="0" collapsed="false">
      <c r="G2751" s="1" t="str">
        <f aca="false">IF(C2751="","",INDEX(Akaun!$F$5:$F$150,MATCH(C2751,Akaun!$A$5:$A$150,0)))</f>
        <v/>
      </c>
      <c r="H2751" s="1" t="str">
        <f aca="false">IF(C2751="","",INDEX(Akaun!$D$5:$D$150,MATCH(C2751,Akaun!$A$5:$A$150,0)))</f>
        <v/>
      </c>
    </row>
    <row r="2752" customFormat="false" ht="15" hidden="false" customHeight="true" outlineLevel="0" collapsed="false">
      <c r="G2752" s="1" t="str">
        <f aca="false">IF(C2752="","",INDEX(Akaun!$F$5:$F$150,MATCH(C2752,Akaun!$A$5:$A$150,0)))</f>
        <v/>
      </c>
      <c r="H2752" s="1" t="str">
        <f aca="false">IF(C2752="","",INDEX(Akaun!$D$5:$D$150,MATCH(C2752,Akaun!$A$5:$A$150,0)))</f>
        <v/>
      </c>
    </row>
    <row r="2753" customFormat="false" ht="15" hidden="false" customHeight="true" outlineLevel="0" collapsed="false">
      <c r="G2753" s="1" t="str">
        <f aca="false">IF(C2753="","",INDEX(Akaun!$F$5:$F$150,MATCH(C2753,Akaun!$A$5:$A$150,0)))</f>
        <v/>
      </c>
      <c r="H2753" s="1" t="str">
        <f aca="false">IF(C2753="","",INDEX(Akaun!$D$5:$D$150,MATCH(C2753,Akaun!$A$5:$A$150,0)))</f>
        <v/>
      </c>
    </row>
    <row r="2754" customFormat="false" ht="15" hidden="false" customHeight="true" outlineLevel="0" collapsed="false">
      <c r="G2754" s="1" t="str">
        <f aca="false">IF(C2754="","",INDEX(Akaun!$F$5:$F$150,MATCH(C2754,Akaun!$A$5:$A$150,0)))</f>
        <v/>
      </c>
      <c r="H2754" s="1" t="str">
        <f aca="false">IF(C2754="","",INDEX(Akaun!$D$5:$D$150,MATCH(C2754,Akaun!$A$5:$A$150,0)))</f>
        <v/>
      </c>
    </row>
    <row r="2755" customFormat="false" ht="15" hidden="false" customHeight="true" outlineLevel="0" collapsed="false">
      <c r="G2755" s="1" t="str">
        <f aca="false">IF(C2755="","",INDEX(Akaun!$F$5:$F$150,MATCH(C2755,Akaun!$A$5:$A$150,0)))</f>
        <v/>
      </c>
      <c r="H2755" s="1" t="str">
        <f aca="false">IF(C2755="","",INDEX(Akaun!$D$5:$D$150,MATCH(C2755,Akaun!$A$5:$A$150,0)))</f>
        <v/>
      </c>
    </row>
    <row r="2756" customFormat="false" ht="15" hidden="false" customHeight="true" outlineLevel="0" collapsed="false">
      <c r="G2756" s="1" t="str">
        <f aca="false">IF(C2756="","",INDEX(Akaun!$F$5:$F$150,MATCH(C2756,Akaun!$A$5:$A$150,0)))</f>
        <v/>
      </c>
      <c r="H2756" s="1" t="str">
        <f aca="false">IF(C2756="","",INDEX(Akaun!$D$5:$D$150,MATCH(C2756,Akaun!$A$5:$A$150,0)))</f>
        <v/>
      </c>
    </row>
    <row r="2757" customFormat="false" ht="15" hidden="false" customHeight="true" outlineLevel="0" collapsed="false">
      <c r="G2757" s="1" t="str">
        <f aca="false">IF(C2757="","",INDEX(Akaun!$F$5:$F$150,MATCH(C2757,Akaun!$A$5:$A$150,0)))</f>
        <v/>
      </c>
      <c r="H2757" s="1" t="str">
        <f aca="false">IF(C2757="","",INDEX(Akaun!$D$5:$D$150,MATCH(C2757,Akaun!$A$5:$A$150,0)))</f>
        <v/>
      </c>
    </row>
    <row r="2758" customFormat="false" ht="15" hidden="false" customHeight="true" outlineLevel="0" collapsed="false">
      <c r="G2758" s="1" t="str">
        <f aca="false">IF(C2758="","",INDEX(Akaun!$F$5:$F$150,MATCH(C2758,Akaun!$A$5:$A$150,0)))</f>
        <v/>
      </c>
      <c r="H2758" s="1" t="str">
        <f aca="false">IF(C2758="","",INDEX(Akaun!$D$5:$D$150,MATCH(C2758,Akaun!$A$5:$A$150,0)))</f>
        <v/>
      </c>
    </row>
    <row r="2759" customFormat="false" ht="15" hidden="false" customHeight="true" outlineLevel="0" collapsed="false">
      <c r="G2759" s="1" t="str">
        <f aca="false">IF(C2759="","",INDEX(Akaun!$F$5:$F$150,MATCH(C2759,Akaun!$A$5:$A$150,0)))</f>
        <v/>
      </c>
      <c r="H2759" s="1" t="str">
        <f aca="false">IF(C2759="","",INDEX(Akaun!$D$5:$D$150,MATCH(C2759,Akaun!$A$5:$A$150,0)))</f>
        <v/>
      </c>
    </row>
    <row r="2760" customFormat="false" ht="15" hidden="false" customHeight="true" outlineLevel="0" collapsed="false">
      <c r="G2760" s="1" t="str">
        <f aca="false">IF(C2760="","",INDEX(Akaun!$F$5:$F$150,MATCH(C2760,Akaun!$A$5:$A$150,0)))</f>
        <v/>
      </c>
      <c r="H2760" s="1" t="str">
        <f aca="false">IF(C2760="","",INDEX(Akaun!$D$5:$D$150,MATCH(C2760,Akaun!$A$5:$A$150,0)))</f>
        <v/>
      </c>
    </row>
    <row r="2761" customFormat="false" ht="15" hidden="false" customHeight="true" outlineLevel="0" collapsed="false">
      <c r="G2761" s="1" t="str">
        <f aca="false">IF(C2761="","",INDEX(Akaun!$F$5:$F$150,MATCH(C2761,Akaun!$A$5:$A$150,0)))</f>
        <v/>
      </c>
      <c r="H2761" s="1" t="str">
        <f aca="false">IF(C2761="","",INDEX(Akaun!$D$5:$D$150,MATCH(C2761,Akaun!$A$5:$A$150,0)))</f>
        <v/>
      </c>
    </row>
    <row r="2762" customFormat="false" ht="15" hidden="false" customHeight="true" outlineLevel="0" collapsed="false">
      <c r="G2762" s="1" t="str">
        <f aca="false">IF(C2762="","",INDEX(Akaun!$F$5:$F$150,MATCH(C2762,Akaun!$A$5:$A$150,0)))</f>
        <v/>
      </c>
      <c r="H2762" s="1" t="str">
        <f aca="false">IF(C2762="","",INDEX(Akaun!$D$5:$D$150,MATCH(C2762,Akaun!$A$5:$A$150,0)))</f>
        <v/>
      </c>
    </row>
    <row r="2763" customFormat="false" ht="15" hidden="false" customHeight="true" outlineLevel="0" collapsed="false">
      <c r="G2763" s="1" t="str">
        <f aca="false">IF(C2763="","",INDEX(Akaun!$F$5:$F$150,MATCH(C2763,Akaun!$A$5:$A$150,0)))</f>
        <v/>
      </c>
      <c r="H2763" s="1" t="str">
        <f aca="false">IF(C2763="","",INDEX(Akaun!$D$5:$D$150,MATCH(C2763,Akaun!$A$5:$A$150,0)))</f>
        <v/>
      </c>
    </row>
    <row r="2764" customFormat="false" ht="15" hidden="false" customHeight="true" outlineLevel="0" collapsed="false">
      <c r="G2764" s="1" t="str">
        <f aca="false">IF(C2764="","",INDEX(Akaun!$F$5:$F$150,MATCH(C2764,Akaun!$A$5:$A$150,0)))</f>
        <v/>
      </c>
      <c r="H2764" s="1" t="str">
        <f aca="false">IF(C2764="","",INDEX(Akaun!$D$5:$D$150,MATCH(C2764,Akaun!$A$5:$A$150,0)))</f>
        <v/>
      </c>
    </row>
    <row r="2765" customFormat="false" ht="15" hidden="false" customHeight="true" outlineLevel="0" collapsed="false">
      <c r="G2765" s="1" t="str">
        <f aca="false">IF(C2765="","",INDEX(Akaun!$F$5:$F$150,MATCH(C2765,Akaun!$A$5:$A$150,0)))</f>
        <v/>
      </c>
      <c r="H2765" s="1" t="str">
        <f aca="false">IF(C2765="","",INDEX(Akaun!$D$5:$D$150,MATCH(C2765,Akaun!$A$5:$A$150,0)))</f>
        <v/>
      </c>
    </row>
    <row r="2766" customFormat="false" ht="15" hidden="false" customHeight="true" outlineLevel="0" collapsed="false">
      <c r="G2766" s="1" t="str">
        <f aca="false">IF(C2766="","",INDEX(Akaun!$F$5:$F$150,MATCH(C2766,Akaun!$A$5:$A$150,0)))</f>
        <v/>
      </c>
      <c r="H2766" s="1" t="str">
        <f aca="false">IF(C2766="","",INDEX(Akaun!$D$5:$D$150,MATCH(C2766,Akaun!$A$5:$A$150,0)))</f>
        <v/>
      </c>
    </row>
    <row r="2767" customFormat="false" ht="15" hidden="false" customHeight="true" outlineLevel="0" collapsed="false">
      <c r="G2767" s="1" t="str">
        <f aca="false">IF(C2767="","",INDEX(Akaun!$F$5:$F$150,MATCH(C2767,Akaun!$A$5:$A$150,0)))</f>
        <v/>
      </c>
      <c r="H2767" s="1" t="str">
        <f aca="false">IF(C2767="","",INDEX(Akaun!$D$5:$D$150,MATCH(C2767,Akaun!$A$5:$A$150,0)))</f>
        <v/>
      </c>
    </row>
    <row r="2768" customFormat="false" ht="15" hidden="false" customHeight="true" outlineLevel="0" collapsed="false">
      <c r="G2768" s="1" t="str">
        <f aca="false">IF(C2768="","",INDEX(Akaun!$F$5:$F$150,MATCH(C2768,Akaun!$A$5:$A$150,0)))</f>
        <v/>
      </c>
      <c r="H2768" s="1" t="str">
        <f aca="false">IF(C2768="","",INDEX(Akaun!$D$5:$D$150,MATCH(C2768,Akaun!$A$5:$A$150,0)))</f>
        <v/>
      </c>
    </row>
    <row r="2769" customFormat="false" ht="15" hidden="false" customHeight="true" outlineLevel="0" collapsed="false">
      <c r="G2769" s="1" t="str">
        <f aca="false">IF(C2769="","",INDEX(Akaun!$F$5:$F$150,MATCH(C2769,Akaun!$A$5:$A$150,0)))</f>
        <v/>
      </c>
      <c r="H2769" s="1" t="str">
        <f aca="false">IF(C2769="","",INDEX(Akaun!$D$5:$D$150,MATCH(C2769,Akaun!$A$5:$A$150,0)))</f>
        <v/>
      </c>
    </row>
    <row r="2770" customFormat="false" ht="15" hidden="false" customHeight="true" outlineLevel="0" collapsed="false">
      <c r="G2770" s="1" t="str">
        <f aca="false">IF(C2770="","",INDEX(Akaun!$F$5:$F$150,MATCH(C2770,Akaun!$A$5:$A$150,0)))</f>
        <v/>
      </c>
      <c r="H2770" s="1" t="str">
        <f aca="false">IF(C2770="","",INDEX(Akaun!$D$5:$D$150,MATCH(C2770,Akaun!$A$5:$A$150,0)))</f>
        <v/>
      </c>
    </row>
    <row r="2771" customFormat="false" ht="15" hidden="false" customHeight="true" outlineLevel="0" collapsed="false">
      <c r="G2771" s="1" t="str">
        <f aca="false">IF(C2771="","",INDEX(Akaun!$F$5:$F$150,MATCH(C2771,Akaun!$A$5:$A$150,0)))</f>
        <v/>
      </c>
      <c r="H2771" s="1" t="str">
        <f aca="false">IF(C2771="","",INDEX(Akaun!$D$5:$D$150,MATCH(C2771,Akaun!$A$5:$A$150,0)))</f>
        <v/>
      </c>
    </row>
    <row r="2772" customFormat="false" ht="15" hidden="false" customHeight="true" outlineLevel="0" collapsed="false">
      <c r="G2772" s="1" t="str">
        <f aca="false">IF(C2772="","",INDEX(Akaun!$F$5:$F$150,MATCH(C2772,Akaun!$A$5:$A$150,0)))</f>
        <v/>
      </c>
      <c r="H2772" s="1" t="str">
        <f aca="false">IF(C2772="","",INDEX(Akaun!$D$5:$D$150,MATCH(C2772,Akaun!$A$5:$A$150,0)))</f>
        <v/>
      </c>
    </row>
    <row r="2773" customFormat="false" ht="15" hidden="false" customHeight="true" outlineLevel="0" collapsed="false">
      <c r="G2773" s="1" t="str">
        <f aca="false">IF(C2773="","",INDEX(Akaun!$F$5:$F$150,MATCH(C2773,Akaun!$A$5:$A$150,0)))</f>
        <v/>
      </c>
      <c r="H2773" s="1" t="str">
        <f aca="false">IF(C2773="","",INDEX(Akaun!$D$5:$D$150,MATCH(C2773,Akaun!$A$5:$A$150,0)))</f>
        <v/>
      </c>
    </row>
    <row r="2774" customFormat="false" ht="15" hidden="false" customHeight="true" outlineLevel="0" collapsed="false">
      <c r="G2774" s="1" t="str">
        <f aca="false">IF(C2774="","",INDEX(Akaun!$F$5:$F$150,MATCH(C2774,Akaun!$A$5:$A$150,0)))</f>
        <v/>
      </c>
      <c r="H2774" s="1" t="str">
        <f aca="false">IF(C2774="","",INDEX(Akaun!$D$5:$D$150,MATCH(C2774,Akaun!$A$5:$A$150,0)))</f>
        <v/>
      </c>
    </row>
    <row r="2775" customFormat="false" ht="15" hidden="false" customHeight="true" outlineLevel="0" collapsed="false">
      <c r="G2775" s="1" t="str">
        <f aca="false">IF(C2775="","",INDEX(Akaun!$F$5:$F$150,MATCH(C2775,Akaun!$A$5:$A$150,0)))</f>
        <v/>
      </c>
      <c r="H2775" s="1" t="str">
        <f aca="false">IF(C2775="","",INDEX(Akaun!$D$5:$D$150,MATCH(C2775,Akaun!$A$5:$A$150,0)))</f>
        <v/>
      </c>
    </row>
    <row r="2776" customFormat="false" ht="15" hidden="false" customHeight="true" outlineLevel="0" collapsed="false">
      <c r="G2776" s="1" t="str">
        <f aca="false">IF(C2776="","",INDEX(Akaun!$F$5:$F$150,MATCH(C2776,Akaun!$A$5:$A$150,0)))</f>
        <v/>
      </c>
      <c r="H2776" s="1" t="str">
        <f aca="false">IF(C2776="","",INDEX(Akaun!$D$5:$D$150,MATCH(C2776,Akaun!$A$5:$A$150,0)))</f>
        <v/>
      </c>
    </row>
    <row r="2777" customFormat="false" ht="15" hidden="false" customHeight="true" outlineLevel="0" collapsed="false">
      <c r="G2777" s="1" t="str">
        <f aca="false">IF(C2777="","",INDEX(Akaun!$F$5:$F$150,MATCH(C2777,Akaun!$A$5:$A$150,0)))</f>
        <v/>
      </c>
      <c r="H2777" s="1" t="str">
        <f aca="false">IF(C2777="","",INDEX(Akaun!$D$5:$D$150,MATCH(C2777,Akaun!$A$5:$A$150,0)))</f>
        <v/>
      </c>
    </row>
    <row r="2778" customFormat="false" ht="15" hidden="false" customHeight="true" outlineLevel="0" collapsed="false">
      <c r="G2778" s="1" t="str">
        <f aca="false">IF(C2778="","",INDEX(Akaun!$F$5:$F$150,MATCH(C2778,Akaun!$A$5:$A$150,0)))</f>
        <v/>
      </c>
      <c r="H2778" s="1" t="str">
        <f aca="false">IF(C2778="","",INDEX(Akaun!$D$5:$D$150,MATCH(C2778,Akaun!$A$5:$A$150,0)))</f>
        <v/>
      </c>
    </row>
    <row r="2779" customFormat="false" ht="15" hidden="false" customHeight="true" outlineLevel="0" collapsed="false">
      <c r="G2779" s="1" t="str">
        <f aca="false">IF(C2779="","",INDEX(Akaun!$F$5:$F$150,MATCH(C2779,Akaun!$A$5:$A$150,0)))</f>
        <v/>
      </c>
      <c r="H2779" s="1" t="str">
        <f aca="false">IF(C2779="","",INDEX(Akaun!$D$5:$D$150,MATCH(C2779,Akaun!$A$5:$A$150,0)))</f>
        <v/>
      </c>
    </row>
    <row r="2780" customFormat="false" ht="15" hidden="false" customHeight="true" outlineLevel="0" collapsed="false">
      <c r="G2780" s="1" t="str">
        <f aca="false">IF(C2780="","",INDEX(Akaun!$F$5:$F$150,MATCH(C2780,Akaun!$A$5:$A$150,0)))</f>
        <v/>
      </c>
      <c r="H2780" s="1" t="str">
        <f aca="false">IF(C2780="","",INDEX(Akaun!$D$5:$D$150,MATCH(C2780,Akaun!$A$5:$A$150,0)))</f>
        <v/>
      </c>
    </row>
    <row r="2781" customFormat="false" ht="15" hidden="false" customHeight="true" outlineLevel="0" collapsed="false">
      <c r="G2781" s="1" t="str">
        <f aca="false">IF(C2781="","",INDEX(Akaun!$F$5:$F$150,MATCH(C2781,Akaun!$A$5:$A$150,0)))</f>
        <v/>
      </c>
      <c r="H2781" s="1" t="str">
        <f aca="false">IF(C2781="","",INDEX(Akaun!$D$5:$D$150,MATCH(C2781,Akaun!$A$5:$A$150,0)))</f>
        <v/>
      </c>
    </row>
    <row r="2782" customFormat="false" ht="15" hidden="false" customHeight="true" outlineLevel="0" collapsed="false">
      <c r="G2782" s="1" t="str">
        <f aca="false">IF(C2782="","",INDEX(Akaun!$F$5:$F$150,MATCH(C2782,Akaun!$A$5:$A$150,0)))</f>
        <v/>
      </c>
      <c r="H2782" s="1" t="str">
        <f aca="false">IF(C2782="","",INDEX(Akaun!$D$5:$D$150,MATCH(C2782,Akaun!$A$5:$A$150,0)))</f>
        <v/>
      </c>
    </row>
    <row r="2783" customFormat="false" ht="15" hidden="false" customHeight="true" outlineLevel="0" collapsed="false">
      <c r="G2783" s="1" t="str">
        <f aca="false">IF(C2783="","",INDEX(Akaun!$F$5:$F$150,MATCH(C2783,Akaun!$A$5:$A$150,0)))</f>
        <v/>
      </c>
      <c r="H2783" s="1" t="str">
        <f aca="false">IF(C2783="","",INDEX(Akaun!$D$5:$D$150,MATCH(C2783,Akaun!$A$5:$A$150,0)))</f>
        <v/>
      </c>
    </row>
    <row r="2784" customFormat="false" ht="15" hidden="false" customHeight="true" outlineLevel="0" collapsed="false">
      <c r="G2784" s="1" t="str">
        <f aca="false">IF(C2784="","",INDEX(Akaun!$F$5:$F$150,MATCH(C2784,Akaun!$A$5:$A$150,0)))</f>
        <v/>
      </c>
      <c r="H2784" s="1" t="str">
        <f aca="false">IF(C2784="","",INDEX(Akaun!$D$5:$D$150,MATCH(C2784,Akaun!$A$5:$A$150,0)))</f>
        <v/>
      </c>
    </row>
    <row r="2785" customFormat="false" ht="15" hidden="false" customHeight="true" outlineLevel="0" collapsed="false">
      <c r="G2785" s="1" t="str">
        <f aca="false">IF(C2785="","",INDEX(Akaun!$F$5:$F$150,MATCH(C2785,Akaun!$A$5:$A$150,0)))</f>
        <v/>
      </c>
      <c r="H2785" s="1" t="str">
        <f aca="false">IF(C2785="","",INDEX(Akaun!$D$5:$D$150,MATCH(C2785,Akaun!$A$5:$A$150,0)))</f>
        <v/>
      </c>
    </row>
    <row r="2786" customFormat="false" ht="15" hidden="false" customHeight="true" outlineLevel="0" collapsed="false">
      <c r="G2786" s="1" t="str">
        <f aca="false">IF(C2786="","",INDEX(Akaun!$F$5:$F$150,MATCH(C2786,Akaun!$A$5:$A$150,0)))</f>
        <v/>
      </c>
      <c r="H2786" s="1" t="str">
        <f aca="false">IF(C2786="","",INDEX(Akaun!$D$5:$D$150,MATCH(C2786,Akaun!$A$5:$A$150,0)))</f>
        <v/>
      </c>
    </row>
    <row r="2787" customFormat="false" ht="15" hidden="false" customHeight="true" outlineLevel="0" collapsed="false">
      <c r="G2787" s="1" t="str">
        <f aca="false">IF(C2787="","",INDEX(Akaun!$F$5:$F$150,MATCH(C2787,Akaun!$A$5:$A$150,0)))</f>
        <v/>
      </c>
      <c r="H2787" s="1" t="str">
        <f aca="false">IF(C2787="","",INDEX(Akaun!$D$5:$D$150,MATCH(C2787,Akaun!$A$5:$A$150,0)))</f>
        <v/>
      </c>
    </row>
    <row r="2788" customFormat="false" ht="15" hidden="false" customHeight="true" outlineLevel="0" collapsed="false">
      <c r="G2788" s="1" t="str">
        <f aca="false">IF(C2788="","",INDEX(Akaun!$F$5:$F$150,MATCH(C2788,Akaun!$A$5:$A$150,0)))</f>
        <v/>
      </c>
      <c r="H2788" s="1" t="str">
        <f aca="false">IF(C2788="","",INDEX(Akaun!$D$5:$D$150,MATCH(C2788,Akaun!$A$5:$A$150,0)))</f>
        <v/>
      </c>
    </row>
    <row r="2789" customFormat="false" ht="15" hidden="false" customHeight="true" outlineLevel="0" collapsed="false">
      <c r="G2789" s="1" t="str">
        <f aca="false">IF(C2789="","",INDEX(Akaun!$F$5:$F$150,MATCH(C2789,Akaun!$A$5:$A$150,0)))</f>
        <v/>
      </c>
      <c r="H2789" s="1" t="str">
        <f aca="false">IF(C2789="","",INDEX(Akaun!$D$5:$D$150,MATCH(C2789,Akaun!$A$5:$A$150,0)))</f>
        <v/>
      </c>
    </row>
    <row r="2790" customFormat="false" ht="15" hidden="false" customHeight="true" outlineLevel="0" collapsed="false">
      <c r="G2790" s="1" t="str">
        <f aca="false">IF(C2790="","",INDEX(Akaun!$F$5:$F$150,MATCH(C2790,Akaun!$A$5:$A$150,0)))</f>
        <v/>
      </c>
      <c r="H2790" s="1" t="str">
        <f aca="false">IF(C2790="","",INDEX(Akaun!$D$5:$D$150,MATCH(C2790,Akaun!$A$5:$A$150,0)))</f>
        <v/>
      </c>
    </row>
    <row r="2791" customFormat="false" ht="15" hidden="false" customHeight="true" outlineLevel="0" collapsed="false">
      <c r="G2791" s="1" t="str">
        <f aca="false">IF(C2791="","",INDEX(Akaun!$F$5:$F$150,MATCH(C2791,Akaun!$A$5:$A$150,0)))</f>
        <v/>
      </c>
      <c r="H2791" s="1" t="str">
        <f aca="false">IF(C2791="","",INDEX(Akaun!$D$5:$D$150,MATCH(C2791,Akaun!$A$5:$A$150,0)))</f>
        <v/>
      </c>
    </row>
    <row r="2792" customFormat="false" ht="15" hidden="false" customHeight="true" outlineLevel="0" collapsed="false">
      <c r="G2792" s="1" t="str">
        <f aca="false">IF(C2792="","",INDEX(Akaun!$F$5:$F$150,MATCH(C2792,Akaun!$A$5:$A$150,0)))</f>
        <v/>
      </c>
      <c r="H2792" s="1" t="str">
        <f aca="false">IF(C2792="","",INDEX(Akaun!$D$5:$D$150,MATCH(C2792,Akaun!$A$5:$A$150,0)))</f>
        <v/>
      </c>
    </row>
    <row r="2793" customFormat="false" ht="15" hidden="false" customHeight="true" outlineLevel="0" collapsed="false">
      <c r="G2793" s="1" t="str">
        <f aca="false">IF(C2793="","",INDEX(Akaun!$F$5:$F$150,MATCH(C2793,Akaun!$A$5:$A$150,0)))</f>
        <v/>
      </c>
      <c r="H2793" s="1" t="str">
        <f aca="false">IF(C2793="","",INDEX(Akaun!$D$5:$D$150,MATCH(C2793,Akaun!$A$5:$A$150,0)))</f>
        <v/>
      </c>
    </row>
    <row r="2794" customFormat="false" ht="15" hidden="false" customHeight="true" outlineLevel="0" collapsed="false">
      <c r="G2794" s="1" t="str">
        <f aca="false">IF(C2794="","",INDEX(Akaun!$F$5:$F$150,MATCH(C2794,Akaun!$A$5:$A$150,0)))</f>
        <v/>
      </c>
      <c r="H2794" s="1" t="str">
        <f aca="false">IF(C2794="","",INDEX(Akaun!$D$5:$D$150,MATCH(C2794,Akaun!$A$5:$A$150,0)))</f>
        <v/>
      </c>
    </row>
    <row r="2795" customFormat="false" ht="15" hidden="false" customHeight="true" outlineLevel="0" collapsed="false">
      <c r="G2795" s="1" t="str">
        <f aca="false">IF(C2795="","",INDEX(Akaun!$F$5:$F$150,MATCH(C2795,Akaun!$A$5:$A$150,0)))</f>
        <v/>
      </c>
      <c r="H2795" s="1" t="str">
        <f aca="false">IF(C2795="","",INDEX(Akaun!$D$5:$D$150,MATCH(C2795,Akaun!$A$5:$A$150,0)))</f>
        <v/>
      </c>
    </row>
    <row r="2796" customFormat="false" ht="15" hidden="false" customHeight="true" outlineLevel="0" collapsed="false">
      <c r="G2796" s="1" t="str">
        <f aca="false">IF(C2796="","",INDEX(Akaun!$F$5:$F$150,MATCH(C2796,Akaun!$A$5:$A$150,0)))</f>
        <v/>
      </c>
      <c r="H2796" s="1" t="str">
        <f aca="false">IF(C2796="","",INDEX(Akaun!$D$5:$D$150,MATCH(C2796,Akaun!$A$5:$A$150,0)))</f>
        <v/>
      </c>
    </row>
    <row r="2797" customFormat="false" ht="15" hidden="false" customHeight="true" outlineLevel="0" collapsed="false">
      <c r="G2797" s="1" t="str">
        <f aca="false">IF(C2797="","",INDEX(Akaun!$F$5:$F$150,MATCH(C2797,Akaun!$A$5:$A$150,0)))</f>
        <v/>
      </c>
      <c r="H2797" s="1" t="str">
        <f aca="false">IF(C2797="","",INDEX(Akaun!$D$5:$D$150,MATCH(C2797,Akaun!$A$5:$A$150,0)))</f>
        <v/>
      </c>
    </row>
    <row r="2798" customFormat="false" ht="15" hidden="false" customHeight="true" outlineLevel="0" collapsed="false">
      <c r="G2798" s="1" t="str">
        <f aca="false">IF(C2798="","",INDEX(Akaun!$F$5:$F$150,MATCH(C2798,Akaun!$A$5:$A$150,0)))</f>
        <v/>
      </c>
      <c r="H2798" s="1" t="str">
        <f aca="false">IF(C2798="","",INDEX(Akaun!$D$5:$D$150,MATCH(C2798,Akaun!$A$5:$A$150,0)))</f>
        <v/>
      </c>
    </row>
    <row r="2799" customFormat="false" ht="15" hidden="false" customHeight="true" outlineLevel="0" collapsed="false">
      <c r="G2799" s="1" t="str">
        <f aca="false">IF(C2799="","",INDEX(Akaun!$F$5:$F$150,MATCH(C2799,Akaun!$A$5:$A$150,0)))</f>
        <v/>
      </c>
      <c r="H2799" s="1" t="str">
        <f aca="false">IF(C2799="","",INDEX(Akaun!$D$5:$D$150,MATCH(C2799,Akaun!$A$5:$A$150,0)))</f>
        <v/>
      </c>
    </row>
    <row r="2800" customFormat="false" ht="15" hidden="false" customHeight="true" outlineLevel="0" collapsed="false">
      <c r="G2800" s="1" t="str">
        <f aca="false">IF(C2800="","",INDEX(Akaun!$F$5:$F$150,MATCH(C2800,Akaun!$A$5:$A$150,0)))</f>
        <v/>
      </c>
      <c r="H2800" s="1" t="str">
        <f aca="false">IF(C2800="","",INDEX(Akaun!$D$5:$D$150,MATCH(C2800,Akaun!$A$5:$A$150,0)))</f>
        <v/>
      </c>
    </row>
    <row r="2801" customFormat="false" ht="15" hidden="false" customHeight="true" outlineLevel="0" collapsed="false">
      <c r="G2801" s="1" t="str">
        <f aca="false">IF(C2801="","",INDEX(Akaun!$F$5:$F$150,MATCH(C2801,Akaun!$A$5:$A$150,0)))</f>
        <v/>
      </c>
      <c r="H2801" s="1" t="str">
        <f aca="false">IF(C2801="","",INDEX(Akaun!$D$5:$D$150,MATCH(C2801,Akaun!$A$5:$A$150,0)))</f>
        <v/>
      </c>
    </row>
    <row r="2802" customFormat="false" ht="15" hidden="false" customHeight="true" outlineLevel="0" collapsed="false">
      <c r="G2802" s="1" t="str">
        <f aca="false">IF(C2802="","",INDEX(Akaun!$F$5:$F$150,MATCH(C2802,Akaun!$A$5:$A$150,0)))</f>
        <v/>
      </c>
      <c r="H2802" s="1" t="str">
        <f aca="false">IF(C2802="","",INDEX(Akaun!$D$5:$D$150,MATCH(C2802,Akaun!$A$5:$A$150,0)))</f>
        <v/>
      </c>
    </row>
    <row r="2803" customFormat="false" ht="15" hidden="false" customHeight="true" outlineLevel="0" collapsed="false">
      <c r="G2803" s="1" t="str">
        <f aca="false">IF(C2803="","",INDEX(Akaun!$F$5:$F$150,MATCH(C2803,Akaun!$A$5:$A$150,0)))</f>
        <v/>
      </c>
      <c r="H2803" s="1" t="str">
        <f aca="false">IF(C2803="","",INDEX(Akaun!$D$5:$D$150,MATCH(C2803,Akaun!$A$5:$A$150,0)))</f>
        <v/>
      </c>
    </row>
    <row r="2804" customFormat="false" ht="15" hidden="false" customHeight="true" outlineLevel="0" collapsed="false">
      <c r="G2804" s="1" t="str">
        <f aca="false">IF(C2804="","",INDEX(Akaun!$F$5:$F$150,MATCH(C2804,Akaun!$A$5:$A$150,0)))</f>
        <v/>
      </c>
      <c r="H2804" s="1" t="str">
        <f aca="false">IF(C2804="","",INDEX(Akaun!$D$5:$D$150,MATCH(C2804,Akaun!$A$5:$A$150,0)))</f>
        <v/>
      </c>
    </row>
    <row r="2805" customFormat="false" ht="15" hidden="false" customHeight="true" outlineLevel="0" collapsed="false">
      <c r="G2805" s="1" t="str">
        <f aca="false">IF(C2805="","",INDEX(Akaun!$F$5:$F$150,MATCH(C2805,Akaun!$A$5:$A$150,0)))</f>
        <v/>
      </c>
      <c r="H2805" s="1" t="str">
        <f aca="false">IF(C2805="","",INDEX(Akaun!$D$5:$D$150,MATCH(C2805,Akaun!$A$5:$A$150,0)))</f>
        <v/>
      </c>
    </row>
    <row r="2806" customFormat="false" ht="15" hidden="false" customHeight="true" outlineLevel="0" collapsed="false">
      <c r="G2806" s="1" t="str">
        <f aca="false">IF(C2806="","",INDEX(Akaun!$F$5:$F$150,MATCH(C2806,Akaun!$A$5:$A$150,0)))</f>
        <v/>
      </c>
      <c r="H2806" s="1" t="str">
        <f aca="false">IF(C2806="","",INDEX(Akaun!$D$5:$D$150,MATCH(C2806,Akaun!$A$5:$A$150,0)))</f>
        <v/>
      </c>
    </row>
    <row r="2807" customFormat="false" ht="15" hidden="false" customHeight="true" outlineLevel="0" collapsed="false">
      <c r="G2807" s="1" t="str">
        <f aca="false">IF(C2807="","",INDEX(Akaun!$F$5:$F$150,MATCH(C2807,Akaun!$A$5:$A$150,0)))</f>
        <v/>
      </c>
      <c r="H2807" s="1" t="str">
        <f aca="false">IF(C2807="","",INDEX(Akaun!$D$5:$D$150,MATCH(C2807,Akaun!$A$5:$A$150,0)))</f>
        <v/>
      </c>
    </row>
    <row r="2808" customFormat="false" ht="15" hidden="false" customHeight="true" outlineLevel="0" collapsed="false">
      <c r="G2808" s="1" t="str">
        <f aca="false">IF(C2808="","",INDEX(Akaun!$F$5:$F$150,MATCH(C2808,Akaun!$A$5:$A$150,0)))</f>
        <v/>
      </c>
      <c r="H2808" s="1" t="str">
        <f aca="false">IF(C2808="","",INDEX(Akaun!$D$5:$D$150,MATCH(C2808,Akaun!$A$5:$A$150,0)))</f>
        <v/>
      </c>
    </row>
    <row r="2809" customFormat="false" ht="15" hidden="false" customHeight="true" outlineLevel="0" collapsed="false">
      <c r="G2809" s="1" t="str">
        <f aca="false">IF(C2809="","",INDEX(Akaun!$F$5:$F$150,MATCH(C2809,Akaun!$A$5:$A$150,0)))</f>
        <v/>
      </c>
      <c r="H2809" s="1" t="str">
        <f aca="false">IF(C2809="","",INDEX(Akaun!$D$5:$D$150,MATCH(C2809,Akaun!$A$5:$A$150,0)))</f>
        <v/>
      </c>
    </row>
    <row r="2810" customFormat="false" ht="15" hidden="false" customHeight="true" outlineLevel="0" collapsed="false">
      <c r="G2810" s="1" t="str">
        <f aca="false">IF(C2810="","",INDEX(Akaun!$F$5:$F$150,MATCH(C2810,Akaun!$A$5:$A$150,0)))</f>
        <v/>
      </c>
      <c r="H2810" s="1" t="str">
        <f aca="false">IF(C2810="","",INDEX(Akaun!$D$5:$D$150,MATCH(C2810,Akaun!$A$5:$A$150,0)))</f>
        <v/>
      </c>
    </row>
    <row r="2811" customFormat="false" ht="15" hidden="false" customHeight="true" outlineLevel="0" collapsed="false">
      <c r="G2811" s="1" t="str">
        <f aca="false">IF(C2811="","",INDEX(Akaun!$F$5:$F$150,MATCH(C2811,Akaun!$A$5:$A$150,0)))</f>
        <v/>
      </c>
      <c r="H2811" s="1" t="str">
        <f aca="false">IF(C2811="","",INDEX(Akaun!$D$5:$D$150,MATCH(C2811,Akaun!$A$5:$A$150,0)))</f>
        <v/>
      </c>
    </row>
    <row r="2812" customFormat="false" ht="15" hidden="false" customHeight="true" outlineLevel="0" collapsed="false">
      <c r="G2812" s="1" t="str">
        <f aca="false">IF(C2812="","",INDEX(Akaun!$F$5:$F$150,MATCH(C2812,Akaun!$A$5:$A$150,0)))</f>
        <v/>
      </c>
      <c r="H2812" s="1" t="str">
        <f aca="false">IF(C2812="","",INDEX(Akaun!$D$5:$D$150,MATCH(C2812,Akaun!$A$5:$A$150,0)))</f>
        <v/>
      </c>
    </row>
    <row r="2813" customFormat="false" ht="15" hidden="false" customHeight="true" outlineLevel="0" collapsed="false">
      <c r="G2813" s="1" t="str">
        <f aca="false">IF(C2813="","",INDEX(Akaun!$F$5:$F$150,MATCH(C2813,Akaun!$A$5:$A$150,0)))</f>
        <v/>
      </c>
      <c r="H2813" s="1" t="str">
        <f aca="false">IF(C2813="","",INDEX(Akaun!$D$5:$D$150,MATCH(C2813,Akaun!$A$5:$A$150,0)))</f>
        <v/>
      </c>
    </row>
    <row r="2814" customFormat="false" ht="15" hidden="false" customHeight="true" outlineLevel="0" collapsed="false">
      <c r="G2814" s="1" t="str">
        <f aca="false">IF(C2814="","",INDEX(Akaun!$F$5:$F$150,MATCH(C2814,Akaun!$A$5:$A$150,0)))</f>
        <v/>
      </c>
      <c r="H2814" s="1" t="str">
        <f aca="false">IF(C2814="","",INDEX(Akaun!$D$5:$D$150,MATCH(C2814,Akaun!$A$5:$A$150,0)))</f>
        <v/>
      </c>
    </row>
    <row r="2815" customFormat="false" ht="15" hidden="false" customHeight="true" outlineLevel="0" collapsed="false">
      <c r="G2815" s="1" t="str">
        <f aca="false">IF(C2815="","",INDEX(Akaun!$F$5:$F$150,MATCH(C2815,Akaun!$A$5:$A$150,0)))</f>
        <v/>
      </c>
      <c r="H2815" s="1" t="str">
        <f aca="false">IF(C2815="","",INDEX(Akaun!$D$5:$D$150,MATCH(C2815,Akaun!$A$5:$A$150,0)))</f>
        <v/>
      </c>
    </row>
    <row r="2816" customFormat="false" ht="15" hidden="false" customHeight="true" outlineLevel="0" collapsed="false">
      <c r="G2816" s="1" t="str">
        <f aca="false">IF(C2816="","",INDEX(Akaun!$F$5:$F$150,MATCH(C2816,Akaun!$A$5:$A$150,0)))</f>
        <v/>
      </c>
      <c r="H2816" s="1" t="str">
        <f aca="false">IF(C2816="","",INDEX(Akaun!$D$5:$D$150,MATCH(C2816,Akaun!$A$5:$A$150,0)))</f>
        <v/>
      </c>
    </row>
    <row r="2817" customFormat="false" ht="15" hidden="false" customHeight="true" outlineLevel="0" collapsed="false">
      <c r="G2817" s="1" t="str">
        <f aca="false">IF(C2817="","",INDEX(Akaun!$F$5:$F$150,MATCH(C2817,Akaun!$A$5:$A$150,0)))</f>
        <v/>
      </c>
      <c r="H2817" s="1" t="str">
        <f aca="false">IF(C2817="","",INDEX(Akaun!$D$5:$D$150,MATCH(C2817,Akaun!$A$5:$A$150,0)))</f>
        <v/>
      </c>
    </row>
    <row r="2818" customFormat="false" ht="15" hidden="false" customHeight="true" outlineLevel="0" collapsed="false">
      <c r="G2818" s="1" t="str">
        <f aca="false">IF(C2818="","",INDEX(Akaun!$F$5:$F$150,MATCH(C2818,Akaun!$A$5:$A$150,0)))</f>
        <v/>
      </c>
      <c r="H2818" s="1" t="str">
        <f aca="false">IF(C2818="","",INDEX(Akaun!$D$5:$D$150,MATCH(C2818,Akaun!$A$5:$A$150,0)))</f>
        <v/>
      </c>
    </row>
    <row r="2819" customFormat="false" ht="15" hidden="false" customHeight="true" outlineLevel="0" collapsed="false">
      <c r="G2819" s="1" t="str">
        <f aca="false">IF(C2819="","",INDEX(Akaun!$F$5:$F$150,MATCH(C2819,Akaun!$A$5:$A$150,0)))</f>
        <v/>
      </c>
      <c r="H2819" s="1" t="str">
        <f aca="false">IF(C2819="","",INDEX(Akaun!$D$5:$D$150,MATCH(C2819,Akaun!$A$5:$A$150,0)))</f>
        <v/>
      </c>
    </row>
    <row r="2820" customFormat="false" ht="15" hidden="false" customHeight="true" outlineLevel="0" collapsed="false">
      <c r="G2820" s="1" t="str">
        <f aca="false">IF(C2820="","",INDEX(Akaun!$F$5:$F$150,MATCH(C2820,Akaun!$A$5:$A$150,0)))</f>
        <v/>
      </c>
      <c r="H2820" s="1" t="str">
        <f aca="false">IF(C2820="","",INDEX(Akaun!$D$5:$D$150,MATCH(C2820,Akaun!$A$5:$A$150,0)))</f>
        <v/>
      </c>
    </row>
    <row r="2821" customFormat="false" ht="15" hidden="false" customHeight="true" outlineLevel="0" collapsed="false">
      <c r="G2821" s="1" t="str">
        <f aca="false">IF(C2821="","",INDEX(Akaun!$F$5:$F$150,MATCH(C2821,Akaun!$A$5:$A$150,0)))</f>
        <v/>
      </c>
      <c r="H2821" s="1" t="str">
        <f aca="false">IF(C2821="","",INDEX(Akaun!$D$5:$D$150,MATCH(C2821,Akaun!$A$5:$A$150,0)))</f>
        <v/>
      </c>
    </row>
    <row r="2822" customFormat="false" ht="15" hidden="false" customHeight="true" outlineLevel="0" collapsed="false">
      <c r="G2822" s="1" t="str">
        <f aca="false">IF(C2822="","",INDEX(Akaun!$F$5:$F$150,MATCH(C2822,Akaun!$A$5:$A$150,0)))</f>
        <v/>
      </c>
      <c r="H2822" s="1" t="str">
        <f aca="false">IF(C2822="","",INDEX(Akaun!$D$5:$D$150,MATCH(C2822,Akaun!$A$5:$A$150,0)))</f>
        <v/>
      </c>
    </row>
    <row r="2823" customFormat="false" ht="15" hidden="false" customHeight="true" outlineLevel="0" collapsed="false">
      <c r="G2823" s="1" t="str">
        <f aca="false">IF(C2823="","",INDEX(Akaun!$F$5:$F$150,MATCH(C2823,Akaun!$A$5:$A$150,0)))</f>
        <v/>
      </c>
      <c r="H2823" s="1" t="str">
        <f aca="false">IF(C2823="","",INDEX(Akaun!$D$5:$D$150,MATCH(C2823,Akaun!$A$5:$A$150,0)))</f>
        <v/>
      </c>
    </row>
    <row r="2824" customFormat="false" ht="15" hidden="false" customHeight="true" outlineLevel="0" collapsed="false">
      <c r="G2824" s="1" t="str">
        <f aca="false">IF(C2824="","",INDEX(Akaun!$F$5:$F$150,MATCH(C2824,Akaun!$A$5:$A$150,0)))</f>
        <v/>
      </c>
      <c r="H2824" s="1" t="str">
        <f aca="false">IF(C2824="","",INDEX(Akaun!$D$5:$D$150,MATCH(C2824,Akaun!$A$5:$A$150,0)))</f>
        <v/>
      </c>
    </row>
    <row r="2825" customFormat="false" ht="15" hidden="false" customHeight="true" outlineLevel="0" collapsed="false">
      <c r="G2825" s="1" t="str">
        <f aca="false">IF(C2825="","",INDEX(Akaun!$F$5:$F$150,MATCH(C2825,Akaun!$A$5:$A$150,0)))</f>
        <v/>
      </c>
      <c r="H2825" s="1" t="str">
        <f aca="false">IF(C2825="","",INDEX(Akaun!$D$5:$D$150,MATCH(C2825,Akaun!$A$5:$A$150,0)))</f>
        <v/>
      </c>
    </row>
    <row r="2826" customFormat="false" ht="15" hidden="false" customHeight="true" outlineLevel="0" collapsed="false">
      <c r="G2826" s="1" t="str">
        <f aca="false">IF(C2826="","",INDEX(Akaun!$F$5:$F$150,MATCH(C2826,Akaun!$A$5:$A$150,0)))</f>
        <v/>
      </c>
      <c r="H2826" s="1" t="str">
        <f aca="false">IF(C2826="","",INDEX(Akaun!$D$5:$D$150,MATCH(C2826,Akaun!$A$5:$A$150,0)))</f>
        <v/>
      </c>
    </row>
    <row r="2827" customFormat="false" ht="15" hidden="false" customHeight="true" outlineLevel="0" collapsed="false">
      <c r="G2827" s="1" t="str">
        <f aca="false">IF(C2827="","",INDEX(Akaun!$F$5:$F$150,MATCH(C2827,Akaun!$A$5:$A$150,0)))</f>
        <v/>
      </c>
      <c r="H2827" s="1" t="str">
        <f aca="false">IF(C2827="","",INDEX(Akaun!$D$5:$D$150,MATCH(C2827,Akaun!$A$5:$A$150,0)))</f>
        <v/>
      </c>
    </row>
    <row r="2828" customFormat="false" ht="15" hidden="false" customHeight="true" outlineLevel="0" collapsed="false">
      <c r="G2828" s="1" t="str">
        <f aca="false">IF(C2828="","",INDEX(Akaun!$F$5:$F$150,MATCH(C2828,Akaun!$A$5:$A$150,0)))</f>
        <v/>
      </c>
      <c r="H2828" s="1" t="str">
        <f aca="false">IF(C2828="","",INDEX(Akaun!$D$5:$D$150,MATCH(C2828,Akaun!$A$5:$A$150,0)))</f>
        <v/>
      </c>
    </row>
    <row r="2829" customFormat="false" ht="15" hidden="false" customHeight="true" outlineLevel="0" collapsed="false">
      <c r="G2829" s="1" t="str">
        <f aca="false">IF(C2829="","",INDEX(Akaun!$F$5:$F$150,MATCH(C2829,Akaun!$A$5:$A$150,0)))</f>
        <v/>
      </c>
      <c r="H2829" s="1" t="str">
        <f aca="false">IF(C2829="","",INDEX(Akaun!$D$5:$D$150,MATCH(C2829,Akaun!$A$5:$A$150,0)))</f>
        <v/>
      </c>
    </row>
    <row r="2830" customFormat="false" ht="15" hidden="false" customHeight="true" outlineLevel="0" collapsed="false">
      <c r="G2830" s="1" t="str">
        <f aca="false">IF(C2830="","",INDEX(Akaun!$F$5:$F$150,MATCH(C2830,Akaun!$A$5:$A$150,0)))</f>
        <v/>
      </c>
      <c r="H2830" s="1" t="str">
        <f aca="false">IF(C2830="","",INDEX(Akaun!$D$5:$D$150,MATCH(C2830,Akaun!$A$5:$A$150,0)))</f>
        <v/>
      </c>
    </row>
    <row r="2831" customFormat="false" ht="15" hidden="false" customHeight="true" outlineLevel="0" collapsed="false">
      <c r="G2831" s="1" t="str">
        <f aca="false">IF(C2831="","",INDEX(Akaun!$F$5:$F$150,MATCH(C2831,Akaun!$A$5:$A$150,0)))</f>
        <v/>
      </c>
      <c r="H2831" s="1" t="str">
        <f aca="false">IF(C2831="","",INDEX(Akaun!$D$5:$D$150,MATCH(C2831,Akaun!$A$5:$A$150,0)))</f>
        <v/>
      </c>
    </row>
    <row r="2832" customFormat="false" ht="15" hidden="false" customHeight="true" outlineLevel="0" collapsed="false">
      <c r="G2832" s="1" t="str">
        <f aca="false">IF(C2832="","",INDEX(Akaun!$F$5:$F$150,MATCH(C2832,Akaun!$A$5:$A$150,0)))</f>
        <v/>
      </c>
      <c r="H2832" s="1" t="str">
        <f aca="false">IF(C2832="","",INDEX(Akaun!$D$5:$D$150,MATCH(C2832,Akaun!$A$5:$A$150,0)))</f>
        <v/>
      </c>
    </row>
    <row r="2833" customFormat="false" ht="15" hidden="false" customHeight="true" outlineLevel="0" collapsed="false">
      <c r="G2833" s="1" t="str">
        <f aca="false">IF(C2833="","",INDEX(Akaun!$F$5:$F$150,MATCH(C2833,Akaun!$A$5:$A$150,0)))</f>
        <v/>
      </c>
      <c r="H2833" s="1" t="str">
        <f aca="false">IF(C2833="","",INDEX(Akaun!$D$5:$D$150,MATCH(C2833,Akaun!$A$5:$A$150,0)))</f>
        <v/>
      </c>
    </row>
    <row r="2834" customFormat="false" ht="15" hidden="false" customHeight="true" outlineLevel="0" collapsed="false">
      <c r="G2834" s="1" t="str">
        <f aca="false">IF(C2834="","",INDEX(Akaun!$F$5:$F$150,MATCH(C2834,Akaun!$A$5:$A$150,0)))</f>
        <v/>
      </c>
      <c r="H2834" s="1" t="str">
        <f aca="false">IF(C2834="","",INDEX(Akaun!$D$5:$D$150,MATCH(C2834,Akaun!$A$5:$A$150,0)))</f>
        <v/>
      </c>
    </row>
    <row r="2835" customFormat="false" ht="15" hidden="false" customHeight="true" outlineLevel="0" collapsed="false">
      <c r="G2835" s="1" t="str">
        <f aca="false">IF(C2835="","",INDEX(Akaun!$F$5:$F$150,MATCH(C2835,Akaun!$A$5:$A$150,0)))</f>
        <v/>
      </c>
      <c r="H2835" s="1" t="str">
        <f aca="false">IF(C2835="","",INDEX(Akaun!$D$5:$D$150,MATCH(C2835,Akaun!$A$5:$A$150,0)))</f>
        <v/>
      </c>
    </row>
    <row r="2836" customFormat="false" ht="15" hidden="false" customHeight="true" outlineLevel="0" collapsed="false">
      <c r="G2836" s="1" t="str">
        <f aca="false">IF(C2836="","",INDEX(Akaun!$F$5:$F$150,MATCH(C2836,Akaun!$A$5:$A$150,0)))</f>
        <v/>
      </c>
      <c r="H2836" s="1" t="str">
        <f aca="false">IF(C2836="","",INDEX(Akaun!$D$5:$D$150,MATCH(C2836,Akaun!$A$5:$A$150,0)))</f>
        <v/>
      </c>
    </row>
    <row r="2837" customFormat="false" ht="15" hidden="false" customHeight="true" outlineLevel="0" collapsed="false">
      <c r="G2837" s="1" t="str">
        <f aca="false">IF(C2837="","",INDEX(Akaun!$F$5:$F$150,MATCH(C2837,Akaun!$A$5:$A$150,0)))</f>
        <v/>
      </c>
      <c r="H2837" s="1" t="str">
        <f aca="false">IF(C2837="","",INDEX(Akaun!$D$5:$D$150,MATCH(C2837,Akaun!$A$5:$A$150,0)))</f>
        <v/>
      </c>
    </row>
    <row r="2838" customFormat="false" ht="15" hidden="false" customHeight="true" outlineLevel="0" collapsed="false">
      <c r="G2838" s="1" t="str">
        <f aca="false">IF(C2838="","",INDEX(Akaun!$F$5:$F$150,MATCH(C2838,Akaun!$A$5:$A$150,0)))</f>
        <v/>
      </c>
      <c r="H2838" s="1" t="str">
        <f aca="false">IF(C2838="","",INDEX(Akaun!$D$5:$D$150,MATCH(C2838,Akaun!$A$5:$A$150,0)))</f>
        <v/>
      </c>
    </row>
    <row r="2839" customFormat="false" ht="15" hidden="false" customHeight="true" outlineLevel="0" collapsed="false">
      <c r="G2839" s="1" t="str">
        <f aca="false">IF(C2839="","",INDEX(Akaun!$F$5:$F$150,MATCH(C2839,Akaun!$A$5:$A$150,0)))</f>
        <v/>
      </c>
      <c r="H2839" s="1" t="str">
        <f aca="false">IF(C2839="","",INDEX(Akaun!$D$5:$D$150,MATCH(C2839,Akaun!$A$5:$A$150,0)))</f>
        <v/>
      </c>
    </row>
    <row r="2840" customFormat="false" ht="15" hidden="false" customHeight="true" outlineLevel="0" collapsed="false">
      <c r="G2840" s="1" t="str">
        <f aca="false">IF(C2840="","",INDEX(Akaun!$F$5:$F$150,MATCH(C2840,Akaun!$A$5:$A$150,0)))</f>
        <v/>
      </c>
      <c r="H2840" s="1" t="str">
        <f aca="false">IF(C2840="","",INDEX(Akaun!$D$5:$D$150,MATCH(C2840,Akaun!$A$5:$A$150,0)))</f>
        <v/>
      </c>
    </row>
    <row r="2841" customFormat="false" ht="15" hidden="false" customHeight="true" outlineLevel="0" collapsed="false">
      <c r="G2841" s="1" t="str">
        <f aca="false">IF(C2841="","",INDEX(Akaun!$F$5:$F$150,MATCH(C2841,Akaun!$A$5:$A$150,0)))</f>
        <v/>
      </c>
      <c r="H2841" s="1" t="str">
        <f aca="false">IF(C2841="","",INDEX(Akaun!$D$5:$D$150,MATCH(C2841,Akaun!$A$5:$A$150,0)))</f>
        <v/>
      </c>
    </row>
    <row r="2842" customFormat="false" ht="15" hidden="false" customHeight="true" outlineLevel="0" collapsed="false">
      <c r="G2842" s="1" t="str">
        <f aca="false">IF(C2842="","",INDEX(Akaun!$F$5:$F$150,MATCH(C2842,Akaun!$A$5:$A$150,0)))</f>
        <v/>
      </c>
      <c r="H2842" s="1" t="str">
        <f aca="false">IF(C2842="","",INDEX(Akaun!$D$5:$D$150,MATCH(C2842,Akaun!$A$5:$A$150,0)))</f>
        <v/>
      </c>
    </row>
    <row r="2843" customFormat="false" ht="15" hidden="false" customHeight="true" outlineLevel="0" collapsed="false">
      <c r="G2843" s="1" t="str">
        <f aca="false">IF(C2843="","",INDEX(Akaun!$F$5:$F$150,MATCH(C2843,Akaun!$A$5:$A$150,0)))</f>
        <v/>
      </c>
      <c r="H2843" s="1" t="str">
        <f aca="false">IF(C2843="","",INDEX(Akaun!$D$5:$D$150,MATCH(C2843,Akaun!$A$5:$A$150,0)))</f>
        <v/>
      </c>
    </row>
    <row r="2844" customFormat="false" ht="15" hidden="false" customHeight="true" outlineLevel="0" collapsed="false">
      <c r="G2844" s="1" t="str">
        <f aca="false">IF(C2844="","",INDEX(Akaun!$F$5:$F$150,MATCH(C2844,Akaun!$A$5:$A$150,0)))</f>
        <v/>
      </c>
      <c r="H2844" s="1" t="str">
        <f aca="false">IF(C2844="","",INDEX(Akaun!$D$5:$D$150,MATCH(C2844,Akaun!$A$5:$A$150,0)))</f>
        <v/>
      </c>
    </row>
    <row r="2845" customFormat="false" ht="15" hidden="false" customHeight="true" outlineLevel="0" collapsed="false">
      <c r="G2845" s="1" t="str">
        <f aca="false">IF(C2845="","",INDEX(Akaun!$F$5:$F$150,MATCH(C2845,Akaun!$A$5:$A$150,0)))</f>
        <v/>
      </c>
      <c r="H2845" s="1" t="str">
        <f aca="false">IF(C2845="","",INDEX(Akaun!$D$5:$D$150,MATCH(C2845,Akaun!$A$5:$A$150,0)))</f>
        <v/>
      </c>
    </row>
    <row r="2846" customFormat="false" ht="15" hidden="false" customHeight="true" outlineLevel="0" collapsed="false">
      <c r="G2846" s="1" t="str">
        <f aca="false">IF(C2846="","",INDEX(Akaun!$F$5:$F$150,MATCH(C2846,Akaun!$A$5:$A$150,0)))</f>
        <v/>
      </c>
      <c r="H2846" s="1" t="str">
        <f aca="false">IF(C2846="","",INDEX(Akaun!$D$5:$D$150,MATCH(C2846,Akaun!$A$5:$A$150,0)))</f>
        <v/>
      </c>
    </row>
    <row r="2847" customFormat="false" ht="15" hidden="false" customHeight="true" outlineLevel="0" collapsed="false">
      <c r="G2847" s="1" t="str">
        <f aca="false">IF(C2847="","",INDEX(Akaun!$F$5:$F$150,MATCH(C2847,Akaun!$A$5:$A$150,0)))</f>
        <v/>
      </c>
      <c r="H2847" s="1" t="str">
        <f aca="false">IF(C2847="","",INDEX(Akaun!$D$5:$D$150,MATCH(C2847,Akaun!$A$5:$A$150,0)))</f>
        <v/>
      </c>
    </row>
    <row r="2848" customFormat="false" ht="15" hidden="false" customHeight="true" outlineLevel="0" collapsed="false">
      <c r="G2848" s="1" t="str">
        <f aca="false">IF(C2848="","",INDEX(Akaun!$F$5:$F$150,MATCH(C2848,Akaun!$A$5:$A$150,0)))</f>
        <v/>
      </c>
      <c r="H2848" s="1" t="str">
        <f aca="false">IF(C2848="","",INDEX(Akaun!$D$5:$D$150,MATCH(C2848,Akaun!$A$5:$A$150,0)))</f>
        <v/>
      </c>
    </row>
    <row r="2849" customFormat="false" ht="15" hidden="false" customHeight="true" outlineLevel="0" collapsed="false">
      <c r="G2849" s="1" t="str">
        <f aca="false">IF(C2849="","",INDEX(Akaun!$F$5:$F$150,MATCH(C2849,Akaun!$A$5:$A$150,0)))</f>
        <v/>
      </c>
      <c r="H2849" s="1" t="str">
        <f aca="false">IF(C2849="","",INDEX(Akaun!$D$5:$D$150,MATCH(C2849,Akaun!$A$5:$A$150,0)))</f>
        <v/>
      </c>
    </row>
    <row r="2850" customFormat="false" ht="15" hidden="false" customHeight="true" outlineLevel="0" collapsed="false">
      <c r="G2850" s="1" t="str">
        <f aca="false">IF(C2850="","",INDEX(Akaun!$F$5:$F$150,MATCH(C2850,Akaun!$A$5:$A$150,0)))</f>
        <v/>
      </c>
      <c r="H2850" s="1" t="str">
        <f aca="false">IF(C2850="","",INDEX(Akaun!$D$5:$D$150,MATCH(C2850,Akaun!$A$5:$A$150,0)))</f>
        <v/>
      </c>
    </row>
    <row r="2851" customFormat="false" ht="15" hidden="false" customHeight="true" outlineLevel="0" collapsed="false">
      <c r="G2851" s="1" t="str">
        <f aca="false">IF(C2851="","",INDEX(Akaun!$F$5:$F$150,MATCH(C2851,Akaun!$A$5:$A$150,0)))</f>
        <v/>
      </c>
      <c r="H2851" s="1" t="str">
        <f aca="false">IF(C2851="","",INDEX(Akaun!$D$5:$D$150,MATCH(C2851,Akaun!$A$5:$A$150,0)))</f>
        <v/>
      </c>
    </row>
    <row r="2852" customFormat="false" ht="15" hidden="false" customHeight="true" outlineLevel="0" collapsed="false">
      <c r="G2852" s="1" t="str">
        <f aca="false">IF(C2852="","",INDEX(Akaun!$F$5:$F$150,MATCH(C2852,Akaun!$A$5:$A$150,0)))</f>
        <v/>
      </c>
      <c r="H2852" s="1" t="str">
        <f aca="false">IF(C2852="","",INDEX(Akaun!$D$5:$D$150,MATCH(C2852,Akaun!$A$5:$A$150,0)))</f>
        <v/>
      </c>
    </row>
    <row r="2853" customFormat="false" ht="15" hidden="false" customHeight="true" outlineLevel="0" collapsed="false">
      <c r="G2853" s="1" t="str">
        <f aca="false">IF(C2853="","",INDEX(Akaun!$F$5:$F$150,MATCH(C2853,Akaun!$A$5:$A$150,0)))</f>
        <v/>
      </c>
      <c r="H2853" s="1" t="str">
        <f aca="false">IF(C2853="","",INDEX(Akaun!$D$5:$D$150,MATCH(C2853,Akaun!$A$5:$A$150,0)))</f>
        <v/>
      </c>
    </row>
    <row r="2854" customFormat="false" ht="15" hidden="false" customHeight="true" outlineLevel="0" collapsed="false">
      <c r="G2854" s="1" t="str">
        <f aca="false">IF(C2854="","",INDEX(Akaun!$F$5:$F$150,MATCH(C2854,Akaun!$A$5:$A$150,0)))</f>
        <v/>
      </c>
      <c r="H2854" s="1" t="str">
        <f aca="false">IF(C2854="","",INDEX(Akaun!$D$5:$D$150,MATCH(C2854,Akaun!$A$5:$A$150,0)))</f>
        <v/>
      </c>
    </row>
    <row r="2855" customFormat="false" ht="15" hidden="false" customHeight="true" outlineLevel="0" collapsed="false">
      <c r="G2855" s="1" t="str">
        <f aca="false">IF(C2855="","",INDEX(Akaun!$F$5:$F$150,MATCH(C2855,Akaun!$A$5:$A$150,0)))</f>
        <v/>
      </c>
      <c r="H2855" s="1" t="str">
        <f aca="false">IF(C2855="","",INDEX(Akaun!$D$5:$D$150,MATCH(C2855,Akaun!$A$5:$A$150,0)))</f>
        <v/>
      </c>
    </row>
    <row r="2856" customFormat="false" ht="15" hidden="false" customHeight="true" outlineLevel="0" collapsed="false">
      <c r="G2856" s="1" t="str">
        <f aca="false">IF(C2856="","",INDEX(Akaun!$F$5:$F$150,MATCH(C2856,Akaun!$A$5:$A$150,0)))</f>
        <v/>
      </c>
      <c r="H2856" s="1" t="str">
        <f aca="false">IF(C2856="","",INDEX(Akaun!$D$5:$D$150,MATCH(C2856,Akaun!$A$5:$A$150,0)))</f>
        <v/>
      </c>
    </row>
    <row r="2857" customFormat="false" ht="15" hidden="false" customHeight="true" outlineLevel="0" collapsed="false">
      <c r="G2857" s="1" t="str">
        <f aca="false">IF(C2857="","",INDEX(Akaun!$F$5:$F$150,MATCH(C2857,Akaun!$A$5:$A$150,0)))</f>
        <v/>
      </c>
      <c r="H2857" s="1" t="str">
        <f aca="false">IF(C2857="","",INDEX(Akaun!$D$5:$D$150,MATCH(C2857,Akaun!$A$5:$A$150,0)))</f>
        <v/>
      </c>
    </row>
    <row r="2858" customFormat="false" ht="15" hidden="false" customHeight="true" outlineLevel="0" collapsed="false">
      <c r="G2858" s="1" t="str">
        <f aca="false">IF(C2858="","",INDEX(Akaun!$F$5:$F$150,MATCH(C2858,Akaun!$A$5:$A$150,0)))</f>
        <v/>
      </c>
      <c r="H2858" s="1" t="str">
        <f aca="false">IF(C2858="","",INDEX(Akaun!$D$5:$D$150,MATCH(C2858,Akaun!$A$5:$A$150,0)))</f>
        <v/>
      </c>
    </row>
    <row r="2859" customFormat="false" ht="15" hidden="false" customHeight="true" outlineLevel="0" collapsed="false">
      <c r="G2859" s="1" t="str">
        <f aca="false">IF(C2859="","",INDEX(Akaun!$F$5:$F$150,MATCH(C2859,Akaun!$A$5:$A$150,0)))</f>
        <v/>
      </c>
      <c r="H2859" s="1" t="str">
        <f aca="false">IF(C2859="","",INDEX(Akaun!$D$5:$D$150,MATCH(C2859,Akaun!$A$5:$A$150,0)))</f>
        <v/>
      </c>
    </row>
    <row r="2860" customFormat="false" ht="15" hidden="false" customHeight="true" outlineLevel="0" collapsed="false">
      <c r="G2860" s="1" t="str">
        <f aca="false">IF(C2860="","",INDEX(Akaun!$F$5:$F$150,MATCH(C2860,Akaun!$A$5:$A$150,0)))</f>
        <v/>
      </c>
      <c r="H2860" s="1" t="str">
        <f aca="false">IF(C2860="","",INDEX(Akaun!$D$5:$D$150,MATCH(C2860,Akaun!$A$5:$A$150,0)))</f>
        <v/>
      </c>
    </row>
    <row r="2861" customFormat="false" ht="15" hidden="false" customHeight="true" outlineLevel="0" collapsed="false">
      <c r="G2861" s="1" t="str">
        <f aca="false">IF(C2861="","",INDEX(Akaun!$F$5:$F$150,MATCH(C2861,Akaun!$A$5:$A$150,0)))</f>
        <v/>
      </c>
      <c r="H2861" s="1" t="str">
        <f aca="false">IF(C2861="","",INDEX(Akaun!$D$5:$D$150,MATCH(C2861,Akaun!$A$5:$A$150,0)))</f>
        <v/>
      </c>
    </row>
    <row r="2862" customFormat="false" ht="15" hidden="false" customHeight="true" outlineLevel="0" collapsed="false">
      <c r="G2862" s="1" t="str">
        <f aca="false">IF(C2862="","",INDEX(Akaun!$F$5:$F$150,MATCH(C2862,Akaun!$A$5:$A$150,0)))</f>
        <v/>
      </c>
      <c r="H2862" s="1" t="str">
        <f aca="false">IF(C2862="","",INDEX(Akaun!$D$5:$D$150,MATCH(C2862,Akaun!$A$5:$A$150,0)))</f>
        <v/>
      </c>
    </row>
    <row r="2863" customFormat="false" ht="15" hidden="false" customHeight="true" outlineLevel="0" collapsed="false">
      <c r="G2863" s="1" t="str">
        <f aca="false">IF(C2863="","",INDEX(Akaun!$F$5:$F$150,MATCH(C2863,Akaun!$A$5:$A$150,0)))</f>
        <v/>
      </c>
      <c r="H2863" s="1" t="str">
        <f aca="false">IF(C2863="","",INDEX(Akaun!$D$5:$D$150,MATCH(C2863,Akaun!$A$5:$A$150,0)))</f>
        <v/>
      </c>
    </row>
    <row r="2864" customFormat="false" ht="15" hidden="false" customHeight="true" outlineLevel="0" collapsed="false">
      <c r="G2864" s="1" t="str">
        <f aca="false">IF(C2864="","",INDEX(Akaun!$F$5:$F$150,MATCH(C2864,Akaun!$A$5:$A$150,0)))</f>
        <v/>
      </c>
      <c r="H2864" s="1" t="str">
        <f aca="false">IF(C2864="","",INDEX(Akaun!$D$5:$D$150,MATCH(C2864,Akaun!$A$5:$A$150,0)))</f>
        <v/>
      </c>
    </row>
    <row r="2865" customFormat="false" ht="15" hidden="false" customHeight="true" outlineLevel="0" collapsed="false">
      <c r="G2865" s="1" t="str">
        <f aca="false">IF(C2865="","",INDEX(Akaun!$F$5:$F$150,MATCH(C2865,Akaun!$A$5:$A$150,0)))</f>
        <v/>
      </c>
      <c r="H2865" s="1" t="str">
        <f aca="false">IF(C2865="","",INDEX(Akaun!$D$5:$D$150,MATCH(C2865,Akaun!$A$5:$A$150,0)))</f>
        <v/>
      </c>
    </row>
    <row r="2866" customFormat="false" ht="15" hidden="false" customHeight="true" outlineLevel="0" collapsed="false">
      <c r="G2866" s="1" t="str">
        <f aca="false">IF(C2866="","",INDEX(Akaun!$F$5:$F$150,MATCH(C2866,Akaun!$A$5:$A$150,0)))</f>
        <v/>
      </c>
      <c r="H2866" s="1" t="str">
        <f aca="false">IF(C2866="","",INDEX(Akaun!$D$5:$D$150,MATCH(C2866,Akaun!$A$5:$A$150,0)))</f>
        <v/>
      </c>
    </row>
    <row r="2867" customFormat="false" ht="15" hidden="false" customHeight="true" outlineLevel="0" collapsed="false">
      <c r="G2867" s="1" t="str">
        <f aca="false">IF(C2867="","",INDEX(Akaun!$F$5:$F$150,MATCH(C2867,Akaun!$A$5:$A$150,0)))</f>
        <v/>
      </c>
      <c r="H2867" s="1" t="str">
        <f aca="false">IF(C2867="","",INDEX(Akaun!$D$5:$D$150,MATCH(C2867,Akaun!$A$5:$A$150,0)))</f>
        <v/>
      </c>
    </row>
    <row r="2868" customFormat="false" ht="15" hidden="false" customHeight="true" outlineLevel="0" collapsed="false">
      <c r="G2868" s="1" t="str">
        <f aca="false">IF(C2868="","",INDEX(Akaun!$F$5:$F$150,MATCH(C2868,Akaun!$A$5:$A$150,0)))</f>
        <v/>
      </c>
      <c r="H2868" s="1" t="str">
        <f aca="false">IF(C2868="","",INDEX(Akaun!$D$5:$D$150,MATCH(C2868,Akaun!$A$5:$A$150,0)))</f>
        <v/>
      </c>
    </row>
    <row r="2869" customFormat="false" ht="15" hidden="false" customHeight="true" outlineLevel="0" collapsed="false">
      <c r="G2869" s="1" t="str">
        <f aca="false">IF(C2869="","",INDEX(Akaun!$F$5:$F$150,MATCH(C2869,Akaun!$A$5:$A$150,0)))</f>
        <v/>
      </c>
      <c r="H2869" s="1" t="str">
        <f aca="false">IF(C2869="","",INDEX(Akaun!$D$5:$D$150,MATCH(C2869,Akaun!$A$5:$A$150,0)))</f>
        <v/>
      </c>
    </row>
    <row r="2870" customFormat="false" ht="15" hidden="false" customHeight="true" outlineLevel="0" collapsed="false">
      <c r="G2870" s="1" t="str">
        <f aca="false">IF(C2870="","",INDEX(Akaun!$F$5:$F$150,MATCH(C2870,Akaun!$A$5:$A$150,0)))</f>
        <v/>
      </c>
      <c r="H2870" s="1" t="str">
        <f aca="false">IF(C2870="","",INDEX(Akaun!$D$5:$D$150,MATCH(C2870,Akaun!$A$5:$A$150,0)))</f>
        <v/>
      </c>
    </row>
    <row r="2871" customFormat="false" ht="15" hidden="false" customHeight="true" outlineLevel="0" collapsed="false">
      <c r="G2871" s="1" t="str">
        <f aca="false">IF(C2871="","",INDEX(Akaun!$F$5:$F$150,MATCH(C2871,Akaun!$A$5:$A$150,0)))</f>
        <v/>
      </c>
      <c r="H2871" s="1" t="str">
        <f aca="false">IF(C2871="","",INDEX(Akaun!$D$5:$D$150,MATCH(C2871,Akaun!$A$5:$A$150,0)))</f>
        <v/>
      </c>
    </row>
    <row r="2872" customFormat="false" ht="15" hidden="false" customHeight="true" outlineLevel="0" collapsed="false">
      <c r="G2872" s="1" t="str">
        <f aca="false">IF(C2872="","",INDEX(Akaun!$F$5:$F$150,MATCH(C2872,Akaun!$A$5:$A$150,0)))</f>
        <v/>
      </c>
      <c r="H2872" s="1" t="str">
        <f aca="false">IF(C2872="","",INDEX(Akaun!$D$5:$D$150,MATCH(C2872,Akaun!$A$5:$A$150,0)))</f>
        <v/>
      </c>
    </row>
    <row r="2873" customFormat="false" ht="15" hidden="false" customHeight="true" outlineLevel="0" collapsed="false">
      <c r="G2873" s="1" t="str">
        <f aca="false">IF(C2873="","",INDEX(Akaun!$F$5:$F$150,MATCH(C2873,Akaun!$A$5:$A$150,0)))</f>
        <v/>
      </c>
      <c r="H2873" s="1" t="str">
        <f aca="false">IF(C2873="","",INDEX(Akaun!$D$5:$D$150,MATCH(C2873,Akaun!$A$5:$A$150,0)))</f>
        <v/>
      </c>
    </row>
    <row r="2874" customFormat="false" ht="15" hidden="false" customHeight="true" outlineLevel="0" collapsed="false">
      <c r="G2874" s="1" t="str">
        <f aca="false">IF(C2874="","",INDEX(Akaun!$F$5:$F$150,MATCH(C2874,Akaun!$A$5:$A$150,0)))</f>
        <v/>
      </c>
      <c r="H2874" s="1" t="str">
        <f aca="false">IF(C2874="","",INDEX(Akaun!$D$5:$D$150,MATCH(C2874,Akaun!$A$5:$A$150,0)))</f>
        <v/>
      </c>
    </row>
    <row r="2875" customFormat="false" ht="15" hidden="false" customHeight="true" outlineLevel="0" collapsed="false">
      <c r="G2875" s="1" t="str">
        <f aca="false">IF(C2875="","",INDEX(Akaun!$F$5:$F$150,MATCH(C2875,Akaun!$A$5:$A$150,0)))</f>
        <v/>
      </c>
      <c r="H2875" s="1" t="str">
        <f aca="false">IF(C2875="","",INDEX(Akaun!$D$5:$D$150,MATCH(C2875,Akaun!$A$5:$A$150,0)))</f>
        <v/>
      </c>
    </row>
    <row r="2876" customFormat="false" ht="15" hidden="false" customHeight="true" outlineLevel="0" collapsed="false">
      <c r="G2876" s="1" t="str">
        <f aca="false">IF(C2876="","",INDEX(Akaun!$F$5:$F$150,MATCH(C2876,Akaun!$A$5:$A$150,0)))</f>
        <v/>
      </c>
      <c r="H2876" s="1" t="str">
        <f aca="false">IF(C2876="","",INDEX(Akaun!$D$5:$D$150,MATCH(C2876,Akaun!$A$5:$A$150,0)))</f>
        <v/>
      </c>
    </row>
    <row r="2877" customFormat="false" ht="15" hidden="false" customHeight="true" outlineLevel="0" collapsed="false">
      <c r="G2877" s="1" t="str">
        <f aca="false">IF(C2877="","",INDEX(Akaun!$F$5:$F$150,MATCH(C2877,Akaun!$A$5:$A$150,0)))</f>
        <v/>
      </c>
      <c r="H2877" s="1" t="str">
        <f aca="false">IF(C2877="","",INDEX(Akaun!$D$5:$D$150,MATCH(C2877,Akaun!$A$5:$A$150,0)))</f>
        <v/>
      </c>
    </row>
    <row r="2878" customFormat="false" ht="15" hidden="false" customHeight="true" outlineLevel="0" collapsed="false">
      <c r="G2878" s="1" t="str">
        <f aca="false">IF(C2878="","",INDEX(Akaun!$F$5:$F$150,MATCH(C2878,Akaun!$A$5:$A$150,0)))</f>
        <v/>
      </c>
      <c r="H2878" s="1" t="str">
        <f aca="false">IF(C2878="","",INDEX(Akaun!$D$5:$D$150,MATCH(C2878,Akaun!$A$5:$A$150,0)))</f>
        <v/>
      </c>
    </row>
    <row r="2879" customFormat="false" ht="15" hidden="false" customHeight="true" outlineLevel="0" collapsed="false">
      <c r="G2879" s="1" t="str">
        <f aca="false">IF(C2879="","",INDEX(Akaun!$F$5:$F$150,MATCH(C2879,Akaun!$A$5:$A$150,0)))</f>
        <v/>
      </c>
      <c r="H2879" s="1" t="str">
        <f aca="false">IF(C2879="","",INDEX(Akaun!$D$5:$D$150,MATCH(C2879,Akaun!$A$5:$A$150,0)))</f>
        <v/>
      </c>
    </row>
    <row r="2880" customFormat="false" ht="15" hidden="false" customHeight="true" outlineLevel="0" collapsed="false">
      <c r="G2880" s="1" t="str">
        <f aca="false">IF(C2880="","",INDEX(Akaun!$F$5:$F$150,MATCH(C2880,Akaun!$A$5:$A$150,0)))</f>
        <v/>
      </c>
      <c r="H2880" s="1" t="str">
        <f aca="false">IF(C2880="","",INDEX(Akaun!$D$5:$D$150,MATCH(C2880,Akaun!$A$5:$A$150,0)))</f>
        <v/>
      </c>
    </row>
    <row r="2881" customFormat="false" ht="15" hidden="false" customHeight="true" outlineLevel="0" collapsed="false">
      <c r="G2881" s="1" t="str">
        <f aca="false">IF(C2881="","",INDEX(Akaun!$F$5:$F$150,MATCH(C2881,Akaun!$A$5:$A$150,0)))</f>
        <v/>
      </c>
      <c r="H2881" s="1" t="str">
        <f aca="false">IF(C2881="","",INDEX(Akaun!$D$5:$D$150,MATCH(C2881,Akaun!$A$5:$A$150,0)))</f>
        <v/>
      </c>
    </row>
    <row r="2882" customFormat="false" ht="15" hidden="false" customHeight="true" outlineLevel="0" collapsed="false">
      <c r="G2882" s="1" t="str">
        <f aca="false">IF(C2882="","",INDEX(Akaun!$F$5:$F$150,MATCH(C2882,Akaun!$A$5:$A$150,0)))</f>
        <v/>
      </c>
      <c r="H2882" s="1" t="str">
        <f aca="false">IF(C2882="","",INDEX(Akaun!$D$5:$D$150,MATCH(C2882,Akaun!$A$5:$A$150,0)))</f>
        <v/>
      </c>
    </row>
    <row r="2883" customFormat="false" ht="15" hidden="false" customHeight="true" outlineLevel="0" collapsed="false">
      <c r="G2883" s="1" t="str">
        <f aca="false">IF(C2883="","",INDEX(Akaun!$F$5:$F$150,MATCH(C2883,Akaun!$A$5:$A$150,0)))</f>
        <v/>
      </c>
      <c r="H2883" s="1" t="str">
        <f aca="false">IF(C2883="","",INDEX(Akaun!$D$5:$D$150,MATCH(C2883,Akaun!$A$5:$A$150,0)))</f>
        <v/>
      </c>
    </row>
    <row r="2884" customFormat="false" ht="15" hidden="false" customHeight="true" outlineLevel="0" collapsed="false">
      <c r="G2884" s="1" t="str">
        <f aca="false">IF(C2884="","",INDEX(Akaun!$F$5:$F$150,MATCH(C2884,Akaun!$A$5:$A$150,0)))</f>
        <v/>
      </c>
      <c r="H2884" s="1" t="str">
        <f aca="false">IF(C2884="","",INDEX(Akaun!$D$5:$D$150,MATCH(C2884,Akaun!$A$5:$A$150,0)))</f>
        <v/>
      </c>
    </row>
    <row r="2885" customFormat="false" ht="15" hidden="false" customHeight="true" outlineLevel="0" collapsed="false">
      <c r="G2885" s="1" t="str">
        <f aca="false">IF(C2885="","",INDEX(Akaun!$F$5:$F$150,MATCH(C2885,Akaun!$A$5:$A$150,0)))</f>
        <v/>
      </c>
      <c r="H2885" s="1" t="str">
        <f aca="false">IF(C2885="","",INDEX(Akaun!$D$5:$D$150,MATCH(C2885,Akaun!$A$5:$A$150,0)))</f>
        <v/>
      </c>
    </row>
    <row r="2886" customFormat="false" ht="15" hidden="false" customHeight="true" outlineLevel="0" collapsed="false">
      <c r="G2886" s="1" t="str">
        <f aca="false">IF(C2886="","",INDEX(Akaun!$F$5:$F$150,MATCH(C2886,Akaun!$A$5:$A$150,0)))</f>
        <v/>
      </c>
      <c r="H2886" s="1" t="str">
        <f aca="false">IF(C2886="","",INDEX(Akaun!$D$5:$D$150,MATCH(C2886,Akaun!$A$5:$A$150,0)))</f>
        <v/>
      </c>
    </row>
    <row r="2887" customFormat="false" ht="15" hidden="false" customHeight="true" outlineLevel="0" collapsed="false">
      <c r="G2887" s="1" t="str">
        <f aca="false">IF(C2887="","",INDEX(Akaun!$F$5:$F$150,MATCH(C2887,Akaun!$A$5:$A$150,0)))</f>
        <v/>
      </c>
      <c r="H2887" s="1" t="str">
        <f aca="false">IF(C2887="","",INDEX(Akaun!$D$5:$D$150,MATCH(C2887,Akaun!$A$5:$A$150,0)))</f>
        <v/>
      </c>
    </row>
    <row r="2888" customFormat="false" ht="15" hidden="false" customHeight="true" outlineLevel="0" collapsed="false">
      <c r="G2888" s="1" t="str">
        <f aca="false">IF(C2888="","",INDEX(Akaun!$F$5:$F$150,MATCH(C2888,Akaun!$A$5:$A$150,0)))</f>
        <v/>
      </c>
      <c r="H2888" s="1" t="str">
        <f aca="false">IF(C2888="","",INDEX(Akaun!$D$5:$D$150,MATCH(C2888,Akaun!$A$5:$A$150,0)))</f>
        <v/>
      </c>
    </row>
    <row r="2889" customFormat="false" ht="15" hidden="false" customHeight="true" outlineLevel="0" collapsed="false">
      <c r="G2889" s="1" t="str">
        <f aca="false">IF(C2889="","",INDEX(Akaun!$F$5:$F$150,MATCH(C2889,Akaun!$A$5:$A$150,0)))</f>
        <v/>
      </c>
      <c r="H2889" s="1" t="str">
        <f aca="false">IF(C2889="","",INDEX(Akaun!$D$5:$D$150,MATCH(C2889,Akaun!$A$5:$A$150,0)))</f>
        <v/>
      </c>
    </row>
    <row r="2890" customFormat="false" ht="15" hidden="false" customHeight="true" outlineLevel="0" collapsed="false">
      <c r="G2890" s="1" t="str">
        <f aca="false">IF(C2890="","",INDEX(Akaun!$F$5:$F$150,MATCH(C2890,Akaun!$A$5:$A$150,0)))</f>
        <v/>
      </c>
      <c r="H2890" s="1" t="str">
        <f aca="false">IF(C2890="","",INDEX(Akaun!$D$5:$D$150,MATCH(C2890,Akaun!$A$5:$A$150,0)))</f>
        <v/>
      </c>
    </row>
    <row r="2891" customFormat="false" ht="15" hidden="false" customHeight="true" outlineLevel="0" collapsed="false">
      <c r="G2891" s="1" t="str">
        <f aca="false">IF(C2891="","",INDEX(Akaun!$F$5:$F$150,MATCH(C2891,Akaun!$A$5:$A$150,0)))</f>
        <v/>
      </c>
      <c r="H2891" s="1" t="str">
        <f aca="false">IF(C2891="","",INDEX(Akaun!$D$5:$D$150,MATCH(C2891,Akaun!$A$5:$A$150,0)))</f>
        <v/>
      </c>
    </row>
    <row r="2892" customFormat="false" ht="15" hidden="false" customHeight="true" outlineLevel="0" collapsed="false">
      <c r="G2892" s="1" t="str">
        <f aca="false">IF(C2892="","",INDEX(Akaun!$F$5:$F$150,MATCH(C2892,Akaun!$A$5:$A$150,0)))</f>
        <v/>
      </c>
      <c r="H2892" s="1" t="str">
        <f aca="false">IF(C2892="","",INDEX(Akaun!$D$5:$D$150,MATCH(C2892,Akaun!$A$5:$A$150,0)))</f>
        <v/>
      </c>
    </row>
    <row r="2893" customFormat="false" ht="15" hidden="false" customHeight="true" outlineLevel="0" collapsed="false">
      <c r="G2893" s="1" t="str">
        <f aca="false">IF(C2893="","",INDEX(Akaun!$F$5:$F$150,MATCH(C2893,Akaun!$A$5:$A$150,0)))</f>
        <v/>
      </c>
      <c r="H2893" s="1" t="str">
        <f aca="false">IF(C2893="","",INDEX(Akaun!$D$5:$D$150,MATCH(C2893,Akaun!$A$5:$A$150,0)))</f>
        <v/>
      </c>
    </row>
    <row r="2894" customFormat="false" ht="15" hidden="false" customHeight="true" outlineLevel="0" collapsed="false">
      <c r="G2894" s="1" t="str">
        <f aca="false">IF(C2894="","",INDEX(Akaun!$F$5:$F$150,MATCH(C2894,Akaun!$A$5:$A$150,0)))</f>
        <v/>
      </c>
      <c r="H2894" s="1" t="str">
        <f aca="false">IF(C2894="","",INDEX(Akaun!$D$5:$D$150,MATCH(C2894,Akaun!$A$5:$A$150,0)))</f>
        <v/>
      </c>
    </row>
    <row r="2895" customFormat="false" ht="15" hidden="false" customHeight="true" outlineLevel="0" collapsed="false">
      <c r="G2895" s="1" t="str">
        <f aca="false">IF(C2895="","",INDEX(Akaun!$F$5:$F$150,MATCH(C2895,Akaun!$A$5:$A$150,0)))</f>
        <v/>
      </c>
      <c r="H2895" s="1" t="str">
        <f aca="false">IF(C2895="","",INDEX(Akaun!$D$5:$D$150,MATCH(C2895,Akaun!$A$5:$A$150,0)))</f>
        <v/>
      </c>
    </row>
    <row r="2896" customFormat="false" ht="15" hidden="false" customHeight="true" outlineLevel="0" collapsed="false">
      <c r="G2896" s="1" t="str">
        <f aca="false">IF(C2896="","",INDEX(Akaun!$F$5:$F$150,MATCH(C2896,Akaun!$A$5:$A$150,0)))</f>
        <v/>
      </c>
      <c r="H2896" s="1" t="str">
        <f aca="false">IF(C2896="","",INDEX(Akaun!$D$5:$D$150,MATCH(C2896,Akaun!$A$5:$A$150,0)))</f>
        <v/>
      </c>
    </row>
    <row r="2897" customFormat="false" ht="15" hidden="false" customHeight="true" outlineLevel="0" collapsed="false">
      <c r="G2897" s="1" t="str">
        <f aca="false">IF(C2897="","",INDEX(Akaun!$F$5:$F$150,MATCH(C2897,Akaun!$A$5:$A$150,0)))</f>
        <v/>
      </c>
      <c r="H2897" s="1" t="str">
        <f aca="false">IF(C2897="","",INDEX(Akaun!$D$5:$D$150,MATCH(C2897,Akaun!$A$5:$A$150,0)))</f>
        <v/>
      </c>
    </row>
    <row r="2898" customFormat="false" ht="15" hidden="false" customHeight="true" outlineLevel="0" collapsed="false">
      <c r="G2898" s="1" t="str">
        <f aca="false">IF(C2898="","",INDEX(Akaun!$F$5:$F$150,MATCH(C2898,Akaun!$A$5:$A$150,0)))</f>
        <v/>
      </c>
      <c r="H2898" s="1" t="str">
        <f aca="false">IF(C2898="","",INDEX(Akaun!$D$5:$D$150,MATCH(C2898,Akaun!$A$5:$A$150,0)))</f>
        <v/>
      </c>
    </row>
    <row r="2899" customFormat="false" ht="15" hidden="false" customHeight="true" outlineLevel="0" collapsed="false">
      <c r="G2899" s="1" t="str">
        <f aca="false">IF(C2899="","",INDEX(Akaun!$F$5:$F$150,MATCH(C2899,Akaun!$A$5:$A$150,0)))</f>
        <v/>
      </c>
      <c r="H2899" s="1" t="str">
        <f aca="false">IF(C2899="","",INDEX(Akaun!$D$5:$D$150,MATCH(C2899,Akaun!$A$5:$A$150,0)))</f>
        <v/>
      </c>
    </row>
    <row r="2900" customFormat="false" ht="15" hidden="false" customHeight="true" outlineLevel="0" collapsed="false">
      <c r="G2900" s="1" t="str">
        <f aca="false">IF(C2900="","",INDEX(Akaun!$F$5:$F$150,MATCH(C2900,Akaun!$A$5:$A$150,0)))</f>
        <v/>
      </c>
      <c r="H2900" s="1" t="str">
        <f aca="false">IF(C2900="","",INDEX(Akaun!$D$5:$D$150,MATCH(C2900,Akaun!$A$5:$A$150,0)))</f>
        <v/>
      </c>
    </row>
    <row r="2901" customFormat="false" ht="15" hidden="false" customHeight="true" outlineLevel="0" collapsed="false">
      <c r="G2901" s="1" t="str">
        <f aca="false">IF(C2901="","",INDEX(Akaun!$F$5:$F$150,MATCH(C2901,Akaun!$A$5:$A$150,0)))</f>
        <v/>
      </c>
      <c r="H2901" s="1" t="str">
        <f aca="false">IF(C2901="","",INDEX(Akaun!$D$5:$D$150,MATCH(C2901,Akaun!$A$5:$A$150,0)))</f>
        <v/>
      </c>
    </row>
    <row r="2902" customFormat="false" ht="15" hidden="false" customHeight="true" outlineLevel="0" collapsed="false">
      <c r="G2902" s="1" t="str">
        <f aca="false">IF(C2902="","",INDEX(Akaun!$F$5:$F$150,MATCH(C2902,Akaun!$A$5:$A$150,0)))</f>
        <v/>
      </c>
      <c r="H2902" s="1" t="str">
        <f aca="false">IF(C2902="","",INDEX(Akaun!$D$5:$D$150,MATCH(C2902,Akaun!$A$5:$A$150,0)))</f>
        <v/>
      </c>
    </row>
    <row r="2903" customFormat="false" ht="15" hidden="false" customHeight="true" outlineLevel="0" collapsed="false">
      <c r="G2903" s="1" t="str">
        <f aca="false">IF(C2903="","",INDEX(Akaun!$F$5:$F$150,MATCH(C2903,Akaun!$A$5:$A$150,0)))</f>
        <v/>
      </c>
      <c r="H2903" s="1" t="str">
        <f aca="false">IF(C2903="","",INDEX(Akaun!$D$5:$D$150,MATCH(C2903,Akaun!$A$5:$A$150,0)))</f>
        <v/>
      </c>
    </row>
    <row r="2904" customFormat="false" ht="15" hidden="false" customHeight="true" outlineLevel="0" collapsed="false">
      <c r="G2904" s="1" t="str">
        <f aca="false">IF(C2904="","",INDEX(Akaun!$F$5:$F$150,MATCH(C2904,Akaun!$A$5:$A$150,0)))</f>
        <v/>
      </c>
      <c r="H2904" s="1" t="str">
        <f aca="false">IF(C2904="","",INDEX(Akaun!$D$5:$D$150,MATCH(C2904,Akaun!$A$5:$A$150,0)))</f>
        <v/>
      </c>
    </row>
    <row r="2905" customFormat="false" ht="15" hidden="false" customHeight="true" outlineLevel="0" collapsed="false">
      <c r="G2905" s="1" t="str">
        <f aca="false">IF(C2905="","",INDEX(Akaun!$F$5:$F$150,MATCH(C2905,Akaun!$A$5:$A$150,0)))</f>
        <v/>
      </c>
      <c r="H2905" s="1" t="str">
        <f aca="false">IF(C2905="","",INDEX(Akaun!$D$5:$D$150,MATCH(C2905,Akaun!$A$5:$A$150,0)))</f>
        <v/>
      </c>
    </row>
    <row r="2906" customFormat="false" ht="15" hidden="false" customHeight="true" outlineLevel="0" collapsed="false">
      <c r="G2906" s="1" t="str">
        <f aca="false">IF(C2906="","",INDEX(Akaun!$F$5:$F$150,MATCH(C2906,Akaun!$A$5:$A$150,0)))</f>
        <v/>
      </c>
      <c r="H2906" s="1" t="str">
        <f aca="false">IF(C2906="","",INDEX(Akaun!$D$5:$D$150,MATCH(C2906,Akaun!$A$5:$A$150,0)))</f>
        <v/>
      </c>
    </row>
    <row r="2907" customFormat="false" ht="15" hidden="false" customHeight="true" outlineLevel="0" collapsed="false">
      <c r="G2907" s="1" t="str">
        <f aca="false">IF(C2907="","",INDEX(Akaun!$F$5:$F$150,MATCH(C2907,Akaun!$A$5:$A$150,0)))</f>
        <v/>
      </c>
      <c r="H2907" s="1" t="str">
        <f aca="false">IF(C2907="","",INDEX(Akaun!$D$5:$D$150,MATCH(C2907,Akaun!$A$5:$A$150,0)))</f>
        <v/>
      </c>
    </row>
    <row r="2908" customFormat="false" ht="15" hidden="false" customHeight="true" outlineLevel="0" collapsed="false">
      <c r="G2908" s="1" t="str">
        <f aca="false">IF(C2908="","",INDEX(Akaun!$F$5:$F$150,MATCH(C2908,Akaun!$A$5:$A$150,0)))</f>
        <v/>
      </c>
      <c r="H2908" s="1" t="str">
        <f aca="false">IF(C2908="","",INDEX(Akaun!$D$5:$D$150,MATCH(C2908,Akaun!$A$5:$A$150,0)))</f>
        <v/>
      </c>
    </row>
    <row r="2909" customFormat="false" ht="15" hidden="false" customHeight="true" outlineLevel="0" collapsed="false">
      <c r="G2909" s="1" t="str">
        <f aca="false">IF(C2909="","",INDEX(Akaun!$F$5:$F$150,MATCH(C2909,Akaun!$A$5:$A$150,0)))</f>
        <v/>
      </c>
      <c r="H2909" s="1" t="str">
        <f aca="false">IF(C2909="","",INDEX(Akaun!$D$5:$D$150,MATCH(C2909,Akaun!$A$5:$A$150,0)))</f>
        <v/>
      </c>
    </row>
    <row r="2910" customFormat="false" ht="15" hidden="false" customHeight="true" outlineLevel="0" collapsed="false">
      <c r="G2910" s="1" t="str">
        <f aca="false">IF(C2910="","",INDEX(Akaun!$F$5:$F$150,MATCH(C2910,Akaun!$A$5:$A$150,0)))</f>
        <v/>
      </c>
      <c r="H2910" s="1" t="str">
        <f aca="false">IF(C2910="","",INDEX(Akaun!$D$5:$D$150,MATCH(C2910,Akaun!$A$5:$A$150,0)))</f>
        <v/>
      </c>
    </row>
    <row r="2911" customFormat="false" ht="15" hidden="false" customHeight="true" outlineLevel="0" collapsed="false">
      <c r="G2911" s="1" t="str">
        <f aca="false">IF(C2911="","",INDEX(Akaun!$F$5:$F$150,MATCH(C2911,Akaun!$A$5:$A$150,0)))</f>
        <v/>
      </c>
      <c r="H2911" s="1" t="str">
        <f aca="false">IF(C2911="","",INDEX(Akaun!$D$5:$D$150,MATCH(C2911,Akaun!$A$5:$A$150,0)))</f>
        <v/>
      </c>
    </row>
    <row r="2912" customFormat="false" ht="15" hidden="false" customHeight="true" outlineLevel="0" collapsed="false">
      <c r="G2912" s="1" t="str">
        <f aca="false">IF(C2912="","",INDEX(Akaun!$F$5:$F$150,MATCH(C2912,Akaun!$A$5:$A$150,0)))</f>
        <v/>
      </c>
      <c r="H2912" s="1" t="str">
        <f aca="false">IF(C2912="","",INDEX(Akaun!$D$5:$D$150,MATCH(C2912,Akaun!$A$5:$A$150,0)))</f>
        <v/>
      </c>
    </row>
    <row r="2913" customFormat="false" ht="15" hidden="false" customHeight="true" outlineLevel="0" collapsed="false">
      <c r="G2913" s="1" t="str">
        <f aca="false">IF(C2913="","",INDEX(Akaun!$F$5:$F$150,MATCH(C2913,Akaun!$A$5:$A$150,0)))</f>
        <v/>
      </c>
      <c r="H2913" s="1" t="str">
        <f aca="false">IF(C2913="","",INDEX(Akaun!$D$5:$D$150,MATCH(C2913,Akaun!$A$5:$A$150,0)))</f>
        <v/>
      </c>
    </row>
    <row r="2914" customFormat="false" ht="15" hidden="false" customHeight="true" outlineLevel="0" collapsed="false">
      <c r="G2914" s="1" t="str">
        <f aca="false">IF(C2914="","",INDEX(Akaun!$F$5:$F$150,MATCH(C2914,Akaun!$A$5:$A$150,0)))</f>
        <v/>
      </c>
      <c r="H2914" s="1" t="str">
        <f aca="false">IF(C2914="","",INDEX(Akaun!$D$5:$D$150,MATCH(C2914,Akaun!$A$5:$A$150,0)))</f>
        <v/>
      </c>
    </row>
    <row r="2915" customFormat="false" ht="15" hidden="false" customHeight="true" outlineLevel="0" collapsed="false">
      <c r="G2915" s="1" t="str">
        <f aca="false">IF(C2915="","",INDEX(Akaun!$F$5:$F$150,MATCH(C2915,Akaun!$A$5:$A$150,0)))</f>
        <v/>
      </c>
      <c r="H2915" s="1" t="str">
        <f aca="false">IF(C2915="","",INDEX(Akaun!$D$5:$D$150,MATCH(C2915,Akaun!$A$5:$A$150,0)))</f>
        <v/>
      </c>
    </row>
    <row r="2916" customFormat="false" ht="15" hidden="false" customHeight="true" outlineLevel="0" collapsed="false">
      <c r="G2916" s="1" t="str">
        <f aca="false">IF(C2916="","",INDEX(Akaun!$F$5:$F$150,MATCH(C2916,Akaun!$A$5:$A$150,0)))</f>
        <v/>
      </c>
      <c r="H2916" s="1" t="str">
        <f aca="false">IF(C2916="","",INDEX(Akaun!$D$5:$D$150,MATCH(C2916,Akaun!$A$5:$A$150,0)))</f>
        <v/>
      </c>
    </row>
    <row r="2917" customFormat="false" ht="15" hidden="false" customHeight="true" outlineLevel="0" collapsed="false">
      <c r="G2917" s="1" t="str">
        <f aca="false">IF(C2917="","",INDEX(Akaun!$F$5:$F$150,MATCH(C2917,Akaun!$A$5:$A$150,0)))</f>
        <v/>
      </c>
      <c r="H2917" s="1" t="str">
        <f aca="false">IF(C2917="","",INDEX(Akaun!$D$5:$D$150,MATCH(C2917,Akaun!$A$5:$A$150,0)))</f>
        <v/>
      </c>
    </row>
    <row r="2918" customFormat="false" ht="15" hidden="false" customHeight="true" outlineLevel="0" collapsed="false">
      <c r="G2918" s="1" t="str">
        <f aca="false">IF(C2918="","",INDEX(Akaun!$F$5:$F$150,MATCH(C2918,Akaun!$A$5:$A$150,0)))</f>
        <v/>
      </c>
      <c r="H2918" s="1" t="str">
        <f aca="false">IF(C2918="","",INDEX(Akaun!$D$5:$D$150,MATCH(C2918,Akaun!$A$5:$A$150,0)))</f>
        <v/>
      </c>
    </row>
    <row r="2919" customFormat="false" ht="15" hidden="false" customHeight="true" outlineLevel="0" collapsed="false">
      <c r="G2919" s="1" t="str">
        <f aca="false">IF(C2919="","",INDEX(Akaun!$F$5:$F$150,MATCH(C2919,Akaun!$A$5:$A$150,0)))</f>
        <v/>
      </c>
      <c r="H2919" s="1" t="str">
        <f aca="false">IF(C2919="","",INDEX(Akaun!$D$5:$D$150,MATCH(C2919,Akaun!$A$5:$A$150,0)))</f>
        <v/>
      </c>
    </row>
    <row r="2920" customFormat="false" ht="15" hidden="false" customHeight="true" outlineLevel="0" collapsed="false">
      <c r="G2920" s="1" t="str">
        <f aca="false">IF(C2920="","",INDEX(Akaun!$F$5:$F$150,MATCH(C2920,Akaun!$A$5:$A$150,0)))</f>
        <v/>
      </c>
      <c r="H2920" s="1" t="str">
        <f aca="false">IF(C2920="","",INDEX(Akaun!$D$5:$D$150,MATCH(C2920,Akaun!$A$5:$A$150,0)))</f>
        <v/>
      </c>
    </row>
    <row r="2921" customFormat="false" ht="15" hidden="false" customHeight="true" outlineLevel="0" collapsed="false">
      <c r="G2921" s="1" t="str">
        <f aca="false">IF(C2921="","",INDEX(Akaun!$F$5:$F$150,MATCH(C2921,Akaun!$A$5:$A$150,0)))</f>
        <v/>
      </c>
      <c r="H2921" s="1" t="str">
        <f aca="false">IF(C2921="","",INDEX(Akaun!$D$5:$D$150,MATCH(C2921,Akaun!$A$5:$A$150,0)))</f>
        <v/>
      </c>
    </row>
    <row r="2922" customFormat="false" ht="15" hidden="false" customHeight="true" outlineLevel="0" collapsed="false">
      <c r="G2922" s="1" t="str">
        <f aca="false">IF(C2922="","",INDEX(Akaun!$F$5:$F$150,MATCH(C2922,Akaun!$A$5:$A$150,0)))</f>
        <v/>
      </c>
      <c r="H2922" s="1" t="str">
        <f aca="false">IF(C2922="","",INDEX(Akaun!$D$5:$D$150,MATCH(C2922,Akaun!$A$5:$A$150,0)))</f>
        <v/>
      </c>
    </row>
    <row r="2923" customFormat="false" ht="15" hidden="false" customHeight="true" outlineLevel="0" collapsed="false">
      <c r="G2923" s="1" t="str">
        <f aca="false">IF(C2923="","",INDEX(Akaun!$F$5:$F$150,MATCH(C2923,Akaun!$A$5:$A$150,0)))</f>
        <v/>
      </c>
      <c r="H2923" s="1" t="str">
        <f aca="false">IF(C2923="","",INDEX(Akaun!$D$5:$D$150,MATCH(C2923,Akaun!$A$5:$A$150,0)))</f>
        <v/>
      </c>
    </row>
    <row r="2924" customFormat="false" ht="15" hidden="false" customHeight="true" outlineLevel="0" collapsed="false">
      <c r="G2924" s="1" t="str">
        <f aca="false">IF(C2924="","",INDEX(Akaun!$F$5:$F$150,MATCH(C2924,Akaun!$A$5:$A$150,0)))</f>
        <v/>
      </c>
      <c r="H2924" s="1" t="str">
        <f aca="false">IF(C2924="","",INDEX(Akaun!$D$5:$D$150,MATCH(C2924,Akaun!$A$5:$A$150,0)))</f>
        <v/>
      </c>
    </row>
    <row r="2925" customFormat="false" ht="15" hidden="false" customHeight="true" outlineLevel="0" collapsed="false">
      <c r="G2925" s="1" t="str">
        <f aca="false">IF(C2925="","",INDEX(Akaun!$F$5:$F$150,MATCH(C2925,Akaun!$A$5:$A$150,0)))</f>
        <v/>
      </c>
      <c r="H2925" s="1" t="str">
        <f aca="false">IF(C2925="","",INDEX(Akaun!$D$5:$D$150,MATCH(C2925,Akaun!$A$5:$A$150,0)))</f>
        <v/>
      </c>
    </row>
    <row r="2926" customFormat="false" ht="15" hidden="false" customHeight="true" outlineLevel="0" collapsed="false">
      <c r="G2926" s="1" t="str">
        <f aca="false">IF(C2926="","",INDEX(Akaun!$F$5:$F$150,MATCH(C2926,Akaun!$A$5:$A$150,0)))</f>
        <v/>
      </c>
      <c r="H2926" s="1" t="str">
        <f aca="false">IF(C2926="","",INDEX(Akaun!$D$5:$D$150,MATCH(C2926,Akaun!$A$5:$A$150,0)))</f>
        <v/>
      </c>
    </row>
    <row r="2927" customFormat="false" ht="15" hidden="false" customHeight="true" outlineLevel="0" collapsed="false">
      <c r="G2927" s="1" t="str">
        <f aca="false">IF(C2927="","",INDEX(Akaun!$F$5:$F$150,MATCH(C2927,Akaun!$A$5:$A$150,0)))</f>
        <v/>
      </c>
      <c r="H2927" s="1" t="str">
        <f aca="false">IF(C2927="","",INDEX(Akaun!$D$5:$D$150,MATCH(C2927,Akaun!$A$5:$A$150,0)))</f>
        <v/>
      </c>
    </row>
    <row r="2928" customFormat="false" ht="15" hidden="false" customHeight="true" outlineLevel="0" collapsed="false">
      <c r="G2928" s="1" t="str">
        <f aca="false">IF(C2928="","",INDEX(Akaun!$F$5:$F$150,MATCH(C2928,Akaun!$A$5:$A$150,0)))</f>
        <v/>
      </c>
      <c r="H2928" s="1" t="str">
        <f aca="false">IF(C2928="","",INDEX(Akaun!$D$5:$D$150,MATCH(C2928,Akaun!$A$5:$A$150,0)))</f>
        <v/>
      </c>
    </row>
    <row r="2929" customFormat="false" ht="15" hidden="false" customHeight="true" outlineLevel="0" collapsed="false">
      <c r="G2929" s="1" t="str">
        <f aca="false">IF(C2929="","",INDEX(Akaun!$F$5:$F$150,MATCH(C2929,Akaun!$A$5:$A$150,0)))</f>
        <v/>
      </c>
      <c r="H2929" s="1" t="str">
        <f aca="false">IF(C2929="","",INDEX(Akaun!$D$5:$D$150,MATCH(C2929,Akaun!$A$5:$A$150,0)))</f>
        <v/>
      </c>
    </row>
    <row r="2930" customFormat="false" ht="15" hidden="false" customHeight="true" outlineLevel="0" collapsed="false">
      <c r="G2930" s="1" t="str">
        <f aca="false">IF(C2930="","",INDEX(Akaun!$F$5:$F$150,MATCH(C2930,Akaun!$A$5:$A$150,0)))</f>
        <v/>
      </c>
      <c r="H2930" s="1" t="str">
        <f aca="false">IF(C2930="","",INDEX(Akaun!$D$5:$D$150,MATCH(C2930,Akaun!$A$5:$A$150,0)))</f>
        <v/>
      </c>
    </row>
    <row r="2931" customFormat="false" ht="15" hidden="false" customHeight="true" outlineLevel="0" collapsed="false">
      <c r="G2931" s="1" t="str">
        <f aca="false">IF(C2931="","",INDEX(Akaun!$F$5:$F$150,MATCH(C2931,Akaun!$A$5:$A$150,0)))</f>
        <v/>
      </c>
      <c r="H2931" s="1" t="str">
        <f aca="false">IF(C2931="","",INDEX(Akaun!$D$5:$D$150,MATCH(C2931,Akaun!$A$5:$A$150,0)))</f>
        <v/>
      </c>
    </row>
    <row r="2932" customFormat="false" ht="15" hidden="false" customHeight="true" outlineLevel="0" collapsed="false">
      <c r="G2932" s="1" t="str">
        <f aca="false">IF(C2932="","",INDEX(Akaun!$F$5:$F$150,MATCH(C2932,Akaun!$A$5:$A$150,0)))</f>
        <v/>
      </c>
      <c r="H2932" s="1" t="str">
        <f aca="false">IF(C2932="","",INDEX(Akaun!$D$5:$D$150,MATCH(C2932,Akaun!$A$5:$A$150,0)))</f>
        <v/>
      </c>
    </row>
    <row r="2933" customFormat="false" ht="15" hidden="false" customHeight="true" outlineLevel="0" collapsed="false">
      <c r="G2933" s="1" t="str">
        <f aca="false">IF(C2933="","",INDEX(Akaun!$F$5:$F$150,MATCH(C2933,Akaun!$A$5:$A$150,0)))</f>
        <v/>
      </c>
      <c r="H2933" s="1" t="str">
        <f aca="false">IF(C2933="","",INDEX(Akaun!$D$5:$D$150,MATCH(C2933,Akaun!$A$5:$A$150,0)))</f>
        <v/>
      </c>
    </row>
    <row r="2934" customFormat="false" ht="15" hidden="false" customHeight="true" outlineLevel="0" collapsed="false">
      <c r="G2934" s="1" t="str">
        <f aca="false">IF(C2934="","",INDEX(Akaun!$F$5:$F$150,MATCH(C2934,Akaun!$A$5:$A$150,0)))</f>
        <v/>
      </c>
      <c r="H2934" s="1" t="str">
        <f aca="false">IF(C2934="","",INDEX(Akaun!$D$5:$D$150,MATCH(C2934,Akaun!$A$5:$A$150,0)))</f>
        <v/>
      </c>
    </row>
    <row r="2935" customFormat="false" ht="15" hidden="false" customHeight="true" outlineLevel="0" collapsed="false">
      <c r="G2935" s="1" t="str">
        <f aca="false">IF(C2935="","",INDEX(Akaun!$F$5:$F$150,MATCH(C2935,Akaun!$A$5:$A$150,0)))</f>
        <v/>
      </c>
      <c r="H2935" s="1" t="str">
        <f aca="false">IF(C2935="","",INDEX(Akaun!$D$5:$D$150,MATCH(C2935,Akaun!$A$5:$A$150,0)))</f>
        <v/>
      </c>
    </row>
    <row r="2936" customFormat="false" ht="15" hidden="false" customHeight="true" outlineLevel="0" collapsed="false">
      <c r="G2936" s="1" t="str">
        <f aca="false">IF(C2936="","",INDEX(Akaun!$F$5:$F$150,MATCH(C2936,Akaun!$A$5:$A$150,0)))</f>
        <v/>
      </c>
      <c r="H2936" s="1" t="str">
        <f aca="false">IF(C2936="","",INDEX(Akaun!$D$5:$D$150,MATCH(C2936,Akaun!$A$5:$A$150,0)))</f>
        <v/>
      </c>
    </row>
    <row r="2937" customFormat="false" ht="15" hidden="false" customHeight="true" outlineLevel="0" collapsed="false">
      <c r="G2937" s="1" t="str">
        <f aca="false">IF(C2937="","",INDEX(Akaun!$F$5:$F$150,MATCH(C2937,Akaun!$A$5:$A$150,0)))</f>
        <v/>
      </c>
      <c r="H2937" s="1" t="str">
        <f aca="false">IF(C2937="","",INDEX(Akaun!$D$5:$D$150,MATCH(C2937,Akaun!$A$5:$A$150,0)))</f>
        <v/>
      </c>
    </row>
    <row r="2938" customFormat="false" ht="15" hidden="false" customHeight="true" outlineLevel="0" collapsed="false">
      <c r="G2938" s="1" t="str">
        <f aca="false">IF(C2938="","",INDEX(Akaun!$F$5:$F$150,MATCH(C2938,Akaun!$A$5:$A$150,0)))</f>
        <v/>
      </c>
      <c r="H2938" s="1" t="str">
        <f aca="false">IF(C2938="","",INDEX(Akaun!$D$5:$D$150,MATCH(C2938,Akaun!$A$5:$A$150,0)))</f>
        <v/>
      </c>
    </row>
    <row r="2939" customFormat="false" ht="15" hidden="false" customHeight="true" outlineLevel="0" collapsed="false">
      <c r="G2939" s="1" t="str">
        <f aca="false">IF(C2939="","",INDEX(Akaun!$F$5:$F$150,MATCH(C2939,Akaun!$A$5:$A$150,0)))</f>
        <v/>
      </c>
      <c r="H2939" s="1" t="str">
        <f aca="false">IF(C2939="","",INDEX(Akaun!$D$5:$D$150,MATCH(C2939,Akaun!$A$5:$A$150,0)))</f>
        <v/>
      </c>
    </row>
    <row r="2940" customFormat="false" ht="15" hidden="false" customHeight="true" outlineLevel="0" collapsed="false">
      <c r="G2940" s="1" t="str">
        <f aca="false">IF(C2940="","",INDEX(Akaun!$F$5:$F$150,MATCH(C2940,Akaun!$A$5:$A$150,0)))</f>
        <v/>
      </c>
      <c r="H2940" s="1" t="str">
        <f aca="false">IF(C2940="","",INDEX(Akaun!$D$5:$D$150,MATCH(C2940,Akaun!$A$5:$A$150,0)))</f>
        <v/>
      </c>
    </row>
    <row r="2941" customFormat="false" ht="15" hidden="false" customHeight="true" outlineLevel="0" collapsed="false">
      <c r="G2941" s="1" t="str">
        <f aca="false">IF(C2941="","",INDEX(Akaun!$F$5:$F$150,MATCH(C2941,Akaun!$A$5:$A$150,0)))</f>
        <v/>
      </c>
      <c r="H2941" s="1" t="str">
        <f aca="false">IF(C2941="","",INDEX(Akaun!$D$5:$D$150,MATCH(C2941,Akaun!$A$5:$A$150,0)))</f>
        <v/>
      </c>
    </row>
    <row r="2942" customFormat="false" ht="15" hidden="false" customHeight="true" outlineLevel="0" collapsed="false">
      <c r="G2942" s="1" t="str">
        <f aca="false">IF(C2942="","",INDEX(Akaun!$F$5:$F$150,MATCH(C2942,Akaun!$A$5:$A$150,0)))</f>
        <v/>
      </c>
      <c r="H2942" s="1" t="str">
        <f aca="false">IF(C2942="","",INDEX(Akaun!$D$5:$D$150,MATCH(C2942,Akaun!$A$5:$A$150,0)))</f>
        <v/>
      </c>
    </row>
    <row r="2943" customFormat="false" ht="15" hidden="false" customHeight="true" outlineLevel="0" collapsed="false">
      <c r="G2943" s="1" t="str">
        <f aca="false">IF(C2943="","",INDEX(Akaun!$F$5:$F$150,MATCH(C2943,Akaun!$A$5:$A$150,0)))</f>
        <v/>
      </c>
      <c r="H2943" s="1" t="str">
        <f aca="false">IF(C2943="","",INDEX(Akaun!$D$5:$D$150,MATCH(C2943,Akaun!$A$5:$A$150,0)))</f>
        <v/>
      </c>
    </row>
    <row r="2944" customFormat="false" ht="15" hidden="false" customHeight="true" outlineLevel="0" collapsed="false">
      <c r="G2944" s="1" t="str">
        <f aca="false">IF(C2944="","",INDEX(Akaun!$F$5:$F$150,MATCH(C2944,Akaun!$A$5:$A$150,0)))</f>
        <v/>
      </c>
      <c r="H2944" s="1" t="str">
        <f aca="false">IF(C2944="","",INDEX(Akaun!$D$5:$D$150,MATCH(C2944,Akaun!$A$5:$A$150,0)))</f>
        <v/>
      </c>
    </row>
    <row r="2945" customFormat="false" ht="15" hidden="false" customHeight="true" outlineLevel="0" collapsed="false">
      <c r="G2945" s="1" t="str">
        <f aca="false">IF(C2945="","",INDEX(Akaun!$F$5:$F$150,MATCH(C2945,Akaun!$A$5:$A$150,0)))</f>
        <v/>
      </c>
      <c r="H2945" s="1" t="str">
        <f aca="false">IF(C2945="","",INDEX(Akaun!$D$5:$D$150,MATCH(C2945,Akaun!$A$5:$A$150,0)))</f>
        <v/>
      </c>
    </row>
    <row r="2946" customFormat="false" ht="15" hidden="false" customHeight="true" outlineLevel="0" collapsed="false">
      <c r="G2946" s="1" t="str">
        <f aca="false">IF(C2946="","",INDEX(Akaun!$F$5:$F$150,MATCH(C2946,Akaun!$A$5:$A$150,0)))</f>
        <v/>
      </c>
      <c r="H2946" s="1" t="str">
        <f aca="false">IF(C2946="","",INDEX(Akaun!$D$5:$D$150,MATCH(C2946,Akaun!$A$5:$A$150,0)))</f>
        <v/>
      </c>
    </row>
    <row r="2947" customFormat="false" ht="15" hidden="false" customHeight="true" outlineLevel="0" collapsed="false">
      <c r="G2947" s="1" t="str">
        <f aca="false">IF(C2947="","",INDEX(Akaun!$F$5:$F$150,MATCH(C2947,Akaun!$A$5:$A$150,0)))</f>
        <v/>
      </c>
      <c r="H2947" s="1" t="str">
        <f aca="false">IF(C2947="","",INDEX(Akaun!$D$5:$D$150,MATCH(C2947,Akaun!$A$5:$A$150,0)))</f>
        <v/>
      </c>
    </row>
    <row r="2948" customFormat="false" ht="15" hidden="false" customHeight="true" outlineLevel="0" collapsed="false">
      <c r="G2948" s="1" t="str">
        <f aca="false">IF(C2948="","",INDEX(Akaun!$F$5:$F$150,MATCH(C2948,Akaun!$A$5:$A$150,0)))</f>
        <v/>
      </c>
      <c r="H2948" s="1" t="str">
        <f aca="false">IF(C2948="","",INDEX(Akaun!$D$5:$D$150,MATCH(C2948,Akaun!$A$5:$A$150,0)))</f>
        <v/>
      </c>
    </row>
    <row r="2949" customFormat="false" ht="15" hidden="false" customHeight="true" outlineLevel="0" collapsed="false">
      <c r="G2949" s="1" t="str">
        <f aca="false">IF(C2949="","",INDEX(Akaun!$F$5:$F$150,MATCH(C2949,Akaun!$A$5:$A$150,0)))</f>
        <v/>
      </c>
      <c r="H2949" s="1" t="str">
        <f aca="false">IF(C2949="","",INDEX(Akaun!$D$5:$D$150,MATCH(C2949,Akaun!$A$5:$A$150,0)))</f>
        <v/>
      </c>
    </row>
    <row r="2950" customFormat="false" ht="15" hidden="false" customHeight="true" outlineLevel="0" collapsed="false">
      <c r="G2950" s="1" t="str">
        <f aca="false">IF(C2950="","",INDEX(Akaun!$F$5:$F$150,MATCH(C2950,Akaun!$A$5:$A$150,0)))</f>
        <v/>
      </c>
      <c r="H2950" s="1" t="str">
        <f aca="false">IF(C2950="","",INDEX(Akaun!$D$5:$D$150,MATCH(C2950,Akaun!$A$5:$A$150,0)))</f>
        <v/>
      </c>
    </row>
    <row r="2951" customFormat="false" ht="15" hidden="false" customHeight="true" outlineLevel="0" collapsed="false">
      <c r="G2951" s="1" t="str">
        <f aca="false">IF(C2951="","",INDEX(Akaun!$F$5:$F$150,MATCH(C2951,Akaun!$A$5:$A$150,0)))</f>
        <v/>
      </c>
      <c r="H2951" s="1" t="str">
        <f aca="false">IF(C2951="","",INDEX(Akaun!$D$5:$D$150,MATCH(C2951,Akaun!$A$5:$A$150,0)))</f>
        <v/>
      </c>
    </row>
    <row r="2952" customFormat="false" ht="15" hidden="false" customHeight="true" outlineLevel="0" collapsed="false">
      <c r="G2952" s="1" t="str">
        <f aca="false">IF(C2952="","",INDEX(Akaun!$F$5:$F$150,MATCH(C2952,Akaun!$A$5:$A$150,0)))</f>
        <v/>
      </c>
      <c r="H2952" s="1" t="str">
        <f aca="false">IF(C2952="","",INDEX(Akaun!$D$5:$D$150,MATCH(C2952,Akaun!$A$5:$A$150,0)))</f>
        <v/>
      </c>
    </row>
    <row r="2953" customFormat="false" ht="15" hidden="false" customHeight="true" outlineLevel="0" collapsed="false">
      <c r="G2953" s="1" t="str">
        <f aca="false">IF(C2953="","",INDEX(Akaun!$F$5:$F$150,MATCH(C2953,Akaun!$A$5:$A$150,0)))</f>
        <v/>
      </c>
      <c r="H2953" s="1" t="str">
        <f aca="false">IF(C2953="","",INDEX(Akaun!$D$5:$D$150,MATCH(C2953,Akaun!$A$5:$A$150,0)))</f>
        <v/>
      </c>
    </row>
    <row r="2954" customFormat="false" ht="15" hidden="false" customHeight="true" outlineLevel="0" collapsed="false">
      <c r="G2954" s="1" t="str">
        <f aca="false">IF(C2954="","",INDEX(Akaun!$F$5:$F$150,MATCH(C2954,Akaun!$A$5:$A$150,0)))</f>
        <v/>
      </c>
      <c r="H2954" s="1" t="str">
        <f aca="false">IF(C2954="","",INDEX(Akaun!$D$5:$D$150,MATCH(C2954,Akaun!$A$5:$A$150,0)))</f>
        <v/>
      </c>
    </row>
    <row r="2955" customFormat="false" ht="15" hidden="false" customHeight="true" outlineLevel="0" collapsed="false">
      <c r="G2955" s="1" t="str">
        <f aca="false">IF(C2955="","",INDEX(Akaun!$F$5:$F$150,MATCH(C2955,Akaun!$A$5:$A$150,0)))</f>
        <v/>
      </c>
      <c r="H2955" s="1" t="str">
        <f aca="false">IF(C2955="","",INDEX(Akaun!$D$5:$D$150,MATCH(C2955,Akaun!$A$5:$A$150,0)))</f>
        <v/>
      </c>
    </row>
    <row r="2956" customFormat="false" ht="15" hidden="false" customHeight="true" outlineLevel="0" collapsed="false">
      <c r="G2956" s="1" t="str">
        <f aca="false">IF(C2956="","",INDEX(Akaun!$F$5:$F$150,MATCH(C2956,Akaun!$A$5:$A$150,0)))</f>
        <v/>
      </c>
      <c r="H2956" s="1" t="str">
        <f aca="false">IF(C2956="","",INDEX(Akaun!$D$5:$D$150,MATCH(C2956,Akaun!$A$5:$A$150,0)))</f>
        <v/>
      </c>
    </row>
    <row r="2957" customFormat="false" ht="15" hidden="false" customHeight="true" outlineLevel="0" collapsed="false">
      <c r="G2957" s="1" t="str">
        <f aca="false">IF(C2957="","",INDEX(Akaun!$F$5:$F$150,MATCH(C2957,Akaun!$A$5:$A$150,0)))</f>
        <v/>
      </c>
      <c r="H2957" s="1" t="str">
        <f aca="false">IF(C2957="","",INDEX(Akaun!$D$5:$D$150,MATCH(C2957,Akaun!$A$5:$A$150,0)))</f>
        <v/>
      </c>
    </row>
    <row r="2958" customFormat="false" ht="15" hidden="false" customHeight="true" outlineLevel="0" collapsed="false">
      <c r="G2958" s="1" t="str">
        <f aca="false">IF(C2958="","",INDEX(Akaun!$F$5:$F$150,MATCH(C2958,Akaun!$A$5:$A$150,0)))</f>
        <v/>
      </c>
      <c r="H2958" s="1" t="str">
        <f aca="false">IF(C2958="","",INDEX(Akaun!$D$5:$D$150,MATCH(C2958,Akaun!$A$5:$A$150,0)))</f>
        <v/>
      </c>
    </row>
    <row r="2959" customFormat="false" ht="15" hidden="false" customHeight="true" outlineLevel="0" collapsed="false">
      <c r="G2959" s="1" t="str">
        <f aca="false">IF(C2959="","",INDEX(Akaun!$F$5:$F$150,MATCH(C2959,Akaun!$A$5:$A$150,0)))</f>
        <v/>
      </c>
      <c r="H2959" s="1" t="str">
        <f aca="false">IF(C2959="","",INDEX(Akaun!$D$5:$D$150,MATCH(C2959,Akaun!$A$5:$A$150,0)))</f>
        <v/>
      </c>
    </row>
    <row r="2960" customFormat="false" ht="15" hidden="false" customHeight="true" outlineLevel="0" collapsed="false">
      <c r="G2960" s="1" t="str">
        <f aca="false">IF(C2960="","",INDEX(Akaun!$F$5:$F$150,MATCH(C2960,Akaun!$A$5:$A$150,0)))</f>
        <v/>
      </c>
      <c r="H2960" s="1" t="str">
        <f aca="false">IF(C2960="","",INDEX(Akaun!$D$5:$D$150,MATCH(C2960,Akaun!$A$5:$A$150,0)))</f>
        <v/>
      </c>
    </row>
    <row r="2961" customFormat="false" ht="15" hidden="false" customHeight="true" outlineLevel="0" collapsed="false">
      <c r="G2961" s="1" t="str">
        <f aca="false">IF(C2961="","",INDEX(Akaun!$F$5:$F$150,MATCH(C2961,Akaun!$A$5:$A$150,0)))</f>
        <v/>
      </c>
      <c r="H2961" s="1" t="str">
        <f aca="false">IF(C2961="","",INDEX(Akaun!$D$5:$D$150,MATCH(C2961,Akaun!$A$5:$A$150,0)))</f>
        <v/>
      </c>
    </row>
    <row r="2962" customFormat="false" ht="15" hidden="false" customHeight="true" outlineLevel="0" collapsed="false">
      <c r="G2962" s="1" t="str">
        <f aca="false">IF(C2962="","",INDEX(Akaun!$F$5:$F$150,MATCH(C2962,Akaun!$A$5:$A$150,0)))</f>
        <v/>
      </c>
      <c r="H2962" s="1" t="str">
        <f aca="false">IF(C2962="","",INDEX(Akaun!$D$5:$D$150,MATCH(C2962,Akaun!$A$5:$A$150,0)))</f>
        <v/>
      </c>
    </row>
    <row r="2963" customFormat="false" ht="15" hidden="false" customHeight="true" outlineLevel="0" collapsed="false">
      <c r="G2963" s="1" t="str">
        <f aca="false">IF(C2963="","",INDEX(Akaun!$F$5:$F$150,MATCH(C2963,Akaun!$A$5:$A$150,0)))</f>
        <v/>
      </c>
      <c r="H2963" s="1" t="str">
        <f aca="false">IF(C2963="","",INDEX(Akaun!$D$5:$D$150,MATCH(C2963,Akaun!$A$5:$A$150,0)))</f>
        <v/>
      </c>
    </row>
    <row r="2964" customFormat="false" ht="15" hidden="false" customHeight="true" outlineLevel="0" collapsed="false">
      <c r="G2964" s="1" t="str">
        <f aca="false">IF(C2964="","",INDEX(Akaun!$F$5:$F$150,MATCH(C2964,Akaun!$A$5:$A$150,0)))</f>
        <v/>
      </c>
      <c r="H2964" s="1" t="str">
        <f aca="false">IF(C2964="","",INDEX(Akaun!$D$5:$D$150,MATCH(C2964,Akaun!$A$5:$A$150,0)))</f>
        <v/>
      </c>
    </row>
    <row r="2965" customFormat="false" ht="15" hidden="false" customHeight="true" outlineLevel="0" collapsed="false">
      <c r="G2965" s="1" t="str">
        <f aca="false">IF(C2965="","",INDEX(Akaun!$F$5:$F$150,MATCH(C2965,Akaun!$A$5:$A$150,0)))</f>
        <v/>
      </c>
      <c r="H2965" s="1" t="str">
        <f aca="false">IF(C2965="","",INDEX(Akaun!$D$5:$D$150,MATCH(C2965,Akaun!$A$5:$A$150,0)))</f>
        <v/>
      </c>
    </row>
    <row r="2966" customFormat="false" ht="15" hidden="false" customHeight="true" outlineLevel="0" collapsed="false">
      <c r="G2966" s="1" t="str">
        <f aca="false">IF(C2966="","",INDEX(Akaun!$F$5:$F$150,MATCH(C2966,Akaun!$A$5:$A$150,0)))</f>
        <v/>
      </c>
      <c r="H2966" s="1" t="str">
        <f aca="false">IF(C2966="","",INDEX(Akaun!$D$5:$D$150,MATCH(C2966,Akaun!$A$5:$A$150,0)))</f>
        <v/>
      </c>
    </row>
    <row r="2967" customFormat="false" ht="15" hidden="false" customHeight="true" outlineLevel="0" collapsed="false">
      <c r="G2967" s="1" t="str">
        <f aca="false">IF(C2967="","",INDEX(Akaun!$F$5:$F$150,MATCH(C2967,Akaun!$A$5:$A$150,0)))</f>
        <v/>
      </c>
      <c r="H2967" s="1" t="str">
        <f aca="false">IF(C2967="","",INDEX(Akaun!$D$5:$D$150,MATCH(C2967,Akaun!$A$5:$A$150,0)))</f>
        <v/>
      </c>
    </row>
    <row r="2968" customFormat="false" ht="15" hidden="false" customHeight="true" outlineLevel="0" collapsed="false">
      <c r="G2968" s="1" t="str">
        <f aca="false">IF(C2968="","",INDEX(Akaun!$F$5:$F$150,MATCH(C2968,Akaun!$A$5:$A$150,0)))</f>
        <v/>
      </c>
      <c r="H2968" s="1" t="str">
        <f aca="false">IF(C2968="","",INDEX(Akaun!$D$5:$D$150,MATCH(C2968,Akaun!$A$5:$A$150,0)))</f>
        <v/>
      </c>
    </row>
    <row r="2969" customFormat="false" ht="15" hidden="false" customHeight="true" outlineLevel="0" collapsed="false">
      <c r="G2969" s="1" t="str">
        <f aca="false">IF(C2969="","",INDEX(Akaun!$F$5:$F$150,MATCH(C2969,Akaun!$A$5:$A$150,0)))</f>
        <v/>
      </c>
      <c r="H2969" s="1" t="str">
        <f aca="false">IF(C2969="","",INDEX(Akaun!$D$5:$D$150,MATCH(C2969,Akaun!$A$5:$A$150,0)))</f>
        <v/>
      </c>
    </row>
    <row r="2970" customFormat="false" ht="15" hidden="false" customHeight="true" outlineLevel="0" collapsed="false">
      <c r="G2970" s="1" t="str">
        <f aca="false">IF(C2970="","",INDEX(Akaun!$F$5:$F$150,MATCH(C2970,Akaun!$A$5:$A$150,0)))</f>
        <v/>
      </c>
      <c r="H2970" s="1" t="str">
        <f aca="false">IF(C2970="","",INDEX(Akaun!$D$5:$D$150,MATCH(C2970,Akaun!$A$5:$A$150,0)))</f>
        <v/>
      </c>
    </row>
    <row r="2971" customFormat="false" ht="15" hidden="false" customHeight="true" outlineLevel="0" collapsed="false">
      <c r="G2971" s="1" t="str">
        <f aca="false">IF(C2971="","",INDEX(Akaun!$F$5:$F$150,MATCH(C2971,Akaun!$A$5:$A$150,0)))</f>
        <v/>
      </c>
      <c r="H2971" s="1" t="str">
        <f aca="false">IF(C2971="","",INDEX(Akaun!$D$5:$D$150,MATCH(C2971,Akaun!$A$5:$A$150,0)))</f>
        <v/>
      </c>
    </row>
    <row r="2972" customFormat="false" ht="15" hidden="false" customHeight="true" outlineLevel="0" collapsed="false">
      <c r="G2972" s="1" t="str">
        <f aca="false">IF(C2972="","",INDEX(Akaun!$F$5:$F$150,MATCH(C2972,Akaun!$A$5:$A$150,0)))</f>
        <v/>
      </c>
      <c r="H2972" s="1" t="str">
        <f aca="false">IF(C2972="","",INDEX(Akaun!$D$5:$D$150,MATCH(C2972,Akaun!$A$5:$A$150,0)))</f>
        <v/>
      </c>
    </row>
    <row r="2973" customFormat="false" ht="15" hidden="false" customHeight="true" outlineLevel="0" collapsed="false">
      <c r="G2973" s="1" t="str">
        <f aca="false">IF(C2973="","",INDEX(Akaun!$F$5:$F$150,MATCH(C2973,Akaun!$A$5:$A$150,0)))</f>
        <v/>
      </c>
      <c r="H2973" s="1" t="str">
        <f aca="false">IF(C2973="","",INDEX(Akaun!$D$5:$D$150,MATCH(C2973,Akaun!$A$5:$A$150,0)))</f>
        <v/>
      </c>
    </row>
    <row r="2974" customFormat="false" ht="15" hidden="false" customHeight="true" outlineLevel="0" collapsed="false">
      <c r="G2974" s="1" t="str">
        <f aca="false">IF(C2974="","",INDEX(Akaun!$F$5:$F$150,MATCH(C2974,Akaun!$A$5:$A$150,0)))</f>
        <v/>
      </c>
      <c r="H2974" s="1" t="str">
        <f aca="false">IF(C2974="","",INDEX(Akaun!$D$5:$D$150,MATCH(C2974,Akaun!$A$5:$A$150,0)))</f>
        <v/>
      </c>
    </row>
    <row r="2975" customFormat="false" ht="15" hidden="false" customHeight="true" outlineLevel="0" collapsed="false">
      <c r="G2975" s="1" t="str">
        <f aca="false">IF(C2975="","",INDEX(Akaun!$F$5:$F$150,MATCH(C2975,Akaun!$A$5:$A$150,0)))</f>
        <v/>
      </c>
      <c r="H2975" s="1" t="str">
        <f aca="false">IF(C2975="","",INDEX(Akaun!$D$5:$D$150,MATCH(C2975,Akaun!$A$5:$A$150,0)))</f>
        <v/>
      </c>
    </row>
    <row r="2976" customFormat="false" ht="15" hidden="false" customHeight="true" outlineLevel="0" collapsed="false">
      <c r="G2976" s="1" t="str">
        <f aca="false">IF(C2976="","",INDEX(Akaun!$F$5:$F$150,MATCH(C2976,Akaun!$A$5:$A$150,0)))</f>
        <v/>
      </c>
      <c r="H2976" s="1" t="str">
        <f aca="false">IF(C2976="","",INDEX(Akaun!$D$5:$D$150,MATCH(C2976,Akaun!$A$5:$A$150,0)))</f>
        <v/>
      </c>
    </row>
    <row r="2977" customFormat="false" ht="15" hidden="false" customHeight="true" outlineLevel="0" collapsed="false">
      <c r="G2977" s="1" t="str">
        <f aca="false">IF(C2977="","",INDEX(Akaun!$F$5:$F$150,MATCH(C2977,Akaun!$A$5:$A$150,0)))</f>
        <v/>
      </c>
      <c r="H2977" s="1" t="str">
        <f aca="false">IF(C2977="","",INDEX(Akaun!$D$5:$D$150,MATCH(C2977,Akaun!$A$5:$A$150,0)))</f>
        <v/>
      </c>
    </row>
    <row r="2978" customFormat="false" ht="15" hidden="false" customHeight="true" outlineLevel="0" collapsed="false">
      <c r="G2978" s="1" t="str">
        <f aca="false">IF(C2978="","",INDEX(Akaun!$F$5:$F$150,MATCH(C2978,Akaun!$A$5:$A$150,0)))</f>
        <v/>
      </c>
      <c r="H2978" s="1" t="str">
        <f aca="false">IF(C2978="","",INDEX(Akaun!$D$5:$D$150,MATCH(C2978,Akaun!$A$5:$A$150,0)))</f>
        <v/>
      </c>
    </row>
    <row r="2979" customFormat="false" ht="15" hidden="false" customHeight="true" outlineLevel="0" collapsed="false">
      <c r="G2979" s="1" t="str">
        <f aca="false">IF(C2979="","",INDEX(Akaun!$F$5:$F$150,MATCH(C2979,Akaun!$A$5:$A$150,0)))</f>
        <v/>
      </c>
      <c r="H2979" s="1" t="str">
        <f aca="false">IF(C2979="","",INDEX(Akaun!$D$5:$D$150,MATCH(C2979,Akaun!$A$5:$A$150,0)))</f>
        <v/>
      </c>
    </row>
    <row r="2980" customFormat="false" ht="15" hidden="false" customHeight="true" outlineLevel="0" collapsed="false">
      <c r="G2980" s="1" t="str">
        <f aca="false">IF(C2980="","",INDEX(Akaun!$F$5:$F$150,MATCH(C2980,Akaun!$A$5:$A$150,0)))</f>
        <v/>
      </c>
      <c r="H2980" s="1" t="str">
        <f aca="false">IF(C2980="","",INDEX(Akaun!$D$5:$D$150,MATCH(C2980,Akaun!$A$5:$A$150,0)))</f>
        <v/>
      </c>
    </row>
    <row r="2981" customFormat="false" ht="15" hidden="false" customHeight="true" outlineLevel="0" collapsed="false">
      <c r="G2981" s="1" t="str">
        <f aca="false">IF(C2981="","",INDEX(Akaun!$F$5:$F$150,MATCH(C2981,Akaun!$A$5:$A$150,0)))</f>
        <v/>
      </c>
      <c r="H2981" s="1" t="str">
        <f aca="false">IF(C2981="","",INDEX(Akaun!$D$5:$D$150,MATCH(C2981,Akaun!$A$5:$A$150,0)))</f>
        <v/>
      </c>
    </row>
    <row r="2982" customFormat="false" ht="15" hidden="false" customHeight="true" outlineLevel="0" collapsed="false">
      <c r="G2982" s="1" t="str">
        <f aca="false">IF(C2982="","",INDEX(Akaun!$F$5:$F$150,MATCH(C2982,Akaun!$A$5:$A$150,0)))</f>
        <v/>
      </c>
      <c r="H2982" s="1" t="str">
        <f aca="false">IF(C2982="","",INDEX(Akaun!$D$5:$D$150,MATCH(C2982,Akaun!$A$5:$A$150,0)))</f>
        <v/>
      </c>
    </row>
    <row r="2983" customFormat="false" ht="15" hidden="false" customHeight="true" outlineLevel="0" collapsed="false">
      <c r="G2983" s="1" t="str">
        <f aca="false">IF(C2983="","",INDEX(Akaun!$F$5:$F$150,MATCH(C2983,Akaun!$A$5:$A$150,0)))</f>
        <v/>
      </c>
      <c r="H2983" s="1" t="str">
        <f aca="false">IF(C2983="","",INDEX(Akaun!$D$5:$D$150,MATCH(C2983,Akaun!$A$5:$A$150,0)))</f>
        <v/>
      </c>
    </row>
    <row r="2984" customFormat="false" ht="15" hidden="false" customHeight="true" outlineLevel="0" collapsed="false">
      <c r="G2984" s="1" t="str">
        <f aca="false">IF(C2984="","",INDEX(Akaun!$F$5:$F$150,MATCH(C2984,Akaun!$A$5:$A$150,0)))</f>
        <v/>
      </c>
      <c r="H2984" s="1" t="str">
        <f aca="false">IF(C2984="","",INDEX(Akaun!$D$5:$D$150,MATCH(C2984,Akaun!$A$5:$A$150,0)))</f>
        <v/>
      </c>
    </row>
    <row r="2985" customFormat="false" ht="15" hidden="false" customHeight="true" outlineLevel="0" collapsed="false">
      <c r="G2985" s="1" t="str">
        <f aca="false">IF(C2985="","",INDEX(Akaun!$F$5:$F$150,MATCH(C2985,Akaun!$A$5:$A$150,0)))</f>
        <v/>
      </c>
      <c r="H2985" s="1" t="str">
        <f aca="false">IF(C2985="","",INDEX(Akaun!$D$5:$D$150,MATCH(C2985,Akaun!$A$5:$A$150,0)))</f>
        <v/>
      </c>
    </row>
    <row r="2986" customFormat="false" ht="15" hidden="false" customHeight="true" outlineLevel="0" collapsed="false">
      <c r="G2986" s="1" t="str">
        <f aca="false">IF(C2986="","",INDEX(Akaun!$F$5:$F$150,MATCH(C2986,Akaun!$A$5:$A$150,0)))</f>
        <v/>
      </c>
      <c r="H2986" s="1" t="str">
        <f aca="false">IF(C2986="","",INDEX(Akaun!$D$5:$D$150,MATCH(C2986,Akaun!$A$5:$A$150,0)))</f>
        <v/>
      </c>
    </row>
    <row r="2987" customFormat="false" ht="15" hidden="false" customHeight="true" outlineLevel="0" collapsed="false">
      <c r="G2987" s="1" t="str">
        <f aca="false">IF(C2987="","",INDEX(Akaun!$F$5:$F$150,MATCH(C2987,Akaun!$A$5:$A$150,0)))</f>
        <v/>
      </c>
      <c r="H2987" s="1" t="str">
        <f aca="false">IF(C2987="","",INDEX(Akaun!$D$5:$D$150,MATCH(C2987,Akaun!$A$5:$A$150,0)))</f>
        <v/>
      </c>
    </row>
    <row r="2988" customFormat="false" ht="15" hidden="false" customHeight="true" outlineLevel="0" collapsed="false">
      <c r="G2988" s="1" t="str">
        <f aca="false">IF(C2988="","",INDEX(Akaun!$F$5:$F$150,MATCH(C2988,Akaun!$A$5:$A$150,0)))</f>
        <v/>
      </c>
      <c r="H2988" s="1" t="str">
        <f aca="false">IF(C2988="","",INDEX(Akaun!$D$5:$D$150,MATCH(C2988,Akaun!$A$5:$A$150,0)))</f>
        <v/>
      </c>
    </row>
    <row r="2989" customFormat="false" ht="15" hidden="false" customHeight="true" outlineLevel="0" collapsed="false">
      <c r="G2989" s="1" t="str">
        <f aca="false">IF(C2989="","",INDEX(Akaun!$F$5:$F$150,MATCH(C2989,Akaun!$A$5:$A$150,0)))</f>
        <v/>
      </c>
      <c r="H2989" s="1" t="str">
        <f aca="false">IF(C2989="","",INDEX(Akaun!$D$5:$D$150,MATCH(C2989,Akaun!$A$5:$A$150,0)))</f>
        <v/>
      </c>
    </row>
    <row r="2990" customFormat="false" ht="15" hidden="false" customHeight="true" outlineLevel="0" collapsed="false">
      <c r="G2990" s="1" t="str">
        <f aca="false">IF(C2990="","",INDEX(Akaun!$F$5:$F$150,MATCH(C2990,Akaun!$A$5:$A$150,0)))</f>
        <v/>
      </c>
      <c r="H2990" s="1" t="str">
        <f aca="false">IF(C2990="","",INDEX(Akaun!$D$5:$D$150,MATCH(C2990,Akaun!$A$5:$A$150,0)))</f>
        <v/>
      </c>
    </row>
    <row r="2991" customFormat="false" ht="15" hidden="false" customHeight="true" outlineLevel="0" collapsed="false">
      <c r="G2991" s="1" t="str">
        <f aca="false">IF(C2991="","",INDEX(Akaun!$F$5:$F$150,MATCH(C2991,Akaun!$A$5:$A$150,0)))</f>
        <v/>
      </c>
      <c r="H2991" s="1" t="str">
        <f aca="false">IF(C2991="","",INDEX(Akaun!$D$5:$D$150,MATCH(C2991,Akaun!$A$5:$A$150,0)))</f>
        <v/>
      </c>
    </row>
    <row r="2992" customFormat="false" ht="15" hidden="false" customHeight="true" outlineLevel="0" collapsed="false">
      <c r="G2992" s="1" t="str">
        <f aca="false">IF(C2992="","",INDEX(Akaun!$F$5:$F$150,MATCH(C2992,Akaun!$A$5:$A$150,0)))</f>
        <v/>
      </c>
      <c r="H2992" s="1" t="str">
        <f aca="false">IF(C2992="","",INDEX(Akaun!$D$5:$D$150,MATCH(C2992,Akaun!$A$5:$A$150,0)))</f>
        <v/>
      </c>
    </row>
    <row r="2993" customFormat="false" ht="15" hidden="false" customHeight="true" outlineLevel="0" collapsed="false">
      <c r="G2993" s="1" t="str">
        <f aca="false">IF(C2993="","",INDEX(Akaun!$F$5:$F$150,MATCH(C2993,Akaun!$A$5:$A$150,0)))</f>
        <v/>
      </c>
      <c r="H2993" s="1" t="str">
        <f aca="false">IF(C2993="","",INDEX(Akaun!$D$5:$D$150,MATCH(C2993,Akaun!$A$5:$A$150,0)))</f>
        <v/>
      </c>
    </row>
    <row r="2994" customFormat="false" ht="15" hidden="false" customHeight="true" outlineLevel="0" collapsed="false">
      <c r="G2994" s="1" t="str">
        <f aca="false">IF(C2994="","",INDEX(Akaun!$F$5:$F$150,MATCH(C2994,Akaun!$A$5:$A$150,0)))</f>
        <v/>
      </c>
      <c r="H2994" s="1" t="str">
        <f aca="false">IF(C2994="","",INDEX(Akaun!$D$5:$D$150,MATCH(C2994,Akaun!$A$5:$A$150,0)))</f>
        <v/>
      </c>
    </row>
    <row r="2995" customFormat="false" ht="15" hidden="false" customHeight="true" outlineLevel="0" collapsed="false">
      <c r="G2995" s="1" t="str">
        <f aca="false">IF(C2995="","",INDEX(Akaun!$F$5:$F$150,MATCH(C2995,Akaun!$A$5:$A$150,0)))</f>
        <v/>
      </c>
      <c r="H2995" s="1" t="str">
        <f aca="false">IF(C2995="","",INDEX(Akaun!$D$5:$D$150,MATCH(C2995,Akaun!$A$5:$A$150,0)))</f>
        <v/>
      </c>
    </row>
    <row r="2996" customFormat="false" ht="15" hidden="false" customHeight="true" outlineLevel="0" collapsed="false">
      <c r="G2996" s="1" t="str">
        <f aca="false">IF(C2996="","",INDEX(Akaun!$F$5:$F$150,MATCH(C2996,Akaun!$A$5:$A$150,0)))</f>
        <v/>
      </c>
      <c r="H2996" s="1" t="str">
        <f aca="false">IF(C2996="","",INDEX(Akaun!$D$5:$D$150,MATCH(C2996,Akaun!$A$5:$A$150,0)))</f>
        <v/>
      </c>
    </row>
    <row r="2997" customFormat="false" ht="15" hidden="false" customHeight="true" outlineLevel="0" collapsed="false">
      <c r="G2997" s="1" t="str">
        <f aca="false">IF(C2997="","",INDEX(Akaun!$F$5:$F$150,MATCH(C2997,Akaun!$A$5:$A$150,0)))</f>
        <v/>
      </c>
      <c r="H2997" s="1" t="str">
        <f aca="false">IF(C2997="","",INDEX(Akaun!$D$5:$D$150,MATCH(C2997,Akaun!$A$5:$A$150,0)))</f>
        <v/>
      </c>
    </row>
    <row r="2998" customFormat="false" ht="15" hidden="false" customHeight="true" outlineLevel="0" collapsed="false">
      <c r="G2998" s="1" t="str">
        <f aca="false">IF(C2998="","",INDEX(Akaun!$F$5:$F$150,MATCH(C2998,Akaun!$A$5:$A$150,0)))</f>
        <v/>
      </c>
      <c r="H2998" s="1" t="str">
        <f aca="false">IF(C2998="","",INDEX(Akaun!$D$5:$D$150,MATCH(C2998,Akaun!$A$5:$A$150,0)))</f>
        <v/>
      </c>
    </row>
    <row r="2999" customFormat="false" ht="15" hidden="false" customHeight="true" outlineLevel="0" collapsed="false">
      <c r="G2999" s="1" t="str">
        <f aca="false">IF(C2999="","",INDEX(Akaun!$F$5:$F$150,MATCH(C2999,Akaun!$A$5:$A$150,0)))</f>
        <v/>
      </c>
      <c r="H2999" s="1" t="str">
        <f aca="false">IF(C2999="","",INDEX(Akaun!$D$5:$D$150,MATCH(C2999,Akaun!$A$5:$A$150,0)))</f>
        <v/>
      </c>
    </row>
    <row r="3000" customFormat="false" ht="15" hidden="false" customHeight="true" outlineLevel="0" collapsed="false">
      <c r="G3000" s="1" t="str">
        <f aca="false">IF(C3000="","",INDEX(Akaun!$F$5:$F$150,MATCH(C3000,Akaun!$A$5:$A$150,0)))</f>
        <v/>
      </c>
      <c r="H3000" s="1" t="str">
        <f aca="false">IF(C3000="","",INDEX(Akaun!$D$5:$D$150,MATCH(C3000,Akaun!$A$5:$A$150,0)))</f>
        <v/>
      </c>
    </row>
    <row r="3001" customFormat="false" ht="15" hidden="false" customHeight="true" outlineLevel="0" collapsed="false">
      <c r="G3001" s="1" t="str">
        <f aca="false">IF(C3001="","",INDEX(Akaun!$F$5:$F$150,MATCH(C3001,Akaun!$A$5:$A$150,0)))</f>
        <v/>
      </c>
      <c r="H3001" s="1" t="str">
        <f aca="false">IF(C3001="","",INDEX(Akaun!$D$5:$D$150,MATCH(C3001,Akaun!$A$5:$A$150,0)))</f>
        <v/>
      </c>
    </row>
    <row r="3002" customFormat="false" ht="15" hidden="false" customHeight="true" outlineLevel="0" collapsed="false">
      <c r="G3002" s="1" t="str">
        <f aca="false">IF(C3002="","",INDEX(Akaun!$F$5:$F$150,MATCH(C3002,Akaun!$A$5:$A$150,0)))</f>
        <v/>
      </c>
      <c r="H3002" s="1" t="str">
        <f aca="false">IF(C3002="","",INDEX(Akaun!$D$5:$D$150,MATCH(C3002,Akaun!$A$5:$A$150,0)))</f>
        <v/>
      </c>
    </row>
    <row r="3003" customFormat="false" ht="15" hidden="false" customHeight="true" outlineLevel="0" collapsed="false">
      <c r="G3003" s="1" t="str">
        <f aca="false">IF(C3003="","",INDEX(Akaun!$F$5:$F$150,MATCH(C3003,Akaun!$A$5:$A$150,0)))</f>
        <v/>
      </c>
      <c r="H3003" s="1" t="str">
        <f aca="false">IF(C3003="","",INDEX(Akaun!$D$5:$D$150,MATCH(C3003,Akaun!$A$5:$A$150,0)))</f>
        <v/>
      </c>
    </row>
    <row r="3004" customFormat="false" ht="15" hidden="false" customHeight="true" outlineLevel="0" collapsed="false">
      <c r="G3004" s="1" t="str">
        <f aca="false">IF(C3004="","",INDEX(Akaun!$F$5:$F$150,MATCH(C3004,Akaun!$A$5:$A$150,0)))</f>
        <v/>
      </c>
      <c r="H3004" s="1" t="str">
        <f aca="false">IF(C3004="","",INDEX(Akaun!$D$5:$D$150,MATCH(C3004,Akaun!$A$5:$A$150,0)))</f>
        <v/>
      </c>
    </row>
    <row r="3005" customFormat="false" ht="15" hidden="false" customHeight="true" outlineLevel="0" collapsed="false">
      <c r="G3005" s="1" t="str">
        <f aca="false">IF(C3005="","",INDEX(Akaun!$F$5:$F$150,MATCH(C3005,Akaun!$A$5:$A$150,0)))</f>
        <v/>
      </c>
      <c r="H3005" s="1" t="str">
        <f aca="false">IF(C3005="","",INDEX(Akaun!$D$5:$D$150,MATCH(C3005,Akaun!$A$5:$A$150,0)))</f>
        <v/>
      </c>
    </row>
    <row r="3006" customFormat="false" ht="15" hidden="false" customHeight="true" outlineLevel="0" collapsed="false">
      <c r="G3006" s="1" t="str">
        <f aca="false">IF(C3006="","",INDEX(Akaun!$F$5:$F$150,MATCH(C3006,Akaun!$A$5:$A$150,0)))</f>
        <v/>
      </c>
      <c r="H3006" s="1" t="str">
        <f aca="false">IF(C3006="","",INDEX(Akaun!$D$5:$D$150,MATCH(C3006,Akaun!$A$5:$A$150,0)))</f>
        <v/>
      </c>
    </row>
    <row r="3007" customFormat="false" ht="15" hidden="false" customHeight="true" outlineLevel="0" collapsed="false">
      <c r="G3007" s="1" t="str">
        <f aca="false">IF(C3007="","",INDEX(Akaun!$F$5:$F$150,MATCH(C3007,Akaun!$A$5:$A$150,0)))</f>
        <v/>
      </c>
      <c r="H3007" s="1" t="str">
        <f aca="false">IF(C3007="","",INDEX(Akaun!$D$5:$D$150,MATCH(C3007,Akaun!$A$5:$A$150,0)))</f>
        <v/>
      </c>
    </row>
    <row r="3008" customFormat="false" ht="15" hidden="false" customHeight="true" outlineLevel="0" collapsed="false">
      <c r="G3008" s="1" t="str">
        <f aca="false">IF(C3008="","",INDEX(Akaun!$F$5:$F$150,MATCH(C3008,Akaun!$A$5:$A$150,0)))</f>
        <v/>
      </c>
      <c r="H3008" s="1" t="str">
        <f aca="false">IF(C3008="","",INDEX(Akaun!$D$5:$D$150,MATCH(C3008,Akaun!$A$5:$A$150,0)))</f>
        <v/>
      </c>
    </row>
    <row r="3009" customFormat="false" ht="15" hidden="false" customHeight="true" outlineLevel="0" collapsed="false">
      <c r="G3009" s="1" t="str">
        <f aca="false">IF(C3009="","",INDEX(Akaun!$F$5:$F$150,MATCH(C3009,Akaun!$A$5:$A$150,0)))</f>
        <v/>
      </c>
      <c r="H3009" s="1" t="str">
        <f aca="false">IF(C3009="","",INDEX(Akaun!$D$5:$D$150,MATCH(C3009,Akaun!$A$5:$A$150,0)))</f>
        <v/>
      </c>
    </row>
    <row r="3010" customFormat="false" ht="15" hidden="false" customHeight="true" outlineLevel="0" collapsed="false">
      <c r="G3010" s="1" t="str">
        <f aca="false">IF(C3010="","",INDEX(Akaun!$F$5:$F$150,MATCH(C3010,Akaun!$A$5:$A$150,0)))</f>
        <v/>
      </c>
      <c r="H3010" s="1" t="str">
        <f aca="false">IF(C3010="","",INDEX(Akaun!$D$5:$D$150,MATCH(C3010,Akaun!$A$5:$A$150,0)))</f>
        <v/>
      </c>
    </row>
    <row r="3011" customFormat="false" ht="15" hidden="false" customHeight="true" outlineLevel="0" collapsed="false">
      <c r="G3011" s="1" t="str">
        <f aca="false">IF(C3011="","",INDEX(Akaun!$F$5:$F$150,MATCH(C3011,Akaun!$A$5:$A$150,0)))</f>
        <v/>
      </c>
      <c r="H3011" s="1" t="str">
        <f aca="false">IF(C3011="","",INDEX(Akaun!$D$5:$D$150,MATCH(C3011,Akaun!$A$5:$A$150,0)))</f>
        <v/>
      </c>
    </row>
    <row r="3012" customFormat="false" ht="15" hidden="false" customHeight="true" outlineLevel="0" collapsed="false">
      <c r="G3012" s="1" t="str">
        <f aca="false">IF(C3012="","",INDEX(Akaun!$F$5:$F$150,MATCH(C3012,Akaun!$A$5:$A$150,0)))</f>
        <v/>
      </c>
      <c r="H3012" s="1" t="str">
        <f aca="false">IF(C3012="","",INDEX(Akaun!$D$5:$D$150,MATCH(C3012,Akaun!$A$5:$A$150,0)))</f>
        <v/>
      </c>
    </row>
    <row r="3013" customFormat="false" ht="15" hidden="false" customHeight="true" outlineLevel="0" collapsed="false">
      <c r="G3013" s="1" t="str">
        <f aca="false">IF(C3013="","",INDEX(Akaun!$F$5:$F$150,MATCH(C3013,Akaun!$A$5:$A$150,0)))</f>
        <v/>
      </c>
      <c r="H3013" s="1" t="str">
        <f aca="false">IF(C3013="","",INDEX(Akaun!$D$5:$D$150,MATCH(C3013,Akaun!$A$5:$A$150,0)))</f>
        <v/>
      </c>
    </row>
    <row r="3014" customFormat="false" ht="15" hidden="false" customHeight="true" outlineLevel="0" collapsed="false">
      <c r="G3014" s="1" t="str">
        <f aca="false">IF(C3014="","",INDEX(Akaun!$F$5:$F$150,MATCH(C3014,Akaun!$A$5:$A$150,0)))</f>
        <v/>
      </c>
      <c r="H3014" s="1" t="str">
        <f aca="false">IF(C3014="","",INDEX(Akaun!$D$5:$D$150,MATCH(C3014,Akaun!$A$5:$A$150,0)))</f>
        <v/>
      </c>
    </row>
    <row r="3015" customFormat="false" ht="15" hidden="false" customHeight="true" outlineLevel="0" collapsed="false">
      <c r="G3015" s="1" t="str">
        <f aca="false">IF(C3015="","",INDEX(Akaun!$F$5:$F$150,MATCH(C3015,Akaun!$A$5:$A$150,0)))</f>
        <v/>
      </c>
      <c r="H3015" s="1" t="str">
        <f aca="false">IF(C3015="","",INDEX(Akaun!$D$5:$D$150,MATCH(C3015,Akaun!$A$5:$A$150,0)))</f>
        <v/>
      </c>
    </row>
    <row r="3016" customFormat="false" ht="15" hidden="false" customHeight="true" outlineLevel="0" collapsed="false">
      <c r="G3016" s="1" t="str">
        <f aca="false">IF(C3016="","",INDEX(Akaun!$F$5:$F$150,MATCH(C3016,Akaun!$A$5:$A$150,0)))</f>
        <v/>
      </c>
      <c r="H3016" s="1" t="str">
        <f aca="false">IF(C3016="","",INDEX(Akaun!$D$5:$D$150,MATCH(C3016,Akaun!$A$5:$A$150,0)))</f>
        <v/>
      </c>
    </row>
    <row r="3017" customFormat="false" ht="15" hidden="false" customHeight="true" outlineLevel="0" collapsed="false">
      <c r="G3017" s="1" t="str">
        <f aca="false">IF(C3017="","",INDEX(Akaun!$F$5:$F$150,MATCH(C3017,Akaun!$A$5:$A$150,0)))</f>
        <v/>
      </c>
      <c r="H3017" s="1" t="str">
        <f aca="false">IF(C3017="","",INDEX(Akaun!$D$5:$D$150,MATCH(C3017,Akaun!$A$5:$A$150,0)))</f>
        <v/>
      </c>
    </row>
    <row r="3018" customFormat="false" ht="15" hidden="false" customHeight="true" outlineLevel="0" collapsed="false">
      <c r="G3018" s="1" t="str">
        <f aca="false">IF(C3018="","",INDEX(Akaun!$F$5:$F$150,MATCH(C3018,Akaun!$A$5:$A$150,0)))</f>
        <v/>
      </c>
      <c r="H3018" s="1" t="str">
        <f aca="false">IF(C3018="","",INDEX(Akaun!$D$5:$D$150,MATCH(C3018,Akaun!$A$5:$A$150,0)))</f>
        <v/>
      </c>
    </row>
    <row r="3019" customFormat="false" ht="15" hidden="false" customHeight="true" outlineLevel="0" collapsed="false">
      <c r="G3019" s="1" t="str">
        <f aca="false">IF(C3019="","",INDEX(Akaun!$F$5:$F$150,MATCH(C3019,Akaun!$A$5:$A$150,0)))</f>
        <v/>
      </c>
      <c r="H3019" s="1" t="str">
        <f aca="false">IF(C3019="","",INDEX(Akaun!$D$5:$D$150,MATCH(C3019,Akaun!$A$5:$A$150,0)))</f>
        <v/>
      </c>
    </row>
    <row r="3020" customFormat="false" ht="15" hidden="false" customHeight="true" outlineLevel="0" collapsed="false">
      <c r="G3020" s="1" t="str">
        <f aca="false">IF(C3020="","",INDEX(Akaun!$F$5:$F$150,MATCH(C3020,Akaun!$A$5:$A$150,0)))</f>
        <v/>
      </c>
      <c r="H3020" s="1" t="str">
        <f aca="false">IF(C3020="","",INDEX(Akaun!$D$5:$D$150,MATCH(C3020,Akaun!$A$5:$A$150,0)))</f>
        <v/>
      </c>
    </row>
    <row r="3021" customFormat="false" ht="15" hidden="false" customHeight="true" outlineLevel="0" collapsed="false">
      <c r="G3021" s="1" t="str">
        <f aca="false">IF(C3021="","",INDEX(Akaun!$F$5:$F$150,MATCH(C3021,Akaun!$A$5:$A$150,0)))</f>
        <v/>
      </c>
      <c r="H3021" s="1" t="str">
        <f aca="false">IF(C3021="","",INDEX(Akaun!$D$5:$D$150,MATCH(C3021,Akaun!$A$5:$A$150,0)))</f>
        <v/>
      </c>
    </row>
    <row r="3022" customFormat="false" ht="15" hidden="false" customHeight="true" outlineLevel="0" collapsed="false">
      <c r="G3022" s="1" t="str">
        <f aca="false">IF(C3022="","",INDEX(Akaun!$F$5:$F$150,MATCH(C3022,Akaun!$A$5:$A$150,0)))</f>
        <v/>
      </c>
      <c r="H3022" s="1" t="str">
        <f aca="false">IF(C3022="","",INDEX(Akaun!$D$5:$D$150,MATCH(C3022,Akaun!$A$5:$A$150,0)))</f>
        <v/>
      </c>
    </row>
    <row r="3023" customFormat="false" ht="15" hidden="false" customHeight="true" outlineLevel="0" collapsed="false">
      <c r="G3023" s="1" t="str">
        <f aca="false">IF(C3023="","",INDEX(Akaun!$F$5:$F$150,MATCH(C3023,Akaun!$A$5:$A$150,0)))</f>
        <v/>
      </c>
      <c r="H3023" s="1" t="str">
        <f aca="false">IF(C3023="","",INDEX(Akaun!$D$5:$D$150,MATCH(C3023,Akaun!$A$5:$A$150,0)))</f>
        <v/>
      </c>
    </row>
    <row r="3024" customFormat="false" ht="15" hidden="false" customHeight="true" outlineLevel="0" collapsed="false">
      <c r="G3024" s="1" t="str">
        <f aca="false">IF(C3024="","",INDEX(Akaun!$F$5:$F$150,MATCH(C3024,Akaun!$A$5:$A$150,0)))</f>
        <v/>
      </c>
      <c r="H3024" s="1" t="str">
        <f aca="false">IF(C3024="","",INDEX(Akaun!$D$5:$D$150,MATCH(C3024,Akaun!$A$5:$A$150,0)))</f>
        <v/>
      </c>
    </row>
    <row r="3025" customFormat="false" ht="15" hidden="false" customHeight="true" outlineLevel="0" collapsed="false">
      <c r="G3025" s="1" t="str">
        <f aca="false">IF(C3025="","",INDEX(Akaun!$F$5:$F$150,MATCH(C3025,Akaun!$A$5:$A$150,0)))</f>
        <v/>
      </c>
      <c r="H3025" s="1" t="str">
        <f aca="false">IF(C3025="","",INDEX(Akaun!$D$5:$D$150,MATCH(C3025,Akaun!$A$5:$A$150,0)))</f>
        <v/>
      </c>
    </row>
    <row r="3026" customFormat="false" ht="15" hidden="false" customHeight="true" outlineLevel="0" collapsed="false">
      <c r="G3026" s="1" t="str">
        <f aca="false">IF(C3026="","",INDEX(Akaun!$F$5:$F$150,MATCH(C3026,Akaun!$A$5:$A$150,0)))</f>
        <v/>
      </c>
      <c r="H3026" s="1" t="str">
        <f aca="false">IF(C3026="","",INDEX(Akaun!$D$5:$D$150,MATCH(C3026,Akaun!$A$5:$A$150,0)))</f>
        <v/>
      </c>
    </row>
    <row r="3027" customFormat="false" ht="15" hidden="false" customHeight="true" outlineLevel="0" collapsed="false">
      <c r="G3027" s="1" t="str">
        <f aca="false">IF(C3027="","",INDEX(Akaun!$F$5:$F$150,MATCH(C3027,Akaun!$A$5:$A$150,0)))</f>
        <v/>
      </c>
      <c r="H3027" s="1" t="str">
        <f aca="false">IF(C3027="","",INDEX(Akaun!$D$5:$D$150,MATCH(C3027,Akaun!$A$5:$A$150,0)))</f>
        <v/>
      </c>
    </row>
    <row r="3028" customFormat="false" ht="15" hidden="false" customHeight="true" outlineLevel="0" collapsed="false">
      <c r="G3028" s="1" t="str">
        <f aca="false">IF(C3028="","",INDEX(Akaun!$F$5:$F$150,MATCH(C3028,Akaun!$A$5:$A$150,0)))</f>
        <v/>
      </c>
      <c r="H3028" s="1" t="str">
        <f aca="false">IF(C3028="","",INDEX(Akaun!$D$5:$D$150,MATCH(C3028,Akaun!$A$5:$A$150,0)))</f>
        <v/>
      </c>
    </row>
    <row r="3029" customFormat="false" ht="15" hidden="false" customHeight="true" outlineLevel="0" collapsed="false">
      <c r="G3029" s="1" t="str">
        <f aca="false">IF(C3029="","",INDEX(Akaun!$F$5:$F$150,MATCH(C3029,Akaun!$A$5:$A$150,0)))</f>
        <v/>
      </c>
      <c r="H3029" s="1" t="str">
        <f aca="false">IF(C3029="","",INDEX(Akaun!$D$5:$D$150,MATCH(C3029,Akaun!$A$5:$A$150,0)))</f>
        <v/>
      </c>
    </row>
    <row r="3030" customFormat="false" ht="15" hidden="false" customHeight="true" outlineLevel="0" collapsed="false">
      <c r="G3030" s="1" t="str">
        <f aca="false">IF(C3030="","",INDEX(Akaun!$F$5:$F$150,MATCH(C3030,Akaun!$A$5:$A$150,0)))</f>
        <v/>
      </c>
      <c r="H3030" s="1" t="str">
        <f aca="false">IF(C3030="","",INDEX(Akaun!$D$5:$D$150,MATCH(C3030,Akaun!$A$5:$A$150,0)))</f>
        <v/>
      </c>
    </row>
    <row r="3031" customFormat="false" ht="15" hidden="false" customHeight="true" outlineLevel="0" collapsed="false">
      <c r="G3031" s="1" t="str">
        <f aca="false">IF(C3031="","",INDEX(Akaun!$F$5:$F$150,MATCH(C3031,Akaun!$A$5:$A$150,0)))</f>
        <v/>
      </c>
      <c r="H3031" s="1" t="str">
        <f aca="false">IF(C3031="","",INDEX(Akaun!$D$5:$D$150,MATCH(C3031,Akaun!$A$5:$A$150,0)))</f>
        <v/>
      </c>
    </row>
    <row r="3032" customFormat="false" ht="15" hidden="false" customHeight="true" outlineLevel="0" collapsed="false">
      <c r="G3032" s="1" t="str">
        <f aca="false">IF(C3032="","",INDEX(Akaun!$F$5:$F$150,MATCH(C3032,Akaun!$A$5:$A$150,0)))</f>
        <v/>
      </c>
      <c r="H3032" s="1" t="str">
        <f aca="false">IF(C3032="","",INDEX(Akaun!$D$5:$D$150,MATCH(C3032,Akaun!$A$5:$A$150,0)))</f>
        <v/>
      </c>
    </row>
    <row r="3033" customFormat="false" ht="15" hidden="false" customHeight="true" outlineLevel="0" collapsed="false">
      <c r="G3033" s="1" t="str">
        <f aca="false">IF(C3033="","",INDEX(Akaun!$F$5:$F$150,MATCH(C3033,Akaun!$A$5:$A$150,0)))</f>
        <v/>
      </c>
      <c r="H3033" s="1" t="str">
        <f aca="false">IF(C3033="","",INDEX(Akaun!$D$5:$D$150,MATCH(C3033,Akaun!$A$5:$A$150,0)))</f>
        <v/>
      </c>
    </row>
    <row r="3034" customFormat="false" ht="15" hidden="false" customHeight="true" outlineLevel="0" collapsed="false">
      <c r="G3034" s="1" t="str">
        <f aca="false">IF(C3034="","",INDEX(Akaun!$F$5:$F$150,MATCH(C3034,Akaun!$A$5:$A$150,0)))</f>
        <v/>
      </c>
      <c r="H3034" s="1" t="str">
        <f aca="false">IF(C3034="","",INDEX(Akaun!$D$5:$D$150,MATCH(C3034,Akaun!$A$5:$A$150,0)))</f>
        <v/>
      </c>
    </row>
    <row r="3035" customFormat="false" ht="15" hidden="false" customHeight="true" outlineLevel="0" collapsed="false">
      <c r="G3035" s="1" t="str">
        <f aca="false">IF(C3035="","",INDEX(Akaun!$F$5:$F$150,MATCH(C3035,Akaun!$A$5:$A$150,0)))</f>
        <v/>
      </c>
      <c r="H3035" s="1" t="str">
        <f aca="false">IF(C3035="","",INDEX(Akaun!$D$5:$D$150,MATCH(C3035,Akaun!$A$5:$A$150,0)))</f>
        <v/>
      </c>
    </row>
    <row r="3036" customFormat="false" ht="15" hidden="false" customHeight="true" outlineLevel="0" collapsed="false">
      <c r="G3036" s="1" t="str">
        <f aca="false">IF(C3036="","",INDEX(Akaun!$F$5:$F$150,MATCH(C3036,Akaun!$A$5:$A$150,0)))</f>
        <v/>
      </c>
      <c r="H3036" s="1" t="str">
        <f aca="false">IF(C3036="","",INDEX(Akaun!$D$5:$D$150,MATCH(C3036,Akaun!$A$5:$A$150,0)))</f>
        <v/>
      </c>
    </row>
    <row r="3037" customFormat="false" ht="15" hidden="false" customHeight="true" outlineLevel="0" collapsed="false">
      <c r="G3037" s="1" t="str">
        <f aca="false">IF(C3037="","",INDEX(Akaun!$F$5:$F$150,MATCH(C3037,Akaun!$A$5:$A$150,0)))</f>
        <v/>
      </c>
      <c r="H3037" s="1" t="str">
        <f aca="false">IF(C3037="","",INDEX(Akaun!$D$5:$D$150,MATCH(C3037,Akaun!$A$5:$A$150,0)))</f>
        <v/>
      </c>
    </row>
    <row r="3038" customFormat="false" ht="15" hidden="false" customHeight="true" outlineLevel="0" collapsed="false">
      <c r="G3038" s="1" t="str">
        <f aca="false">IF(C3038="","",INDEX(Akaun!$F$5:$F$150,MATCH(C3038,Akaun!$A$5:$A$150,0)))</f>
        <v/>
      </c>
      <c r="H3038" s="1" t="str">
        <f aca="false">IF(C3038="","",INDEX(Akaun!$D$5:$D$150,MATCH(C3038,Akaun!$A$5:$A$150,0)))</f>
        <v/>
      </c>
    </row>
    <row r="3039" customFormat="false" ht="15" hidden="false" customHeight="true" outlineLevel="0" collapsed="false">
      <c r="G3039" s="1" t="str">
        <f aca="false">IF(C3039="","",INDEX(Akaun!$F$5:$F$150,MATCH(C3039,Akaun!$A$5:$A$150,0)))</f>
        <v/>
      </c>
      <c r="H3039" s="1" t="str">
        <f aca="false">IF(C3039="","",INDEX(Akaun!$D$5:$D$150,MATCH(C3039,Akaun!$A$5:$A$150,0)))</f>
        <v/>
      </c>
    </row>
    <row r="3040" customFormat="false" ht="15" hidden="false" customHeight="true" outlineLevel="0" collapsed="false">
      <c r="G3040" s="1" t="str">
        <f aca="false">IF(C3040="","",INDEX(Akaun!$F$5:$F$150,MATCH(C3040,Akaun!$A$5:$A$150,0)))</f>
        <v/>
      </c>
      <c r="H3040" s="1" t="str">
        <f aca="false">IF(C3040="","",INDEX(Akaun!$D$5:$D$150,MATCH(C3040,Akaun!$A$5:$A$150,0)))</f>
        <v/>
      </c>
    </row>
    <row r="3041" customFormat="false" ht="15" hidden="false" customHeight="true" outlineLevel="0" collapsed="false">
      <c r="G3041" s="1" t="str">
        <f aca="false">IF(C3041="","",INDEX(Akaun!$F$5:$F$150,MATCH(C3041,Akaun!$A$5:$A$150,0)))</f>
        <v/>
      </c>
      <c r="H3041" s="1" t="str">
        <f aca="false">IF(C3041="","",INDEX(Akaun!$D$5:$D$150,MATCH(C3041,Akaun!$A$5:$A$150,0)))</f>
        <v/>
      </c>
    </row>
    <row r="3042" customFormat="false" ht="15" hidden="false" customHeight="true" outlineLevel="0" collapsed="false">
      <c r="G3042" s="1" t="str">
        <f aca="false">IF(C3042="","",INDEX(Akaun!$F$5:$F$150,MATCH(C3042,Akaun!$A$5:$A$150,0)))</f>
        <v/>
      </c>
      <c r="H3042" s="1" t="str">
        <f aca="false">IF(C3042="","",INDEX(Akaun!$D$5:$D$150,MATCH(C3042,Akaun!$A$5:$A$150,0)))</f>
        <v/>
      </c>
    </row>
    <row r="3043" customFormat="false" ht="15" hidden="false" customHeight="true" outlineLevel="0" collapsed="false">
      <c r="G3043" s="1" t="str">
        <f aca="false">IF(C3043="","",INDEX(Akaun!$F$5:$F$150,MATCH(C3043,Akaun!$A$5:$A$150,0)))</f>
        <v/>
      </c>
      <c r="H3043" s="1" t="str">
        <f aca="false">IF(C3043="","",INDEX(Akaun!$D$5:$D$150,MATCH(C3043,Akaun!$A$5:$A$150,0)))</f>
        <v/>
      </c>
    </row>
    <row r="3044" customFormat="false" ht="15" hidden="false" customHeight="true" outlineLevel="0" collapsed="false">
      <c r="G3044" s="1" t="str">
        <f aca="false">IF(C3044="","",INDEX(Akaun!$F$5:$F$150,MATCH(C3044,Akaun!$A$5:$A$150,0)))</f>
        <v/>
      </c>
      <c r="H3044" s="1" t="str">
        <f aca="false">IF(C3044="","",INDEX(Akaun!$D$5:$D$150,MATCH(C3044,Akaun!$A$5:$A$150,0)))</f>
        <v/>
      </c>
    </row>
    <row r="3045" customFormat="false" ht="15" hidden="false" customHeight="true" outlineLevel="0" collapsed="false">
      <c r="G3045" s="1" t="str">
        <f aca="false">IF(C3045="","",INDEX(Akaun!$F$5:$F$150,MATCH(C3045,Akaun!$A$5:$A$150,0)))</f>
        <v/>
      </c>
      <c r="H3045" s="1" t="str">
        <f aca="false">IF(C3045="","",INDEX(Akaun!$D$5:$D$150,MATCH(C3045,Akaun!$A$5:$A$150,0)))</f>
        <v/>
      </c>
    </row>
    <row r="3046" customFormat="false" ht="15" hidden="false" customHeight="true" outlineLevel="0" collapsed="false">
      <c r="G3046" s="1" t="str">
        <f aca="false">IF(C3046="","",INDEX(Akaun!$F$5:$F$150,MATCH(C3046,Akaun!$A$5:$A$150,0)))</f>
        <v/>
      </c>
      <c r="H3046" s="1" t="str">
        <f aca="false">IF(C3046="","",INDEX(Akaun!$D$5:$D$150,MATCH(C3046,Akaun!$A$5:$A$150,0)))</f>
        <v/>
      </c>
    </row>
    <row r="3047" customFormat="false" ht="15" hidden="false" customHeight="true" outlineLevel="0" collapsed="false">
      <c r="G3047" s="1" t="str">
        <f aca="false">IF(C3047="","",INDEX(Akaun!$F$5:$F$150,MATCH(C3047,Akaun!$A$5:$A$150,0)))</f>
        <v/>
      </c>
      <c r="H3047" s="1" t="str">
        <f aca="false">IF(C3047="","",INDEX(Akaun!$D$5:$D$150,MATCH(C3047,Akaun!$A$5:$A$150,0)))</f>
        <v/>
      </c>
    </row>
    <row r="3048" customFormat="false" ht="15" hidden="false" customHeight="true" outlineLevel="0" collapsed="false">
      <c r="G3048" s="1" t="str">
        <f aca="false">IF(C3048="","",INDEX(Akaun!$F$5:$F$150,MATCH(C3048,Akaun!$A$5:$A$150,0)))</f>
        <v/>
      </c>
      <c r="H3048" s="1" t="str">
        <f aca="false">IF(C3048="","",INDEX(Akaun!$D$5:$D$150,MATCH(C3048,Akaun!$A$5:$A$150,0)))</f>
        <v/>
      </c>
    </row>
    <row r="3049" customFormat="false" ht="15" hidden="false" customHeight="true" outlineLevel="0" collapsed="false">
      <c r="G3049" s="1" t="str">
        <f aca="false">IF(C3049="","",INDEX(Akaun!$F$5:$F$150,MATCH(C3049,Akaun!$A$5:$A$150,0)))</f>
        <v/>
      </c>
      <c r="H3049" s="1" t="str">
        <f aca="false">IF(C3049="","",INDEX(Akaun!$D$5:$D$150,MATCH(C3049,Akaun!$A$5:$A$150,0)))</f>
        <v/>
      </c>
    </row>
    <row r="3050" customFormat="false" ht="15" hidden="false" customHeight="true" outlineLevel="0" collapsed="false">
      <c r="G3050" s="1" t="str">
        <f aca="false">IF(C3050="","",INDEX(Akaun!$F$5:$F$150,MATCH(C3050,Akaun!$A$5:$A$150,0)))</f>
        <v/>
      </c>
      <c r="H3050" s="1" t="str">
        <f aca="false">IF(C3050="","",INDEX(Akaun!$D$5:$D$150,MATCH(C3050,Akaun!$A$5:$A$150,0)))</f>
        <v/>
      </c>
    </row>
    <row r="3051" customFormat="false" ht="15" hidden="false" customHeight="true" outlineLevel="0" collapsed="false">
      <c r="G3051" s="1" t="str">
        <f aca="false">IF(C3051="","",INDEX(Akaun!$F$5:$F$150,MATCH(C3051,Akaun!$A$5:$A$150,0)))</f>
        <v/>
      </c>
      <c r="H3051" s="1" t="str">
        <f aca="false">IF(C3051="","",INDEX(Akaun!$D$5:$D$150,MATCH(C3051,Akaun!$A$5:$A$150,0)))</f>
        <v/>
      </c>
    </row>
    <row r="3052" customFormat="false" ht="15" hidden="false" customHeight="true" outlineLevel="0" collapsed="false">
      <c r="G3052" s="1" t="str">
        <f aca="false">IF(C3052="","",INDEX(Akaun!$F$5:$F$150,MATCH(C3052,Akaun!$A$5:$A$150,0)))</f>
        <v/>
      </c>
      <c r="H3052" s="1" t="str">
        <f aca="false">IF(C3052="","",INDEX(Akaun!$D$5:$D$150,MATCH(C3052,Akaun!$A$5:$A$150,0)))</f>
        <v/>
      </c>
    </row>
    <row r="3053" customFormat="false" ht="15" hidden="false" customHeight="true" outlineLevel="0" collapsed="false">
      <c r="G3053" s="1" t="str">
        <f aca="false">IF(C3053="","",INDEX(Akaun!$F$5:$F$150,MATCH(C3053,Akaun!$A$5:$A$150,0)))</f>
        <v/>
      </c>
      <c r="H3053" s="1" t="str">
        <f aca="false">IF(C3053="","",INDEX(Akaun!$D$5:$D$150,MATCH(C3053,Akaun!$A$5:$A$150,0)))</f>
        <v/>
      </c>
    </row>
    <row r="3054" customFormat="false" ht="15" hidden="false" customHeight="true" outlineLevel="0" collapsed="false">
      <c r="G3054" s="1" t="str">
        <f aca="false">IF(C3054="","",INDEX(Akaun!$F$5:$F$150,MATCH(C3054,Akaun!$A$5:$A$150,0)))</f>
        <v/>
      </c>
      <c r="H3054" s="1" t="str">
        <f aca="false">IF(C3054="","",INDEX(Akaun!$D$5:$D$150,MATCH(C3054,Akaun!$A$5:$A$150,0)))</f>
        <v/>
      </c>
    </row>
    <row r="3055" customFormat="false" ht="15" hidden="false" customHeight="true" outlineLevel="0" collapsed="false">
      <c r="G3055" s="1" t="str">
        <f aca="false">IF(C3055="","",INDEX(Akaun!$F$5:$F$150,MATCH(C3055,Akaun!$A$5:$A$150,0)))</f>
        <v/>
      </c>
      <c r="H3055" s="1" t="str">
        <f aca="false">IF(C3055="","",INDEX(Akaun!$D$5:$D$150,MATCH(C3055,Akaun!$A$5:$A$150,0)))</f>
        <v/>
      </c>
    </row>
    <row r="3056" customFormat="false" ht="15" hidden="false" customHeight="true" outlineLevel="0" collapsed="false">
      <c r="G3056" s="1" t="str">
        <f aca="false">IF(C3056="","",INDEX(Akaun!$F$5:$F$150,MATCH(C3056,Akaun!$A$5:$A$150,0)))</f>
        <v/>
      </c>
      <c r="H3056" s="1" t="str">
        <f aca="false">IF(C3056="","",INDEX(Akaun!$D$5:$D$150,MATCH(C3056,Akaun!$A$5:$A$150,0)))</f>
        <v/>
      </c>
    </row>
    <row r="3057" customFormat="false" ht="15" hidden="false" customHeight="true" outlineLevel="0" collapsed="false">
      <c r="G3057" s="1" t="str">
        <f aca="false">IF(C3057="","",INDEX(Akaun!$F$5:$F$150,MATCH(C3057,Akaun!$A$5:$A$150,0)))</f>
        <v/>
      </c>
      <c r="H3057" s="1" t="str">
        <f aca="false">IF(C3057="","",INDEX(Akaun!$D$5:$D$150,MATCH(C3057,Akaun!$A$5:$A$150,0)))</f>
        <v/>
      </c>
    </row>
    <row r="3058" customFormat="false" ht="15" hidden="false" customHeight="true" outlineLevel="0" collapsed="false">
      <c r="G3058" s="1" t="str">
        <f aca="false">IF(C3058="","",INDEX(Akaun!$F$5:$F$150,MATCH(C3058,Akaun!$A$5:$A$150,0)))</f>
        <v/>
      </c>
      <c r="H3058" s="1" t="str">
        <f aca="false">IF(C3058="","",INDEX(Akaun!$D$5:$D$150,MATCH(C3058,Akaun!$A$5:$A$150,0)))</f>
        <v/>
      </c>
    </row>
    <row r="3059" customFormat="false" ht="15" hidden="false" customHeight="true" outlineLevel="0" collapsed="false">
      <c r="G3059" s="1" t="str">
        <f aca="false">IF(C3059="","",INDEX(Akaun!$F$5:$F$150,MATCH(C3059,Akaun!$A$5:$A$150,0)))</f>
        <v/>
      </c>
      <c r="H3059" s="1" t="str">
        <f aca="false">IF(C3059="","",INDEX(Akaun!$D$5:$D$150,MATCH(C3059,Akaun!$A$5:$A$150,0)))</f>
        <v/>
      </c>
    </row>
    <row r="3060" customFormat="false" ht="15" hidden="false" customHeight="true" outlineLevel="0" collapsed="false">
      <c r="G3060" s="1" t="str">
        <f aca="false">IF(C3060="","",INDEX(Akaun!$F$5:$F$150,MATCH(C3060,Akaun!$A$5:$A$150,0)))</f>
        <v/>
      </c>
      <c r="H3060" s="1" t="str">
        <f aca="false">IF(C3060="","",INDEX(Akaun!$D$5:$D$150,MATCH(C3060,Akaun!$A$5:$A$150,0)))</f>
        <v/>
      </c>
    </row>
    <row r="3061" customFormat="false" ht="15" hidden="false" customHeight="true" outlineLevel="0" collapsed="false">
      <c r="G3061" s="1" t="str">
        <f aca="false">IF(C3061="","",INDEX(Akaun!$F$5:$F$150,MATCH(C3061,Akaun!$A$5:$A$150,0)))</f>
        <v/>
      </c>
      <c r="H3061" s="1" t="str">
        <f aca="false">IF(C3061="","",INDEX(Akaun!$D$5:$D$150,MATCH(C3061,Akaun!$A$5:$A$150,0)))</f>
        <v/>
      </c>
    </row>
    <row r="3062" customFormat="false" ht="15" hidden="false" customHeight="true" outlineLevel="0" collapsed="false">
      <c r="G3062" s="1" t="str">
        <f aca="false">IF(C3062="","",INDEX(Akaun!$F$5:$F$150,MATCH(C3062,Akaun!$A$5:$A$150,0)))</f>
        <v/>
      </c>
      <c r="H3062" s="1" t="str">
        <f aca="false">IF(C3062="","",INDEX(Akaun!$D$5:$D$150,MATCH(C3062,Akaun!$A$5:$A$150,0)))</f>
        <v/>
      </c>
    </row>
    <row r="3063" customFormat="false" ht="15" hidden="false" customHeight="true" outlineLevel="0" collapsed="false">
      <c r="G3063" s="1" t="str">
        <f aca="false">IF(C3063="","",INDEX(Akaun!$F$5:$F$150,MATCH(C3063,Akaun!$A$5:$A$150,0)))</f>
        <v/>
      </c>
      <c r="H3063" s="1" t="str">
        <f aca="false">IF(C3063="","",INDEX(Akaun!$D$5:$D$150,MATCH(C3063,Akaun!$A$5:$A$150,0)))</f>
        <v/>
      </c>
    </row>
    <row r="3064" customFormat="false" ht="15" hidden="false" customHeight="true" outlineLevel="0" collapsed="false">
      <c r="G3064" s="1" t="str">
        <f aca="false">IF(C3064="","",INDEX(Akaun!$F$5:$F$150,MATCH(C3064,Akaun!$A$5:$A$150,0)))</f>
        <v/>
      </c>
      <c r="H3064" s="1" t="str">
        <f aca="false">IF(C3064="","",INDEX(Akaun!$D$5:$D$150,MATCH(C3064,Akaun!$A$5:$A$150,0)))</f>
        <v/>
      </c>
    </row>
    <row r="3065" customFormat="false" ht="15" hidden="false" customHeight="true" outlineLevel="0" collapsed="false">
      <c r="G3065" s="1" t="str">
        <f aca="false">IF(C3065="","",INDEX(Akaun!$F$5:$F$150,MATCH(C3065,Akaun!$A$5:$A$150,0)))</f>
        <v/>
      </c>
      <c r="H3065" s="1" t="str">
        <f aca="false">IF(C3065="","",INDEX(Akaun!$D$5:$D$150,MATCH(C3065,Akaun!$A$5:$A$150,0)))</f>
        <v/>
      </c>
    </row>
    <row r="3066" customFormat="false" ht="15" hidden="false" customHeight="true" outlineLevel="0" collapsed="false">
      <c r="G3066" s="1" t="str">
        <f aca="false">IF(C3066="","",INDEX(Akaun!$F$5:$F$150,MATCH(C3066,Akaun!$A$5:$A$150,0)))</f>
        <v/>
      </c>
      <c r="H3066" s="1" t="str">
        <f aca="false">IF(C3066="","",INDEX(Akaun!$D$5:$D$150,MATCH(C3066,Akaun!$A$5:$A$150,0)))</f>
        <v/>
      </c>
    </row>
    <row r="3067" customFormat="false" ht="15" hidden="false" customHeight="true" outlineLevel="0" collapsed="false">
      <c r="G3067" s="1" t="str">
        <f aca="false">IF(C3067="","",INDEX(Akaun!$F$5:$F$150,MATCH(C3067,Akaun!$A$5:$A$150,0)))</f>
        <v/>
      </c>
      <c r="H3067" s="1" t="str">
        <f aca="false">IF(C3067="","",INDEX(Akaun!$D$5:$D$150,MATCH(C3067,Akaun!$A$5:$A$150,0)))</f>
        <v/>
      </c>
    </row>
    <row r="3068" customFormat="false" ht="15" hidden="false" customHeight="true" outlineLevel="0" collapsed="false">
      <c r="G3068" s="1" t="str">
        <f aca="false">IF(C3068="","",INDEX(Akaun!$F$5:$F$150,MATCH(C3068,Akaun!$A$5:$A$150,0)))</f>
        <v/>
      </c>
      <c r="H3068" s="1" t="str">
        <f aca="false">IF(C3068="","",INDEX(Akaun!$D$5:$D$150,MATCH(C3068,Akaun!$A$5:$A$150,0)))</f>
        <v/>
      </c>
    </row>
    <row r="3069" customFormat="false" ht="15" hidden="false" customHeight="true" outlineLevel="0" collapsed="false">
      <c r="G3069" s="1" t="str">
        <f aca="false">IF(C3069="","",INDEX(Akaun!$F$5:$F$150,MATCH(C3069,Akaun!$A$5:$A$150,0)))</f>
        <v/>
      </c>
      <c r="H3069" s="1" t="str">
        <f aca="false">IF(C3069="","",INDEX(Akaun!$D$5:$D$150,MATCH(C3069,Akaun!$A$5:$A$150,0)))</f>
        <v/>
      </c>
    </row>
    <row r="3070" customFormat="false" ht="15" hidden="false" customHeight="true" outlineLevel="0" collapsed="false">
      <c r="G3070" s="1" t="str">
        <f aca="false">IF(C3070="","",INDEX(Akaun!$F$5:$F$150,MATCH(C3070,Akaun!$A$5:$A$150,0)))</f>
        <v/>
      </c>
      <c r="H3070" s="1" t="str">
        <f aca="false">IF(C3070="","",INDEX(Akaun!$D$5:$D$150,MATCH(C3070,Akaun!$A$5:$A$150,0)))</f>
        <v/>
      </c>
    </row>
    <row r="3071" customFormat="false" ht="15" hidden="false" customHeight="true" outlineLevel="0" collapsed="false">
      <c r="G3071" s="1" t="str">
        <f aca="false">IF(C3071="","",INDEX(Akaun!$F$5:$F$150,MATCH(C3071,Akaun!$A$5:$A$150,0)))</f>
        <v/>
      </c>
      <c r="H3071" s="1" t="str">
        <f aca="false">IF(C3071="","",INDEX(Akaun!$D$5:$D$150,MATCH(C3071,Akaun!$A$5:$A$150,0)))</f>
        <v/>
      </c>
    </row>
    <row r="3072" customFormat="false" ht="15" hidden="false" customHeight="true" outlineLevel="0" collapsed="false">
      <c r="G3072" s="1" t="str">
        <f aca="false">IF(C3072="","",INDEX(Akaun!$F$5:$F$150,MATCH(C3072,Akaun!$A$5:$A$150,0)))</f>
        <v/>
      </c>
      <c r="H3072" s="1" t="str">
        <f aca="false">IF(C3072="","",INDEX(Akaun!$D$5:$D$150,MATCH(C3072,Akaun!$A$5:$A$150,0)))</f>
        <v/>
      </c>
    </row>
    <row r="3073" customFormat="false" ht="15" hidden="false" customHeight="true" outlineLevel="0" collapsed="false">
      <c r="G3073" s="1" t="str">
        <f aca="false">IF(C3073="","",INDEX(Akaun!$F$5:$F$150,MATCH(C3073,Akaun!$A$5:$A$150,0)))</f>
        <v/>
      </c>
      <c r="H3073" s="1" t="str">
        <f aca="false">IF(C3073="","",INDEX(Akaun!$D$5:$D$150,MATCH(C3073,Akaun!$A$5:$A$150,0)))</f>
        <v/>
      </c>
    </row>
    <row r="3074" customFormat="false" ht="15" hidden="false" customHeight="true" outlineLevel="0" collapsed="false">
      <c r="G3074" s="1" t="str">
        <f aca="false">IF(C3074="","",INDEX(Akaun!$F$5:$F$150,MATCH(C3074,Akaun!$A$5:$A$150,0)))</f>
        <v/>
      </c>
      <c r="H3074" s="1" t="str">
        <f aca="false">IF(C3074="","",INDEX(Akaun!$D$5:$D$150,MATCH(C3074,Akaun!$A$5:$A$150,0)))</f>
        <v/>
      </c>
    </row>
    <row r="3075" customFormat="false" ht="15" hidden="false" customHeight="true" outlineLevel="0" collapsed="false">
      <c r="G3075" s="1" t="str">
        <f aca="false">IF(C3075="","",INDEX(Akaun!$F$5:$F$150,MATCH(C3075,Akaun!$A$5:$A$150,0)))</f>
        <v/>
      </c>
      <c r="H3075" s="1" t="str">
        <f aca="false">IF(C3075="","",INDEX(Akaun!$D$5:$D$150,MATCH(C3075,Akaun!$A$5:$A$150,0)))</f>
        <v/>
      </c>
    </row>
    <row r="3076" customFormat="false" ht="15" hidden="false" customHeight="true" outlineLevel="0" collapsed="false">
      <c r="G3076" s="1" t="str">
        <f aca="false">IF(C3076="","",INDEX(Akaun!$F$5:$F$150,MATCH(C3076,Akaun!$A$5:$A$150,0)))</f>
        <v/>
      </c>
      <c r="H3076" s="1" t="str">
        <f aca="false">IF(C3076="","",INDEX(Akaun!$D$5:$D$150,MATCH(C3076,Akaun!$A$5:$A$150,0)))</f>
        <v/>
      </c>
    </row>
    <row r="3077" customFormat="false" ht="15" hidden="false" customHeight="true" outlineLevel="0" collapsed="false">
      <c r="G3077" s="1" t="str">
        <f aca="false">IF(C3077="","",INDEX(Akaun!$F$5:$F$150,MATCH(C3077,Akaun!$A$5:$A$150,0)))</f>
        <v/>
      </c>
      <c r="H3077" s="1" t="str">
        <f aca="false">IF(C3077="","",INDEX(Akaun!$D$5:$D$150,MATCH(C3077,Akaun!$A$5:$A$150,0)))</f>
        <v/>
      </c>
    </row>
    <row r="3078" customFormat="false" ht="15" hidden="false" customHeight="true" outlineLevel="0" collapsed="false">
      <c r="G3078" s="1" t="str">
        <f aca="false">IF(C3078="","",INDEX(Akaun!$F$5:$F$150,MATCH(C3078,Akaun!$A$5:$A$150,0)))</f>
        <v/>
      </c>
      <c r="H3078" s="1" t="str">
        <f aca="false">IF(C3078="","",INDEX(Akaun!$D$5:$D$150,MATCH(C3078,Akaun!$A$5:$A$150,0)))</f>
        <v/>
      </c>
    </row>
    <row r="3079" customFormat="false" ht="15" hidden="false" customHeight="true" outlineLevel="0" collapsed="false">
      <c r="G3079" s="1" t="str">
        <f aca="false">IF(C3079="","",INDEX(Akaun!$F$5:$F$150,MATCH(C3079,Akaun!$A$5:$A$150,0)))</f>
        <v/>
      </c>
      <c r="H3079" s="1" t="str">
        <f aca="false">IF(C3079="","",INDEX(Akaun!$D$5:$D$150,MATCH(C3079,Akaun!$A$5:$A$150,0)))</f>
        <v/>
      </c>
    </row>
    <row r="3080" customFormat="false" ht="15" hidden="false" customHeight="true" outlineLevel="0" collapsed="false">
      <c r="G3080" s="1" t="str">
        <f aca="false">IF(C3080="","",INDEX(Akaun!$F$5:$F$150,MATCH(C3080,Akaun!$A$5:$A$150,0)))</f>
        <v/>
      </c>
      <c r="H3080" s="1" t="str">
        <f aca="false">IF(C3080="","",INDEX(Akaun!$D$5:$D$150,MATCH(C3080,Akaun!$A$5:$A$150,0)))</f>
        <v/>
      </c>
    </row>
    <row r="3081" customFormat="false" ht="15" hidden="false" customHeight="true" outlineLevel="0" collapsed="false">
      <c r="G3081" s="1" t="str">
        <f aca="false">IF(C3081="","",INDEX(Akaun!$F$5:$F$150,MATCH(C3081,Akaun!$A$5:$A$150,0)))</f>
        <v/>
      </c>
      <c r="H3081" s="1" t="str">
        <f aca="false">IF(C3081="","",INDEX(Akaun!$D$5:$D$150,MATCH(C3081,Akaun!$A$5:$A$150,0)))</f>
        <v/>
      </c>
    </row>
    <row r="3082" customFormat="false" ht="15" hidden="false" customHeight="true" outlineLevel="0" collapsed="false">
      <c r="G3082" s="1" t="str">
        <f aca="false">IF(C3082="","",INDEX(Akaun!$F$5:$F$150,MATCH(C3082,Akaun!$A$5:$A$150,0)))</f>
        <v/>
      </c>
      <c r="H3082" s="1" t="str">
        <f aca="false">IF(C3082="","",INDEX(Akaun!$D$5:$D$150,MATCH(C3082,Akaun!$A$5:$A$150,0)))</f>
        <v/>
      </c>
    </row>
    <row r="3083" customFormat="false" ht="15" hidden="false" customHeight="true" outlineLevel="0" collapsed="false">
      <c r="G3083" s="1" t="str">
        <f aca="false">IF(C3083="","",INDEX(Akaun!$F$5:$F$150,MATCH(C3083,Akaun!$A$5:$A$150,0)))</f>
        <v/>
      </c>
      <c r="H3083" s="1" t="str">
        <f aca="false">IF(C3083="","",INDEX(Akaun!$D$5:$D$150,MATCH(C3083,Akaun!$A$5:$A$150,0)))</f>
        <v/>
      </c>
    </row>
    <row r="3084" customFormat="false" ht="15" hidden="false" customHeight="true" outlineLevel="0" collapsed="false">
      <c r="G3084" s="1" t="str">
        <f aca="false">IF(C3084="","",INDEX(Akaun!$F$5:$F$150,MATCH(C3084,Akaun!$A$5:$A$150,0)))</f>
        <v/>
      </c>
      <c r="H3084" s="1" t="str">
        <f aca="false">IF(C3084="","",INDEX(Akaun!$D$5:$D$150,MATCH(C3084,Akaun!$A$5:$A$150,0)))</f>
        <v/>
      </c>
    </row>
    <row r="3085" customFormat="false" ht="15" hidden="false" customHeight="true" outlineLevel="0" collapsed="false">
      <c r="G3085" s="1" t="str">
        <f aca="false">IF(C3085="","",INDEX(Akaun!$F$5:$F$150,MATCH(C3085,Akaun!$A$5:$A$150,0)))</f>
        <v/>
      </c>
      <c r="H3085" s="1" t="str">
        <f aca="false">IF(C3085="","",INDEX(Akaun!$D$5:$D$150,MATCH(C3085,Akaun!$A$5:$A$150,0)))</f>
        <v/>
      </c>
    </row>
    <row r="3086" customFormat="false" ht="15" hidden="false" customHeight="true" outlineLevel="0" collapsed="false">
      <c r="G3086" s="1" t="str">
        <f aca="false">IF(C3086="","",INDEX(Akaun!$F$5:$F$150,MATCH(C3086,Akaun!$A$5:$A$150,0)))</f>
        <v/>
      </c>
      <c r="H3086" s="1" t="str">
        <f aca="false">IF(C3086="","",INDEX(Akaun!$D$5:$D$150,MATCH(C3086,Akaun!$A$5:$A$150,0)))</f>
        <v/>
      </c>
    </row>
    <row r="3087" customFormat="false" ht="15" hidden="false" customHeight="true" outlineLevel="0" collapsed="false">
      <c r="G3087" s="1" t="str">
        <f aca="false">IF(C3087="","",INDEX(Akaun!$F$5:$F$150,MATCH(C3087,Akaun!$A$5:$A$150,0)))</f>
        <v/>
      </c>
      <c r="H3087" s="1" t="str">
        <f aca="false">IF(C3087="","",INDEX(Akaun!$D$5:$D$150,MATCH(C3087,Akaun!$A$5:$A$150,0)))</f>
        <v/>
      </c>
    </row>
    <row r="3088" customFormat="false" ht="15" hidden="false" customHeight="true" outlineLevel="0" collapsed="false">
      <c r="G3088" s="1" t="str">
        <f aca="false">IF(C3088="","",INDEX(Akaun!$F$5:$F$150,MATCH(C3088,Akaun!$A$5:$A$150,0)))</f>
        <v/>
      </c>
      <c r="H3088" s="1" t="str">
        <f aca="false">IF(C3088="","",INDEX(Akaun!$D$5:$D$150,MATCH(C3088,Akaun!$A$5:$A$150,0)))</f>
        <v/>
      </c>
    </row>
    <row r="3089" customFormat="false" ht="15" hidden="false" customHeight="true" outlineLevel="0" collapsed="false">
      <c r="G3089" s="1" t="str">
        <f aca="false">IF(C3089="","",INDEX(Akaun!$F$5:$F$150,MATCH(C3089,Akaun!$A$5:$A$150,0)))</f>
        <v/>
      </c>
      <c r="H3089" s="1" t="str">
        <f aca="false">IF(C3089="","",INDEX(Akaun!$D$5:$D$150,MATCH(C3089,Akaun!$A$5:$A$150,0)))</f>
        <v/>
      </c>
    </row>
    <row r="3090" customFormat="false" ht="15" hidden="false" customHeight="true" outlineLevel="0" collapsed="false">
      <c r="G3090" s="1" t="str">
        <f aca="false">IF(C3090="","",INDEX(Akaun!$F$5:$F$150,MATCH(C3090,Akaun!$A$5:$A$150,0)))</f>
        <v/>
      </c>
      <c r="H3090" s="1" t="str">
        <f aca="false">IF(C3090="","",INDEX(Akaun!$D$5:$D$150,MATCH(C3090,Akaun!$A$5:$A$150,0)))</f>
        <v/>
      </c>
    </row>
    <row r="3091" customFormat="false" ht="15" hidden="false" customHeight="true" outlineLevel="0" collapsed="false">
      <c r="G3091" s="1" t="str">
        <f aca="false">IF(C3091="","",INDEX(Akaun!$F$5:$F$150,MATCH(C3091,Akaun!$A$5:$A$150,0)))</f>
        <v/>
      </c>
      <c r="H3091" s="1" t="str">
        <f aca="false">IF(C3091="","",INDEX(Akaun!$D$5:$D$150,MATCH(C3091,Akaun!$A$5:$A$150,0)))</f>
        <v/>
      </c>
    </row>
    <row r="3092" customFormat="false" ht="15" hidden="false" customHeight="true" outlineLevel="0" collapsed="false">
      <c r="G3092" s="1" t="str">
        <f aca="false">IF(C3092="","",INDEX(Akaun!$F$5:$F$150,MATCH(C3092,Akaun!$A$5:$A$150,0)))</f>
        <v/>
      </c>
      <c r="H3092" s="1" t="str">
        <f aca="false">IF(C3092="","",INDEX(Akaun!$D$5:$D$150,MATCH(C3092,Akaun!$A$5:$A$150,0)))</f>
        <v/>
      </c>
    </row>
    <row r="3093" customFormat="false" ht="15" hidden="false" customHeight="true" outlineLevel="0" collapsed="false">
      <c r="G3093" s="1" t="str">
        <f aca="false">IF(C3093="","",INDEX(Akaun!$F$5:$F$150,MATCH(C3093,Akaun!$A$5:$A$150,0)))</f>
        <v/>
      </c>
      <c r="H3093" s="1" t="str">
        <f aca="false">IF(C3093="","",INDEX(Akaun!$D$5:$D$150,MATCH(C3093,Akaun!$A$5:$A$150,0)))</f>
        <v/>
      </c>
    </row>
    <row r="3094" customFormat="false" ht="15" hidden="false" customHeight="true" outlineLevel="0" collapsed="false">
      <c r="G3094" s="1" t="str">
        <f aca="false">IF(C3094="","",INDEX(Akaun!$F$5:$F$150,MATCH(C3094,Akaun!$A$5:$A$150,0)))</f>
        <v/>
      </c>
      <c r="H3094" s="1" t="str">
        <f aca="false">IF(C3094="","",INDEX(Akaun!$D$5:$D$150,MATCH(C3094,Akaun!$A$5:$A$150,0)))</f>
        <v/>
      </c>
    </row>
    <row r="3095" customFormat="false" ht="15" hidden="false" customHeight="true" outlineLevel="0" collapsed="false">
      <c r="G3095" s="1" t="str">
        <f aca="false">IF(C3095="","",INDEX(Akaun!$F$5:$F$150,MATCH(C3095,Akaun!$A$5:$A$150,0)))</f>
        <v/>
      </c>
      <c r="H3095" s="1" t="str">
        <f aca="false">IF(C3095="","",INDEX(Akaun!$D$5:$D$150,MATCH(C3095,Akaun!$A$5:$A$150,0)))</f>
        <v/>
      </c>
    </row>
    <row r="3096" customFormat="false" ht="15" hidden="false" customHeight="true" outlineLevel="0" collapsed="false">
      <c r="G3096" s="1" t="str">
        <f aca="false">IF(C3096="","",INDEX(Akaun!$F$5:$F$150,MATCH(C3096,Akaun!$A$5:$A$150,0)))</f>
        <v/>
      </c>
      <c r="H3096" s="1" t="str">
        <f aca="false">IF(C3096="","",INDEX(Akaun!$D$5:$D$150,MATCH(C3096,Akaun!$A$5:$A$150,0)))</f>
        <v/>
      </c>
    </row>
    <row r="3097" customFormat="false" ht="15" hidden="false" customHeight="true" outlineLevel="0" collapsed="false">
      <c r="G3097" s="1" t="str">
        <f aca="false">IF(C3097="","",INDEX(Akaun!$F$5:$F$150,MATCH(C3097,Akaun!$A$5:$A$150,0)))</f>
        <v/>
      </c>
      <c r="H3097" s="1" t="str">
        <f aca="false">IF(C3097="","",INDEX(Akaun!$D$5:$D$150,MATCH(C3097,Akaun!$A$5:$A$150,0)))</f>
        <v/>
      </c>
    </row>
    <row r="3098" customFormat="false" ht="15" hidden="false" customHeight="true" outlineLevel="0" collapsed="false">
      <c r="G3098" s="1" t="str">
        <f aca="false">IF(C3098="","",INDEX(Akaun!$F$5:$F$150,MATCH(C3098,Akaun!$A$5:$A$150,0)))</f>
        <v/>
      </c>
      <c r="H3098" s="1" t="str">
        <f aca="false">IF(C3098="","",INDEX(Akaun!$D$5:$D$150,MATCH(C3098,Akaun!$A$5:$A$150,0)))</f>
        <v/>
      </c>
    </row>
    <row r="3099" customFormat="false" ht="15" hidden="false" customHeight="true" outlineLevel="0" collapsed="false">
      <c r="G3099" s="1" t="str">
        <f aca="false">IF(C3099="","",INDEX(Akaun!$F$5:$F$150,MATCH(C3099,Akaun!$A$5:$A$150,0)))</f>
        <v/>
      </c>
      <c r="H3099" s="1" t="str">
        <f aca="false">IF(C3099="","",INDEX(Akaun!$D$5:$D$150,MATCH(C3099,Akaun!$A$5:$A$150,0)))</f>
        <v/>
      </c>
    </row>
    <row r="3100" customFormat="false" ht="15" hidden="false" customHeight="true" outlineLevel="0" collapsed="false">
      <c r="G3100" s="1" t="str">
        <f aca="false">IF(C3100="","",INDEX(Akaun!$F$5:$F$150,MATCH(C3100,Akaun!$A$5:$A$150,0)))</f>
        <v/>
      </c>
      <c r="H3100" s="1" t="str">
        <f aca="false">IF(C3100="","",INDEX(Akaun!$D$5:$D$150,MATCH(C3100,Akaun!$A$5:$A$150,0)))</f>
        <v/>
      </c>
    </row>
    <row r="3101" customFormat="false" ht="15" hidden="false" customHeight="true" outlineLevel="0" collapsed="false">
      <c r="G3101" s="1" t="str">
        <f aca="false">IF(C3101="","",INDEX(Akaun!$F$5:$F$150,MATCH(C3101,Akaun!$A$5:$A$150,0)))</f>
        <v/>
      </c>
      <c r="H3101" s="1" t="str">
        <f aca="false">IF(C3101="","",INDEX(Akaun!$D$5:$D$150,MATCH(C3101,Akaun!$A$5:$A$150,0)))</f>
        <v/>
      </c>
    </row>
    <row r="3102" customFormat="false" ht="15" hidden="false" customHeight="true" outlineLevel="0" collapsed="false">
      <c r="G3102" s="1" t="str">
        <f aca="false">IF(C3102="","",INDEX(Akaun!$F$5:$F$150,MATCH(C3102,Akaun!$A$5:$A$150,0)))</f>
        <v/>
      </c>
      <c r="H3102" s="1" t="str">
        <f aca="false">IF(C3102="","",INDEX(Akaun!$D$5:$D$150,MATCH(C3102,Akaun!$A$5:$A$150,0)))</f>
        <v/>
      </c>
    </row>
    <row r="3103" customFormat="false" ht="15" hidden="false" customHeight="true" outlineLevel="0" collapsed="false">
      <c r="G3103" s="1" t="str">
        <f aca="false">IF(C3103="","",INDEX(Akaun!$F$5:$F$150,MATCH(C3103,Akaun!$A$5:$A$150,0)))</f>
        <v/>
      </c>
      <c r="H3103" s="1" t="str">
        <f aca="false">IF(C3103="","",INDEX(Akaun!$D$5:$D$150,MATCH(C3103,Akaun!$A$5:$A$150,0)))</f>
        <v/>
      </c>
    </row>
    <row r="3104" customFormat="false" ht="15" hidden="false" customHeight="true" outlineLevel="0" collapsed="false">
      <c r="G3104" s="1" t="str">
        <f aca="false">IF(C3104="","",INDEX(Akaun!$F$5:$F$150,MATCH(C3104,Akaun!$A$5:$A$150,0)))</f>
        <v/>
      </c>
      <c r="H3104" s="1" t="str">
        <f aca="false">IF(C3104="","",INDEX(Akaun!$D$5:$D$150,MATCH(C3104,Akaun!$A$5:$A$150,0)))</f>
        <v/>
      </c>
    </row>
    <row r="3105" customFormat="false" ht="15" hidden="false" customHeight="true" outlineLevel="0" collapsed="false">
      <c r="G3105" s="1" t="str">
        <f aca="false">IF(C3105="","",INDEX(Akaun!$F$5:$F$150,MATCH(C3105,Akaun!$A$5:$A$150,0)))</f>
        <v/>
      </c>
      <c r="H3105" s="1" t="str">
        <f aca="false">IF(C3105="","",INDEX(Akaun!$D$5:$D$150,MATCH(C3105,Akaun!$A$5:$A$150,0)))</f>
        <v/>
      </c>
    </row>
    <row r="3106" customFormat="false" ht="15" hidden="false" customHeight="true" outlineLevel="0" collapsed="false">
      <c r="G3106" s="1" t="str">
        <f aca="false">IF(C3106="","",INDEX(Akaun!$F$5:$F$150,MATCH(C3106,Akaun!$A$5:$A$150,0)))</f>
        <v/>
      </c>
      <c r="H3106" s="1" t="str">
        <f aca="false">IF(C3106="","",INDEX(Akaun!$D$5:$D$150,MATCH(C3106,Akaun!$A$5:$A$150,0)))</f>
        <v/>
      </c>
    </row>
    <row r="3107" customFormat="false" ht="15" hidden="false" customHeight="true" outlineLevel="0" collapsed="false">
      <c r="G3107" s="1" t="str">
        <f aca="false">IF(C3107="","",INDEX(Akaun!$F$5:$F$150,MATCH(C3107,Akaun!$A$5:$A$150,0)))</f>
        <v/>
      </c>
      <c r="H3107" s="1" t="str">
        <f aca="false">IF(C3107="","",INDEX(Akaun!$D$5:$D$150,MATCH(C3107,Akaun!$A$5:$A$150,0)))</f>
        <v/>
      </c>
    </row>
    <row r="3108" customFormat="false" ht="15" hidden="false" customHeight="true" outlineLevel="0" collapsed="false">
      <c r="G3108" s="1" t="str">
        <f aca="false">IF(C3108="","",INDEX(Akaun!$F$5:$F$150,MATCH(C3108,Akaun!$A$5:$A$150,0)))</f>
        <v/>
      </c>
      <c r="H3108" s="1" t="str">
        <f aca="false">IF(C3108="","",INDEX(Akaun!$D$5:$D$150,MATCH(C3108,Akaun!$A$5:$A$150,0)))</f>
        <v/>
      </c>
    </row>
    <row r="3109" customFormat="false" ht="15" hidden="false" customHeight="true" outlineLevel="0" collapsed="false">
      <c r="G3109" s="1" t="str">
        <f aca="false">IF(C3109="","",INDEX(Akaun!$F$5:$F$150,MATCH(C3109,Akaun!$A$5:$A$150,0)))</f>
        <v/>
      </c>
      <c r="H3109" s="1" t="str">
        <f aca="false">IF(C3109="","",INDEX(Akaun!$D$5:$D$150,MATCH(C3109,Akaun!$A$5:$A$150,0)))</f>
        <v/>
      </c>
    </row>
    <row r="3110" customFormat="false" ht="15" hidden="false" customHeight="true" outlineLevel="0" collapsed="false">
      <c r="G3110" s="1" t="str">
        <f aca="false">IF(C3110="","",INDEX(Akaun!$F$5:$F$150,MATCH(C3110,Akaun!$A$5:$A$150,0)))</f>
        <v/>
      </c>
      <c r="H3110" s="1" t="str">
        <f aca="false">IF(C3110="","",INDEX(Akaun!$D$5:$D$150,MATCH(C3110,Akaun!$A$5:$A$150,0)))</f>
        <v/>
      </c>
    </row>
    <row r="3111" customFormat="false" ht="15" hidden="false" customHeight="true" outlineLevel="0" collapsed="false">
      <c r="G3111" s="1" t="str">
        <f aca="false">IF(C3111="","",INDEX(Akaun!$F$5:$F$150,MATCH(C3111,Akaun!$A$5:$A$150,0)))</f>
        <v/>
      </c>
      <c r="H3111" s="1" t="str">
        <f aca="false">IF(C3111="","",INDEX(Akaun!$D$5:$D$150,MATCH(C3111,Akaun!$A$5:$A$150,0)))</f>
        <v/>
      </c>
    </row>
    <row r="3112" customFormat="false" ht="15" hidden="false" customHeight="true" outlineLevel="0" collapsed="false">
      <c r="G3112" s="1" t="str">
        <f aca="false">IF(C3112="","",INDEX(Akaun!$F$5:$F$150,MATCH(C3112,Akaun!$A$5:$A$150,0)))</f>
        <v/>
      </c>
      <c r="H3112" s="1" t="str">
        <f aca="false">IF(C3112="","",INDEX(Akaun!$D$5:$D$150,MATCH(C3112,Akaun!$A$5:$A$150,0)))</f>
        <v/>
      </c>
    </row>
    <row r="3113" customFormat="false" ht="15" hidden="false" customHeight="true" outlineLevel="0" collapsed="false">
      <c r="G3113" s="1" t="str">
        <f aca="false">IF(C3113="","",INDEX(Akaun!$F$5:$F$150,MATCH(C3113,Akaun!$A$5:$A$150,0)))</f>
        <v/>
      </c>
      <c r="H3113" s="1" t="str">
        <f aca="false">IF(C3113="","",INDEX(Akaun!$D$5:$D$150,MATCH(C3113,Akaun!$A$5:$A$150,0)))</f>
        <v/>
      </c>
    </row>
    <row r="3114" customFormat="false" ht="15" hidden="false" customHeight="true" outlineLevel="0" collapsed="false">
      <c r="G3114" s="1" t="str">
        <f aca="false">IF(C3114="","",INDEX(Akaun!$F$5:$F$150,MATCH(C3114,Akaun!$A$5:$A$150,0)))</f>
        <v/>
      </c>
      <c r="H3114" s="1" t="str">
        <f aca="false">IF(C3114="","",INDEX(Akaun!$D$5:$D$150,MATCH(C3114,Akaun!$A$5:$A$150,0)))</f>
        <v/>
      </c>
    </row>
    <row r="3115" customFormat="false" ht="15" hidden="false" customHeight="true" outlineLevel="0" collapsed="false">
      <c r="G3115" s="1" t="str">
        <f aca="false">IF(C3115="","",INDEX(Akaun!$F$5:$F$150,MATCH(C3115,Akaun!$A$5:$A$150,0)))</f>
        <v/>
      </c>
      <c r="H3115" s="1" t="str">
        <f aca="false">IF(C3115="","",INDEX(Akaun!$D$5:$D$150,MATCH(C3115,Akaun!$A$5:$A$150,0)))</f>
        <v/>
      </c>
    </row>
    <row r="3116" customFormat="false" ht="15" hidden="false" customHeight="true" outlineLevel="0" collapsed="false">
      <c r="G3116" s="1" t="str">
        <f aca="false">IF(C3116="","",INDEX(Akaun!$F$5:$F$150,MATCH(C3116,Akaun!$A$5:$A$150,0)))</f>
        <v/>
      </c>
      <c r="H3116" s="1" t="str">
        <f aca="false">IF(C3116="","",INDEX(Akaun!$D$5:$D$150,MATCH(C3116,Akaun!$A$5:$A$150,0)))</f>
        <v/>
      </c>
    </row>
    <row r="3117" customFormat="false" ht="15" hidden="false" customHeight="true" outlineLevel="0" collapsed="false">
      <c r="G3117" s="1" t="str">
        <f aca="false">IF(C3117="","",INDEX(Akaun!$F$5:$F$150,MATCH(C3117,Akaun!$A$5:$A$150,0)))</f>
        <v/>
      </c>
      <c r="H3117" s="1" t="str">
        <f aca="false">IF(C3117="","",INDEX(Akaun!$D$5:$D$150,MATCH(C3117,Akaun!$A$5:$A$150,0)))</f>
        <v/>
      </c>
    </row>
    <row r="3118" customFormat="false" ht="15" hidden="false" customHeight="true" outlineLevel="0" collapsed="false">
      <c r="G3118" s="1" t="str">
        <f aca="false">IF(C3118="","",INDEX(Akaun!$F$5:$F$150,MATCH(C3118,Akaun!$A$5:$A$150,0)))</f>
        <v/>
      </c>
      <c r="H3118" s="1" t="str">
        <f aca="false">IF(C3118="","",INDEX(Akaun!$D$5:$D$150,MATCH(C3118,Akaun!$A$5:$A$150,0)))</f>
        <v/>
      </c>
    </row>
    <row r="3119" customFormat="false" ht="15" hidden="false" customHeight="true" outlineLevel="0" collapsed="false">
      <c r="G3119" s="1" t="str">
        <f aca="false">IF(C3119="","",INDEX(Akaun!$F$5:$F$150,MATCH(C3119,Akaun!$A$5:$A$150,0)))</f>
        <v/>
      </c>
      <c r="H3119" s="1" t="str">
        <f aca="false">IF(C3119="","",INDEX(Akaun!$D$5:$D$150,MATCH(C3119,Akaun!$A$5:$A$150,0)))</f>
        <v/>
      </c>
    </row>
    <row r="3120" customFormat="false" ht="15" hidden="false" customHeight="true" outlineLevel="0" collapsed="false">
      <c r="G3120" s="1" t="str">
        <f aca="false">IF(C3120="","",INDEX(Akaun!$F$5:$F$150,MATCH(C3120,Akaun!$A$5:$A$150,0)))</f>
        <v/>
      </c>
      <c r="H3120" s="1" t="str">
        <f aca="false">IF(C3120="","",INDEX(Akaun!$D$5:$D$150,MATCH(C3120,Akaun!$A$5:$A$150,0)))</f>
        <v/>
      </c>
    </row>
    <row r="3121" customFormat="false" ht="15" hidden="false" customHeight="true" outlineLevel="0" collapsed="false">
      <c r="G3121" s="1" t="str">
        <f aca="false">IF(C3121="","",INDEX(Akaun!$F$5:$F$150,MATCH(C3121,Akaun!$A$5:$A$150,0)))</f>
        <v/>
      </c>
      <c r="H3121" s="1" t="str">
        <f aca="false">IF(C3121="","",INDEX(Akaun!$D$5:$D$150,MATCH(C3121,Akaun!$A$5:$A$150,0)))</f>
        <v/>
      </c>
    </row>
    <row r="3122" customFormat="false" ht="15" hidden="false" customHeight="true" outlineLevel="0" collapsed="false">
      <c r="G3122" s="1" t="str">
        <f aca="false">IF(C3122="","",INDEX(Akaun!$F$5:$F$150,MATCH(C3122,Akaun!$A$5:$A$150,0)))</f>
        <v/>
      </c>
      <c r="H3122" s="1" t="str">
        <f aca="false">IF(C3122="","",INDEX(Akaun!$D$5:$D$150,MATCH(C3122,Akaun!$A$5:$A$150,0)))</f>
        <v/>
      </c>
    </row>
    <row r="3123" customFormat="false" ht="15" hidden="false" customHeight="true" outlineLevel="0" collapsed="false">
      <c r="G3123" s="1" t="str">
        <f aca="false">IF(C3123="","",INDEX(Akaun!$F$5:$F$150,MATCH(C3123,Akaun!$A$5:$A$150,0)))</f>
        <v/>
      </c>
      <c r="H3123" s="1" t="str">
        <f aca="false">IF(C3123="","",INDEX(Akaun!$D$5:$D$150,MATCH(C3123,Akaun!$A$5:$A$150,0)))</f>
        <v/>
      </c>
    </row>
    <row r="3124" customFormat="false" ht="15" hidden="false" customHeight="true" outlineLevel="0" collapsed="false">
      <c r="G3124" s="1" t="str">
        <f aca="false">IF(C3124="","",INDEX(Akaun!$F$5:$F$150,MATCH(C3124,Akaun!$A$5:$A$150,0)))</f>
        <v/>
      </c>
      <c r="H3124" s="1" t="str">
        <f aca="false">IF(C3124="","",INDEX(Akaun!$D$5:$D$150,MATCH(C3124,Akaun!$A$5:$A$150,0)))</f>
        <v/>
      </c>
    </row>
    <row r="3125" customFormat="false" ht="15" hidden="false" customHeight="true" outlineLevel="0" collapsed="false">
      <c r="G3125" s="1" t="str">
        <f aca="false">IF(C3125="","",INDEX(Akaun!$F$5:$F$150,MATCH(C3125,Akaun!$A$5:$A$150,0)))</f>
        <v/>
      </c>
      <c r="H3125" s="1" t="str">
        <f aca="false">IF(C3125="","",INDEX(Akaun!$D$5:$D$150,MATCH(C3125,Akaun!$A$5:$A$150,0)))</f>
        <v/>
      </c>
    </row>
    <row r="3126" customFormat="false" ht="15" hidden="false" customHeight="true" outlineLevel="0" collapsed="false">
      <c r="G3126" s="1" t="str">
        <f aca="false">IF(C3126="","",INDEX(Akaun!$F$5:$F$150,MATCH(C3126,Akaun!$A$5:$A$150,0)))</f>
        <v/>
      </c>
      <c r="H3126" s="1" t="str">
        <f aca="false">IF(C3126="","",INDEX(Akaun!$D$5:$D$150,MATCH(C3126,Akaun!$A$5:$A$150,0)))</f>
        <v/>
      </c>
    </row>
    <row r="3127" customFormat="false" ht="15" hidden="false" customHeight="true" outlineLevel="0" collapsed="false">
      <c r="G3127" s="1" t="str">
        <f aca="false">IF(C3127="","",INDEX(Akaun!$F$5:$F$150,MATCH(C3127,Akaun!$A$5:$A$150,0)))</f>
        <v/>
      </c>
      <c r="H3127" s="1" t="str">
        <f aca="false">IF(C3127="","",INDEX(Akaun!$D$5:$D$150,MATCH(C3127,Akaun!$A$5:$A$150,0)))</f>
        <v/>
      </c>
    </row>
    <row r="3128" customFormat="false" ht="15" hidden="false" customHeight="true" outlineLevel="0" collapsed="false">
      <c r="G3128" s="1" t="str">
        <f aca="false">IF(C3128="","",INDEX(Akaun!$F$5:$F$150,MATCH(C3128,Akaun!$A$5:$A$150,0)))</f>
        <v/>
      </c>
      <c r="H3128" s="1" t="str">
        <f aca="false">IF(C3128="","",INDEX(Akaun!$D$5:$D$150,MATCH(C3128,Akaun!$A$5:$A$150,0)))</f>
        <v/>
      </c>
    </row>
    <row r="3129" customFormat="false" ht="15" hidden="false" customHeight="true" outlineLevel="0" collapsed="false">
      <c r="G3129" s="1" t="str">
        <f aca="false">IF(C3129="","",INDEX(Akaun!$F$5:$F$150,MATCH(C3129,Akaun!$A$5:$A$150,0)))</f>
        <v/>
      </c>
      <c r="H3129" s="1" t="str">
        <f aca="false">IF(C3129="","",INDEX(Akaun!$D$5:$D$150,MATCH(C3129,Akaun!$A$5:$A$150,0)))</f>
        <v/>
      </c>
    </row>
    <row r="3130" customFormat="false" ht="15" hidden="false" customHeight="true" outlineLevel="0" collapsed="false">
      <c r="G3130" s="1" t="str">
        <f aca="false">IF(C3130="","",INDEX(Akaun!$F$5:$F$150,MATCH(C3130,Akaun!$A$5:$A$150,0)))</f>
        <v/>
      </c>
      <c r="H3130" s="1" t="str">
        <f aca="false">IF(C3130="","",INDEX(Akaun!$D$5:$D$150,MATCH(C3130,Akaun!$A$5:$A$150,0)))</f>
        <v/>
      </c>
    </row>
    <row r="3131" customFormat="false" ht="15" hidden="false" customHeight="true" outlineLevel="0" collapsed="false">
      <c r="G3131" s="1" t="str">
        <f aca="false">IF(C3131="","",INDEX(Akaun!$F$5:$F$150,MATCH(C3131,Akaun!$A$5:$A$150,0)))</f>
        <v/>
      </c>
      <c r="H3131" s="1" t="str">
        <f aca="false">IF(C3131="","",INDEX(Akaun!$D$5:$D$150,MATCH(C3131,Akaun!$A$5:$A$150,0)))</f>
        <v/>
      </c>
    </row>
    <row r="3132" customFormat="false" ht="15" hidden="false" customHeight="true" outlineLevel="0" collapsed="false">
      <c r="G3132" s="1" t="str">
        <f aca="false">IF(C3132="","",INDEX(Akaun!$F$5:$F$150,MATCH(C3132,Akaun!$A$5:$A$150,0)))</f>
        <v/>
      </c>
      <c r="H3132" s="1" t="str">
        <f aca="false">IF(C3132="","",INDEX(Akaun!$D$5:$D$150,MATCH(C3132,Akaun!$A$5:$A$150,0)))</f>
        <v/>
      </c>
    </row>
    <row r="3133" customFormat="false" ht="15" hidden="false" customHeight="true" outlineLevel="0" collapsed="false">
      <c r="G3133" s="1" t="str">
        <f aca="false">IF(C3133="","",INDEX(Akaun!$F$5:$F$150,MATCH(C3133,Akaun!$A$5:$A$150,0)))</f>
        <v/>
      </c>
      <c r="H3133" s="1" t="str">
        <f aca="false">IF(C3133="","",INDEX(Akaun!$D$5:$D$150,MATCH(C3133,Akaun!$A$5:$A$150,0)))</f>
        <v/>
      </c>
    </row>
    <row r="3134" customFormat="false" ht="15" hidden="false" customHeight="true" outlineLevel="0" collapsed="false">
      <c r="G3134" s="1" t="str">
        <f aca="false">IF(C3134="","",INDEX(Akaun!$F$5:$F$150,MATCH(C3134,Akaun!$A$5:$A$150,0)))</f>
        <v/>
      </c>
      <c r="H3134" s="1" t="str">
        <f aca="false">IF(C3134="","",INDEX(Akaun!$D$5:$D$150,MATCH(C3134,Akaun!$A$5:$A$150,0)))</f>
        <v/>
      </c>
    </row>
    <row r="3135" customFormat="false" ht="15" hidden="false" customHeight="true" outlineLevel="0" collapsed="false">
      <c r="G3135" s="1" t="str">
        <f aca="false">IF(C3135="","",INDEX(Akaun!$F$5:$F$150,MATCH(C3135,Akaun!$A$5:$A$150,0)))</f>
        <v/>
      </c>
      <c r="H3135" s="1" t="str">
        <f aca="false">IF(C3135="","",INDEX(Akaun!$D$5:$D$150,MATCH(C3135,Akaun!$A$5:$A$150,0)))</f>
        <v/>
      </c>
    </row>
    <row r="3136" customFormat="false" ht="15" hidden="false" customHeight="true" outlineLevel="0" collapsed="false">
      <c r="G3136" s="1" t="str">
        <f aca="false">IF(C3136="","",INDEX(Akaun!$F$5:$F$150,MATCH(C3136,Akaun!$A$5:$A$150,0)))</f>
        <v/>
      </c>
      <c r="H3136" s="1" t="str">
        <f aca="false">IF(C3136="","",INDEX(Akaun!$D$5:$D$150,MATCH(C3136,Akaun!$A$5:$A$150,0)))</f>
        <v/>
      </c>
    </row>
    <row r="3137" customFormat="false" ht="15" hidden="false" customHeight="true" outlineLevel="0" collapsed="false">
      <c r="G3137" s="1" t="str">
        <f aca="false">IF(C3137="","",INDEX(Akaun!$F$5:$F$150,MATCH(C3137,Akaun!$A$5:$A$150,0)))</f>
        <v/>
      </c>
      <c r="H3137" s="1" t="str">
        <f aca="false">IF(C3137="","",INDEX(Akaun!$D$5:$D$150,MATCH(C3137,Akaun!$A$5:$A$150,0)))</f>
        <v/>
      </c>
    </row>
    <row r="3138" customFormat="false" ht="15" hidden="false" customHeight="true" outlineLevel="0" collapsed="false">
      <c r="G3138" s="1" t="str">
        <f aca="false">IF(C3138="","",INDEX(Akaun!$F$5:$F$150,MATCH(C3138,Akaun!$A$5:$A$150,0)))</f>
        <v/>
      </c>
      <c r="H3138" s="1" t="str">
        <f aca="false">IF(C3138="","",INDEX(Akaun!$D$5:$D$150,MATCH(C3138,Akaun!$A$5:$A$150,0)))</f>
        <v/>
      </c>
    </row>
    <row r="3139" customFormat="false" ht="15" hidden="false" customHeight="true" outlineLevel="0" collapsed="false">
      <c r="G3139" s="1" t="str">
        <f aca="false">IF(C3139="","",INDEX(Akaun!$F$5:$F$150,MATCH(C3139,Akaun!$A$5:$A$150,0)))</f>
        <v/>
      </c>
      <c r="H3139" s="1" t="str">
        <f aca="false">IF(C3139="","",INDEX(Akaun!$D$5:$D$150,MATCH(C3139,Akaun!$A$5:$A$150,0)))</f>
        <v/>
      </c>
    </row>
    <row r="3140" customFormat="false" ht="15" hidden="false" customHeight="true" outlineLevel="0" collapsed="false">
      <c r="G3140" s="1" t="str">
        <f aca="false">IF(C3140="","",INDEX(Akaun!$F$5:$F$150,MATCH(C3140,Akaun!$A$5:$A$150,0)))</f>
        <v/>
      </c>
      <c r="H3140" s="1" t="str">
        <f aca="false">IF(C3140="","",INDEX(Akaun!$D$5:$D$150,MATCH(C3140,Akaun!$A$5:$A$150,0)))</f>
        <v/>
      </c>
    </row>
    <row r="3141" customFormat="false" ht="15" hidden="false" customHeight="true" outlineLevel="0" collapsed="false">
      <c r="G3141" s="1" t="str">
        <f aca="false">IF(C3141="","",INDEX(Akaun!$F$5:$F$150,MATCH(C3141,Akaun!$A$5:$A$150,0)))</f>
        <v/>
      </c>
      <c r="H3141" s="1" t="str">
        <f aca="false">IF(C3141="","",INDEX(Akaun!$D$5:$D$150,MATCH(C3141,Akaun!$A$5:$A$150,0)))</f>
        <v/>
      </c>
    </row>
    <row r="3142" customFormat="false" ht="15" hidden="false" customHeight="true" outlineLevel="0" collapsed="false">
      <c r="G3142" s="1" t="str">
        <f aca="false">IF(C3142="","",INDEX(Akaun!$F$5:$F$150,MATCH(C3142,Akaun!$A$5:$A$150,0)))</f>
        <v/>
      </c>
      <c r="H3142" s="1" t="str">
        <f aca="false">IF(C3142="","",INDEX(Akaun!$D$5:$D$150,MATCH(C3142,Akaun!$A$5:$A$150,0)))</f>
        <v/>
      </c>
    </row>
    <row r="3143" customFormat="false" ht="15" hidden="false" customHeight="true" outlineLevel="0" collapsed="false">
      <c r="G3143" s="1" t="str">
        <f aca="false">IF(C3143="","",INDEX(Akaun!$F$5:$F$150,MATCH(C3143,Akaun!$A$5:$A$150,0)))</f>
        <v/>
      </c>
      <c r="H3143" s="1" t="str">
        <f aca="false">IF(C3143="","",INDEX(Akaun!$D$5:$D$150,MATCH(C3143,Akaun!$A$5:$A$150,0)))</f>
        <v/>
      </c>
    </row>
    <row r="3144" customFormat="false" ht="15" hidden="false" customHeight="true" outlineLevel="0" collapsed="false">
      <c r="G3144" s="1" t="str">
        <f aca="false">IF(C3144="","",INDEX(Akaun!$F$5:$F$150,MATCH(C3144,Akaun!$A$5:$A$150,0)))</f>
        <v/>
      </c>
      <c r="H3144" s="1" t="str">
        <f aca="false">IF(C3144="","",INDEX(Akaun!$D$5:$D$150,MATCH(C3144,Akaun!$A$5:$A$150,0)))</f>
        <v/>
      </c>
    </row>
    <row r="3145" customFormat="false" ht="15" hidden="false" customHeight="true" outlineLevel="0" collapsed="false">
      <c r="G3145" s="1" t="str">
        <f aca="false">IF(C3145="","",INDEX(Akaun!$F$5:$F$150,MATCH(C3145,Akaun!$A$5:$A$150,0)))</f>
        <v/>
      </c>
      <c r="H3145" s="1" t="str">
        <f aca="false">IF(C3145="","",INDEX(Akaun!$D$5:$D$150,MATCH(C3145,Akaun!$A$5:$A$150,0)))</f>
        <v/>
      </c>
    </row>
    <row r="3146" customFormat="false" ht="15" hidden="false" customHeight="true" outlineLevel="0" collapsed="false">
      <c r="G3146" s="1" t="str">
        <f aca="false">IF(C3146="","",INDEX(Akaun!$F$5:$F$150,MATCH(C3146,Akaun!$A$5:$A$150,0)))</f>
        <v/>
      </c>
      <c r="H3146" s="1" t="str">
        <f aca="false">IF(C3146="","",INDEX(Akaun!$D$5:$D$150,MATCH(C3146,Akaun!$A$5:$A$150,0)))</f>
        <v/>
      </c>
    </row>
    <row r="3147" customFormat="false" ht="15" hidden="false" customHeight="true" outlineLevel="0" collapsed="false">
      <c r="G3147" s="1" t="str">
        <f aca="false">IF(C3147="","",INDEX(Akaun!$F$5:$F$150,MATCH(C3147,Akaun!$A$5:$A$150,0)))</f>
        <v/>
      </c>
      <c r="H3147" s="1" t="str">
        <f aca="false">IF(C3147="","",INDEX(Akaun!$D$5:$D$150,MATCH(C3147,Akaun!$A$5:$A$150,0)))</f>
        <v/>
      </c>
    </row>
    <row r="3148" customFormat="false" ht="15" hidden="false" customHeight="true" outlineLevel="0" collapsed="false">
      <c r="G3148" s="1" t="str">
        <f aca="false">IF(C3148="","",INDEX(Akaun!$F$5:$F$150,MATCH(C3148,Akaun!$A$5:$A$150,0)))</f>
        <v/>
      </c>
      <c r="H3148" s="1" t="str">
        <f aca="false">IF(C3148="","",INDEX(Akaun!$D$5:$D$150,MATCH(C3148,Akaun!$A$5:$A$150,0)))</f>
        <v/>
      </c>
    </row>
    <row r="3149" customFormat="false" ht="15" hidden="false" customHeight="true" outlineLevel="0" collapsed="false">
      <c r="G3149" s="1" t="str">
        <f aca="false">IF(C3149="","",INDEX(Akaun!$F$5:$F$150,MATCH(C3149,Akaun!$A$5:$A$150,0)))</f>
        <v/>
      </c>
      <c r="H3149" s="1" t="str">
        <f aca="false">IF(C3149="","",INDEX(Akaun!$D$5:$D$150,MATCH(C3149,Akaun!$A$5:$A$150,0)))</f>
        <v/>
      </c>
    </row>
    <row r="3150" customFormat="false" ht="15" hidden="false" customHeight="true" outlineLevel="0" collapsed="false">
      <c r="G3150" s="1" t="str">
        <f aca="false">IF(C3150="","",INDEX(Akaun!$F$5:$F$150,MATCH(C3150,Akaun!$A$5:$A$150,0)))</f>
        <v/>
      </c>
      <c r="H3150" s="1" t="str">
        <f aca="false">IF(C3150="","",INDEX(Akaun!$D$5:$D$150,MATCH(C3150,Akaun!$A$5:$A$150,0)))</f>
        <v/>
      </c>
    </row>
    <row r="3151" customFormat="false" ht="15" hidden="false" customHeight="true" outlineLevel="0" collapsed="false">
      <c r="G3151" s="1" t="str">
        <f aca="false">IF(C3151="","",INDEX(Akaun!$F$5:$F$150,MATCH(C3151,Akaun!$A$5:$A$150,0)))</f>
        <v/>
      </c>
      <c r="H3151" s="1" t="str">
        <f aca="false">IF(C3151="","",INDEX(Akaun!$D$5:$D$150,MATCH(C3151,Akaun!$A$5:$A$150,0)))</f>
        <v/>
      </c>
    </row>
    <row r="3152" customFormat="false" ht="15" hidden="false" customHeight="true" outlineLevel="0" collapsed="false">
      <c r="G3152" s="1" t="str">
        <f aca="false">IF(C3152="","",INDEX(Akaun!$F$5:$F$150,MATCH(C3152,Akaun!$A$5:$A$150,0)))</f>
        <v/>
      </c>
      <c r="H3152" s="1" t="str">
        <f aca="false">IF(C3152="","",INDEX(Akaun!$D$5:$D$150,MATCH(C3152,Akaun!$A$5:$A$150,0)))</f>
        <v/>
      </c>
    </row>
    <row r="3153" customFormat="false" ht="15" hidden="false" customHeight="true" outlineLevel="0" collapsed="false">
      <c r="G3153" s="1" t="str">
        <f aca="false">IF(C3153="","",INDEX(Akaun!$F$5:$F$150,MATCH(C3153,Akaun!$A$5:$A$150,0)))</f>
        <v/>
      </c>
      <c r="H3153" s="1" t="str">
        <f aca="false">IF(C3153="","",INDEX(Akaun!$D$5:$D$150,MATCH(C3153,Akaun!$A$5:$A$150,0)))</f>
        <v/>
      </c>
    </row>
    <row r="3154" customFormat="false" ht="15" hidden="false" customHeight="true" outlineLevel="0" collapsed="false">
      <c r="G3154" s="1" t="str">
        <f aca="false">IF(C3154="","",INDEX(Akaun!$F$5:$F$150,MATCH(C3154,Akaun!$A$5:$A$150,0)))</f>
        <v/>
      </c>
      <c r="H3154" s="1" t="str">
        <f aca="false">IF(C3154="","",INDEX(Akaun!$D$5:$D$150,MATCH(C3154,Akaun!$A$5:$A$150,0)))</f>
        <v/>
      </c>
    </row>
    <row r="3155" customFormat="false" ht="15" hidden="false" customHeight="true" outlineLevel="0" collapsed="false">
      <c r="G3155" s="1" t="str">
        <f aca="false">IF(C3155="","",INDEX(Akaun!$F$5:$F$150,MATCH(C3155,Akaun!$A$5:$A$150,0)))</f>
        <v/>
      </c>
      <c r="H3155" s="1" t="str">
        <f aca="false">IF(C3155="","",INDEX(Akaun!$D$5:$D$150,MATCH(C3155,Akaun!$A$5:$A$150,0)))</f>
        <v/>
      </c>
    </row>
    <row r="3156" customFormat="false" ht="15" hidden="false" customHeight="true" outlineLevel="0" collapsed="false">
      <c r="G3156" s="1" t="str">
        <f aca="false">IF(C3156="","",INDEX(Akaun!$F$5:$F$150,MATCH(C3156,Akaun!$A$5:$A$150,0)))</f>
        <v/>
      </c>
      <c r="H3156" s="1" t="str">
        <f aca="false">IF(C3156="","",INDEX(Akaun!$D$5:$D$150,MATCH(C3156,Akaun!$A$5:$A$150,0)))</f>
        <v/>
      </c>
    </row>
    <row r="3157" customFormat="false" ht="15" hidden="false" customHeight="true" outlineLevel="0" collapsed="false">
      <c r="G3157" s="1" t="str">
        <f aca="false">IF(C3157="","",INDEX(Akaun!$F$5:$F$150,MATCH(C3157,Akaun!$A$5:$A$150,0)))</f>
        <v/>
      </c>
      <c r="H3157" s="1" t="str">
        <f aca="false">IF(C3157="","",INDEX(Akaun!$D$5:$D$150,MATCH(C3157,Akaun!$A$5:$A$150,0)))</f>
        <v/>
      </c>
    </row>
    <row r="3158" customFormat="false" ht="15" hidden="false" customHeight="true" outlineLevel="0" collapsed="false">
      <c r="G3158" s="1" t="str">
        <f aca="false">IF(C3158="","",INDEX(Akaun!$F$5:$F$150,MATCH(C3158,Akaun!$A$5:$A$150,0)))</f>
        <v/>
      </c>
      <c r="H3158" s="1" t="str">
        <f aca="false">IF(C3158="","",INDEX(Akaun!$D$5:$D$150,MATCH(C3158,Akaun!$A$5:$A$150,0)))</f>
        <v/>
      </c>
    </row>
    <row r="3159" customFormat="false" ht="15" hidden="false" customHeight="true" outlineLevel="0" collapsed="false">
      <c r="G3159" s="1" t="str">
        <f aca="false">IF(C3159="","",INDEX(Akaun!$F$5:$F$150,MATCH(C3159,Akaun!$A$5:$A$150,0)))</f>
        <v/>
      </c>
      <c r="H3159" s="1" t="str">
        <f aca="false">IF(C3159="","",INDEX(Akaun!$D$5:$D$150,MATCH(C3159,Akaun!$A$5:$A$150,0)))</f>
        <v/>
      </c>
    </row>
    <row r="3160" customFormat="false" ht="15" hidden="false" customHeight="true" outlineLevel="0" collapsed="false">
      <c r="G3160" s="1" t="str">
        <f aca="false">IF(C3160="","",INDEX(Akaun!$F$5:$F$150,MATCH(C3160,Akaun!$A$5:$A$150,0)))</f>
        <v/>
      </c>
      <c r="H3160" s="1" t="str">
        <f aca="false">IF(C3160="","",INDEX(Akaun!$D$5:$D$150,MATCH(C3160,Akaun!$A$5:$A$150,0)))</f>
        <v/>
      </c>
    </row>
    <row r="3161" customFormat="false" ht="15" hidden="false" customHeight="true" outlineLevel="0" collapsed="false">
      <c r="G3161" s="1" t="str">
        <f aca="false">IF(C3161="","",INDEX(Akaun!$F$5:$F$150,MATCH(C3161,Akaun!$A$5:$A$150,0)))</f>
        <v/>
      </c>
      <c r="H3161" s="1" t="str">
        <f aca="false">IF(C3161="","",INDEX(Akaun!$D$5:$D$150,MATCH(C3161,Akaun!$A$5:$A$150,0)))</f>
        <v/>
      </c>
    </row>
    <row r="3162" customFormat="false" ht="15" hidden="false" customHeight="true" outlineLevel="0" collapsed="false">
      <c r="G3162" s="1" t="str">
        <f aca="false">IF(C3162="","",INDEX(Akaun!$F$5:$F$150,MATCH(C3162,Akaun!$A$5:$A$150,0)))</f>
        <v/>
      </c>
      <c r="H3162" s="1" t="str">
        <f aca="false">IF(C3162="","",INDEX(Akaun!$D$5:$D$150,MATCH(C3162,Akaun!$A$5:$A$150,0)))</f>
        <v/>
      </c>
    </row>
    <row r="3163" customFormat="false" ht="15" hidden="false" customHeight="true" outlineLevel="0" collapsed="false">
      <c r="G3163" s="1" t="str">
        <f aca="false">IF(C3163="","",INDEX(Akaun!$F$5:$F$150,MATCH(C3163,Akaun!$A$5:$A$150,0)))</f>
        <v/>
      </c>
      <c r="H3163" s="1" t="str">
        <f aca="false">IF(C3163="","",INDEX(Akaun!$D$5:$D$150,MATCH(C3163,Akaun!$A$5:$A$150,0)))</f>
        <v/>
      </c>
    </row>
    <row r="3164" customFormat="false" ht="15" hidden="false" customHeight="true" outlineLevel="0" collapsed="false">
      <c r="G3164" s="1" t="str">
        <f aca="false">IF(C3164="","",INDEX(Akaun!$F$5:$F$150,MATCH(C3164,Akaun!$A$5:$A$150,0)))</f>
        <v/>
      </c>
      <c r="H3164" s="1" t="str">
        <f aca="false">IF(C3164="","",INDEX(Akaun!$D$5:$D$150,MATCH(C3164,Akaun!$A$5:$A$150,0)))</f>
        <v/>
      </c>
    </row>
    <row r="3165" customFormat="false" ht="15" hidden="false" customHeight="true" outlineLevel="0" collapsed="false">
      <c r="G3165" s="1" t="str">
        <f aca="false">IF(C3165="","",INDEX(Akaun!$F$5:$F$150,MATCH(C3165,Akaun!$A$5:$A$150,0)))</f>
        <v/>
      </c>
      <c r="H3165" s="1" t="str">
        <f aca="false">IF(C3165="","",INDEX(Akaun!$D$5:$D$150,MATCH(C3165,Akaun!$A$5:$A$150,0)))</f>
        <v/>
      </c>
    </row>
    <row r="3166" customFormat="false" ht="15" hidden="false" customHeight="true" outlineLevel="0" collapsed="false">
      <c r="G3166" s="1" t="str">
        <f aca="false">IF(C3166="","",INDEX(Akaun!$F$5:$F$150,MATCH(C3166,Akaun!$A$5:$A$150,0)))</f>
        <v/>
      </c>
      <c r="H3166" s="1" t="str">
        <f aca="false">IF(C3166="","",INDEX(Akaun!$D$5:$D$150,MATCH(C3166,Akaun!$A$5:$A$150,0)))</f>
        <v/>
      </c>
    </row>
    <row r="3167" customFormat="false" ht="15" hidden="false" customHeight="true" outlineLevel="0" collapsed="false">
      <c r="G3167" s="1" t="str">
        <f aca="false">IF(C3167="","",INDEX(Akaun!$F$5:$F$150,MATCH(C3167,Akaun!$A$5:$A$150,0)))</f>
        <v/>
      </c>
      <c r="H3167" s="1" t="str">
        <f aca="false">IF(C3167="","",INDEX(Akaun!$D$5:$D$150,MATCH(C3167,Akaun!$A$5:$A$150,0)))</f>
        <v/>
      </c>
    </row>
    <row r="3168" customFormat="false" ht="15" hidden="false" customHeight="true" outlineLevel="0" collapsed="false">
      <c r="G3168" s="1" t="str">
        <f aca="false">IF(C3168="","",INDEX(Akaun!$F$5:$F$150,MATCH(C3168,Akaun!$A$5:$A$150,0)))</f>
        <v/>
      </c>
      <c r="H3168" s="1" t="str">
        <f aca="false">IF(C3168="","",INDEX(Akaun!$D$5:$D$150,MATCH(C3168,Akaun!$A$5:$A$150,0)))</f>
        <v/>
      </c>
    </row>
    <row r="3169" customFormat="false" ht="15" hidden="false" customHeight="true" outlineLevel="0" collapsed="false">
      <c r="G3169" s="1" t="str">
        <f aca="false">IF(C3169="","",INDEX(Akaun!$F$5:$F$150,MATCH(C3169,Akaun!$A$5:$A$150,0)))</f>
        <v/>
      </c>
      <c r="H3169" s="1" t="str">
        <f aca="false">IF(C3169="","",INDEX(Akaun!$D$5:$D$150,MATCH(C3169,Akaun!$A$5:$A$150,0)))</f>
        <v/>
      </c>
    </row>
    <row r="3170" customFormat="false" ht="15" hidden="false" customHeight="true" outlineLevel="0" collapsed="false">
      <c r="G3170" s="1" t="str">
        <f aca="false">IF(C3170="","",INDEX(Akaun!$F$5:$F$150,MATCH(C3170,Akaun!$A$5:$A$150,0)))</f>
        <v/>
      </c>
      <c r="H3170" s="1" t="str">
        <f aca="false">IF(C3170="","",INDEX(Akaun!$D$5:$D$150,MATCH(C3170,Akaun!$A$5:$A$150,0)))</f>
        <v/>
      </c>
    </row>
    <row r="3171" customFormat="false" ht="15" hidden="false" customHeight="true" outlineLevel="0" collapsed="false">
      <c r="G3171" s="1" t="str">
        <f aca="false">IF(C3171="","",INDEX(Akaun!$F$5:$F$150,MATCH(C3171,Akaun!$A$5:$A$150,0)))</f>
        <v/>
      </c>
      <c r="H3171" s="1" t="str">
        <f aca="false">IF(C3171="","",INDEX(Akaun!$D$5:$D$150,MATCH(C3171,Akaun!$A$5:$A$150,0)))</f>
        <v/>
      </c>
    </row>
    <row r="3172" customFormat="false" ht="15" hidden="false" customHeight="true" outlineLevel="0" collapsed="false">
      <c r="G3172" s="1" t="str">
        <f aca="false">IF(C3172="","",INDEX(Akaun!$F$5:$F$150,MATCH(C3172,Akaun!$A$5:$A$150,0)))</f>
        <v/>
      </c>
      <c r="H3172" s="1" t="str">
        <f aca="false">IF(C3172="","",INDEX(Akaun!$D$5:$D$150,MATCH(C3172,Akaun!$A$5:$A$150,0)))</f>
        <v/>
      </c>
    </row>
    <row r="3173" customFormat="false" ht="15" hidden="false" customHeight="true" outlineLevel="0" collapsed="false">
      <c r="G3173" s="1" t="str">
        <f aca="false">IF(C3173="","",INDEX(Akaun!$F$5:$F$150,MATCH(C3173,Akaun!$A$5:$A$150,0)))</f>
        <v/>
      </c>
      <c r="H3173" s="1" t="str">
        <f aca="false">IF(C3173="","",INDEX(Akaun!$D$5:$D$150,MATCH(C3173,Akaun!$A$5:$A$150,0)))</f>
        <v/>
      </c>
    </row>
    <row r="3174" customFormat="false" ht="15" hidden="false" customHeight="true" outlineLevel="0" collapsed="false">
      <c r="G3174" s="1" t="str">
        <f aca="false">IF(C3174="","",INDEX(Akaun!$F$5:$F$150,MATCH(C3174,Akaun!$A$5:$A$150,0)))</f>
        <v/>
      </c>
      <c r="H3174" s="1" t="str">
        <f aca="false">IF(C3174="","",INDEX(Akaun!$D$5:$D$150,MATCH(C3174,Akaun!$A$5:$A$150,0)))</f>
        <v/>
      </c>
    </row>
    <row r="3175" customFormat="false" ht="15" hidden="false" customHeight="true" outlineLevel="0" collapsed="false">
      <c r="G3175" s="1" t="str">
        <f aca="false">IF(C3175="","",INDEX(Akaun!$F$5:$F$150,MATCH(C3175,Akaun!$A$5:$A$150,0)))</f>
        <v/>
      </c>
      <c r="H3175" s="1" t="str">
        <f aca="false">IF(C3175="","",INDEX(Akaun!$D$5:$D$150,MATCH(C3175,Akaun!$A$5:$A$150,0)))</f>
        <v/>
      </c>
    </row>
    <row r="3176" customFormat="false" ht="15" hidden="false" customHeight="true" outlineLevel="0" collapsed="false">
      <c r="G3176" s="1" t="str">
        <f aca="false">IF(C3176="","",INDEX(Akaun!$F$5:$F$150,MATCH(C3176,Akaun!$A$5:$A$150,0)))</f>
        <v/>
      </c>
      <c r="H3176" s="1" t="str">
        <f aca="false">IF(C3176="","",INDEX(Akaun!$D$5:$D$150,MATCH(C3176,Akaun!$A$5:$A$150,0)))</f>
        <v/>
      </c>
    </row>
    <row r="3177" customFormat="false" ht="15" hidden="false" customHeight="true" outlineLevel="0" collapsed="false">
      <c r="G3177" s="1" t="str">
        <f aca="false">IF(C3177="","",INDEX(Akaun!$F$5:$F$150,MATCH(C3177,Akaun!$A$5:$A$150,0)))</f>
        <v/>
      </c>
      <c r="H3177" s="1" t="str">
        <f aca="false">IF(C3177="","",INDEX(Akaun!$D$5:$D$150,MATCH(C3177,Akaun!$A$5:$A$150,0)))</f>
        <v/>
      </c>
    </row>
    <row r="3178" customFormat="false" ht="15" hidden="false" customHeight="true" outlineLevel="0" collapsed="false">
      <c r="G3178" s="1" t="str">
        <f aca="false">IF(C3178="","",INDEX(Akaun!$F$5:$F$150,MATCH(C3178,Akaun!$A$5:$A$150,0)))</f>
        <v/>
      </c>
      <c r="H3178" s="1" t="str">
        <f aca="false">IF(C3178="","",INDEX(Akaun!$D$5:$D$150,MATCH(C3178,Akaun!$A$5:$A$150,0)))</f>
        <v/>
      </c>
    </row>
    <row r="3179" customFormat="false" ht="15" hidden="false" customHeight="true" outlineLevel="0" collapsed="false">
      <c r="G3179" s="1" t="str">
        <f aca="false">IF(C3179="","",INDEX(Akaun!$F$5:$F$150,MATCH(C3179,Akaun!$A$5:$A$150,0)))</f>
        <v/>
      </c>
      <c r="H3179" s="1" t="str">
        <f aca="false">IF(C3179="","",INDEX(Akaun!$D$5:$D$150,MATCH(C3179,Akaun!$A$5:$A$150,0)))</f>
        <v/>
      </c>
    </row>
    <row r="3180" customFormat="false" ht="15" hidden="false" customHeight="true" outlineLevel="0" collapsed="false">
      <c r="G3180" s="1" t="str">
        <f aca="false">IF(C3180="","",INDEX(Akaun!$F$5:$F$150,MATCH(C3180,Akaun!$A$5:$A$150,0)))</f>
        <v/>
      </c>
      <c r="H3180" s="1" t="str">
        <f aca="false">IF(C3180="","",INDEX(Akaun!$D$5:$D$150,MATCH(C3180,Akaun!$A$5:$A$150,0)))</f>
        <v/>
      </c>
    </row>
    <row r="3181" customFormat="false" ht="15" hidden="false" customHeight="true" outlineLevel="0" collapsed="false">
      <c r="G3181" s="1" t="str">
        <f aca="false">IF(C3181="","",INDEX(Akaun!$F$5:$F$150,MATCH(C3181,Akaun!$A$5:$A$150,0)))</f>
        <v/>
      </c>
      <c r="H3181" s="1" t="str">
        <f aca="false">IF(C3181="","",INDEX(Akaun!$D$5:$D$150,MATCH(C3181,Akaun!$A$5:$A$150,0)))</f>
        <v/>
      </c>
    </row>
    <row r="3182" customFormat="false" ht="15" hidden="false" customHeight="true" outlineLevel="0" collapsed="false">
      <c r="G3182" s="1" t="str">
        <f aca="false">IF(C3182="","",INDEX(Akaun!$F$5:$F$150,MATCH(C3182,Akaun!$A$5:$A$150,0)))</f>
        <v/>
      </c>
      <c r="H3182" s="1" t="str">
        <f aca="false">IF(C3182="","",INDEX(Akaun!$D$5:$D$150,MATCH(C3182,Akaun!$A$5:$A$150,0)))</f>
        <v/>
      </c>
    </row>
    <row r="3183" customFormat="false" ht="15" hidden="false" customHeight="true" outlineLevel="0" collapsed="false">
      <c r="G3183" s="1" t="str">
        <f aca="false">IF(C3183="","",INDEX(Akaun!$F$5:$F$150,MATCH(C3183,Akaun!$A$5:$A$150,0)))</f>
        <v/>
      </c>
      <c r="H3183" s="1" t="str">
        <f aca="false">IF(C3183="","",INDEX(Akaun!$D$5:$D$150,MATCH(C3183,Akaun!$A$5:$A$150,0)))</f>
        <v/>
      </c>
    </row>
    <row r="3184" customFormat="false" ht="15" hidden="false" customHeight="true" outlineLevel="0" collapsed="false">
      <c r="G3184" s="1" t="str">
        <f aca="false">IF(C3184="","",INDEX(Akaun!$F$5:$F$150,MATCH(C3184,Akaun!$A$5:$A$150,0)))</f>
        <v/>
      </c>
      <c r="H3184" s="1" t="str">
        <f aca="false">IF(C3184="","",INDEX(Akaun!$D$5:$D$150,MATCH(C3184,Akaun!$A$5:$A$150,0)))</f>
        <v/>
      </c>
    </row>
    <row r="3185" customFormat="false" ht="15" hidden="false" customHeight="true" outlineLevel="0" collapsed="false">
      <c r="G3185" s="1" t="str">
        <f aca="false">IF(C3185="","",INDEX(Akaun!$F$5:$F$150,MATCH(C3185,Akaun!$A$5:$A$150,0)))</f>
        <v/>
      </c>
      <c r="H3185" s="1" t="str">
        <f aca="false">IF(C3185="","",INDEX(Akaun!$D$5:$D$150,MATCH(C3185,Akaun!$A$5:$A$150,0)))</f>
        <v/>
      </c>
    </row>
    <row r="3186" customFormat="false" ht="15" hidden="false" customHeight="true" outlineLevel="0" collapsed="false">
      <c r="G3186" s="1" t="str">
        <f aca="false">IF(C3186="","",INDEX(Akaun!$F$5:$F$150,MATCH(C3186,Akaun!$A$5:$A$150,0)))</f>
        <v/>
      </c>
      <c r="H3186" s="1" t="str">
        <f aca="false">IF(C3186="","",INDEX(Akaun!$D$5:$D$150,MATCH(C3186,Akaun!$A$5:$A$150,0)))</f>
        <v/>
      </c>
    </row>
    <row r="3187" customFormat="false" ht="15" hidden="false" customHeight="true" outlineLevel="0" collapsed="false">
      <c r="G3187" s="1" t="str">
        <f aca="false">IF(C3187="","",INDEX(Akaun!$F$5:$F$150,MATCH(C3187,Akaun!$A$5:$A$150,0)))</f>
        <v/>
      </c>
      <c r="H3187" s="1" t="str">
        <f aca="false">IF(C3187="","",INDEX(Akaun!$D$5:$D$150,MATCH(C3187,Akaun!$A$5:$A$150,0)))</f>
        <v/>
      </c>
    </row>
    <row r="3188" customFormat="false" ht="15" hidden="false" customHeight="true" outlineLevel="0" collapsed="false">
      <c r="G3188" s="1" t="str">
        <f aca="false">IF(C3188="","",INDEX(Akaun!$F$5:$F$150,MATCH(C3188,Akaun!$A$5:$A$150,0)))</f>
        <v/>
      </c>
      <c r="H3188" s="1" t="str">
        <f aca="false">IF(C3188="","",INDEX(Akaun!$D$5:$D$150,MATCH(C3188,Akaun!$A$5:$A$150,0)))</f>
        <v/>
      </c>
    </row>
    <row r="3189" customFormat="false" ht="15" hidden="false" customHeight="true" outlineLevel="0" collapsed="false">
      <c r="G3189" s="1" t="str">
        <f aca="false">IF(C3189="","",INDEX(Akaun!$F$5:$F$150,MATCH(C3189,Akaun!$A$5:$A$150,0)))</f>
        <v/>
      </c>
      <c r="H3189" s="1" t="str">
        <f aca="false">IF(C3189="","",INDEX(Akaun!$D$5:$D$150,MATCH(C3189,Akaun!$A$5:$A$150,0)))</f>
        <v/>
      </c>
    </row>
    <row r="3190" customFormat="false" ht="15" hidden="false" customHeight="true" outlineLevel="0" collapsed="false">
      <c r="G3190" s="1" t="str">
        <f aca="false">IF(C3190="","",INDEX(Akaun!$F$5:$F$150,MATCH(C3190,Akaun!$A$5:$A$150,0)))</f>
        <v/>
      </c>
      <c r="H3190" s="1" t="str">
        <f aca="false">IF(C3190="","",INDEX(Akaun!$D$5:$D$150,MATCH(C3190,Akaun!$A$5:$A$150,0)))</f>
        <v/>
      </c>
    </row>
    <row r="3191" customFormat="false" ht="15" hidden="false" customHeight="true" outlineLevel="0" collapsed="false">
      <c r="G3191" s="1" t="str">
        <f aca="false">IF(C3191="","",INDEX(Akaun!$F$5:$F$150,MATCH(C3191,Akaun!$A$5:$A$150,0)))</f>
        <v/>
      </c>
      <c r="H3191" s="1" t="str">
        <f aca="false">IF(C3191="","",INDEX(Akaun!$D$5:$D$150,MATCH(C3191,Akaun!$A$5:$A$150,0)))</f>
        <v/>
      </c>
    </row>
    <row r="3192" customFormat="false" ht="15" hidden="false" customHeight="true" outlineLevel="0" collapsed="false">
      <c r="G3192" s="1" t="str">
        <f aca="false">IF(C3192="","",INDEX(Akaun!$F$5:$F$150,MATCH(C3192,Akaun!$A$5:$A$150,0)))</f>
        <v/>
      </c>
      <c r="H3192" s="1" t="str">
        <f aca="false">IF(C3192="","",INDEX(Akaun!$D$5:$D$150,MATCH(C3192,Akaun!$A$5:$A$150,0)))</f>
        <v/>
      </c>
    </row>
    <row r="3193" customFormat="false" ht="15" hidden="false" customHeight="true" outlineLevel="0" collapsed="false">
      <c r="G3193" s="1" t="str">
        <f aca="false">IF(C3193="","",INDEX(Akaun!$F$5:$F$150,MATCH(C3193,Akaun!$A$5:$A$150,0)))</f>
        <v/>
      </c>
      <c r="H3193" s="1" t="str">
        <f aca="false">IF(C3193="","",INDEX(Akaun!$D$5:$D$150,MATCH(C3193,Akaun!$A$5:$A$150,0)))</f>
        <v/>
      </c>
    </row>
    <row r="3194" customFormat="false" ht="15" hidden="false" customHeight="true" outlineLevel="0" collapsed="false">
      <c r="G3194" s="1" t="str">
        <f aca="false">IF(C3194="","",INDEX(Akaun!$F$5:$F$150,MATCH(C3194,Akaun!$A$5:$A$150,0)))</f>
        <v/>
      </c>
      <c r="H3194" s="1" t="str">
        <f aca="false">IF(C3194="","",INDEX(Akaun!$D$5:$D$150,MATCH(C3194,Akaun!$A$5:$A$150,0)))</f>
        <v/>
      </c>
    </row>
    <row r="3195" customFormat="false" ht="15" hidden="false" customHeight="true" outlineLevel="0" collapsed="false">
      <c r="G3195" s="1" t="str">
        <f aca="false">IF(C3195="","",INDEX(Akaun!$F$5:$F$150,MATCH(C3195,Akaun!$A$5:$A$150,0)))</f>
        <v/>
      </c>
      <c r="H3195" s="1" t="str">
        <f aca="false">IF(C3195="","",INDEX(Akaun!$D$5:$D$150,MATCH(C3195,Akaun!$A$5:$A$150,0)))</f>
        <v/>
      </c>
    </row>
    <row r="3196" customFormat="false" ht="15" hidden="false" customHeight="true" outlineLevel="0" collapsed="false">
      <c r="G3196" s="1" t="str">
        <f aca="false">IF(C3196="","",INDEX(Akaun!$F$5:$F$150,MATCH(C3196,Akaun!$A$5:$A$150,0)))</f>
        <v/>
      </c>
      <c r="H3196" s="1" t="str">
        <f aca="false">IF(C3196="","",INDEX(Akaun!$D$5:$D$150,MATCH(C3196,Akaun!$A$5:$A$150,0)))</f>
        <v/>
      </c>
    </row>
    <row r="3197" customFormat="false" ht="15" hidden="false" customHeight="true" outlineLevel="0" collapsed="false">
      <c r="G3197" s="1" t="str">
        <f aca="false">IF(C3197="","",INDEX(Akaun!$F$5:$F$150,MATCH(C3197,Akaun!$A$5:$A$150,0)))</f>
        <v/>
      </c>
      <c r="H3197" s="1" t="str">
        <f aca="false">IF(C3197="","",INDEX(Akaun!$D$5:$D$150,MATCH(C3197,Akaun!$A$5:$A$150,0)))</f>
        <v/>
      </c>
    </row>
    <row r="3198" customFormat="false" ht="15" hidden="false" customHeight="true" outlineLevel="0" collapsed="false">
      <c r="G3198" s="1" t="str">
        <f aca="false">IF(C3198="","",INDEX(Akaun!$F$5:$F$150,MATCH(C3198,Akaun!$A$5:$A$150,0)))</f>
        <v/>
      </c>
      <c r="H3198" s="1" t="str">
        <f aca="false">IF(C3198="","",INDEX(Akaun!$D$5:$D$150,MATCH(C3198,Akaun!$A$5:$A$150,0)))</f>
        <v/>
      </c>
    </row>
    <row r="3199" customFormat="false" ht="15" hidden="false" customHeight="true" outlineLevel="0" collapsed="false">
      <c r="G3199" s="1" t="str">
        <f aca="false">IF(C3199="","",INDEX(Akaun!$F$5:$F$150,MATCH(C3199,Akaun!$A$5:$A$150,0)))</f>
        <v/>
      </c>
      <c r="H3199" s="1" t="str">
        <f aca="false">IF(C3199="","",INDEX(Akaun!$D$5:$D$150,MATCH(C3199,Akaun!$A$5:$A$150,0)))</f>
        <v/>
      </c>
    </row>
    <row r="3200" customFormat="false" ht="15" hidden="false" customHeight="true" outlineLevel="0" collapsed="false">
      <c r="G3200" s="1" t="str">
        <f aca="false">IF(C3200="","",INDEX(Akaun!$F$5:$F$150,MATCH(C3200,Akaun!$A$5:$A$150,0)))</f>
        <v/>
      </c>
      <c r="H3200" s="1" t="str">
        <f aca="false">IF(C3200="","",INDEX(Akaun!$D$5:$D$150,MATCH(C3200,Akaun!$A$5:$A$150,0)))</f>
        <v/>
      </c>
    </row>
    <row r="3201" customFormat="false" ht="15" hidden="false" customHeight="true" outlineLevel="0" collapsed="false">
      <c r="G3201" s="1" t="str">
        <f aca="false">IF(C3201="","",INDEX(Akaun!$F$5:$F$150,MATCH(C3201,Akaun!$A$5:$A$150,0)))</f>
        <v/>
      </c>
      <c r="H3201" s="1" t="str">
        <f aca="false">IF(C3201="","",INDEX(Akaun!$D$5:$D$150,MATCH(C3201,Akaun!$A$5:$A$150,0)))</f>
        <v/>
      </c>
    </row>
    <row r="3202" customFormat="false" ht="15" hidden="false" customHeight="true" outlineLevel="0" collapsed="false">
      <c r="G3202" s="1" t="str">
        <f aca="false">IF(C3202="","",INDEX(Akaun!$F$5:$F$150,MATCH(C3202,Akaun!$A$5:$A$150,0)))</f>
        <v/>
      </c>
      <c r="H3202" s="1" t="str">
        <f aca="false">IF(C3202="","",INDEX(Akaun!$D$5:$D$150,MATCH(C3202,Akaun!$A$5:$A$150,0)))</f>
        <v/>
      </c>
    </row>
    <row r="3203" customFormat="false" ht="15" hidden="false" customHeight="true" outlineLevel="0" collapsed="false">
      <c r="G3203" s="1" t="str">
        <f aca="false">IF(C3203="","",INDEX(Akaun!$F$5:$F$150,MATCH(C3203,Akaun!$A$5:$A$150,0)))</f>
        <v/>
      </c>
      <c r="H3203" s="1" t="str">
        <f aca="false">IF(C3203="","",INDEX(Akaun!$D$5:$D$150,MATCH(C3203,Akaun!$A$5:$A$150,0)))</f>
        <v/>
      </c>
    </row>
    <row r="3204" customFormat="false" ht="15" hidden="false" customHeight="true" outlineLevel="0" collapsed="false">
      <c r="G3204" s="1" t="str">
        <f aca="false">IF(C3204="","",INDEX(Akaun!$F$5:$F$150,MATCH(C3204,Akaun!$A$5:$A$150,0)))</f>
        <v/>
      </c>
      <c r="H3204" s="1" t="str">
        <f aca="false">IF(C3204="","",INDEX(Akaun!$D$5:$D$150,MATCH(C3204,Akaun!$A$5:$A$150,0)))</f>
        <v/>
      </c>
    </row>
    <row r="3205" customFormat="false" ht="15" hidden="false" customHeight="true" outlineLevel="0" collapsed="false">
      <c r="G3205" s="1" t="str">
        <f aca="false">IF(C3205="","",INDEX(Akaun!$F$5:$F$150,MATCH(C3205,Akaun!$A$5:$A$150,0)))</f>
        <v/>
      </c>
      <c r="H3205" s="1" t="str">
        <f aca="false">IF(C3205="","",INDEX(Akaun!$D$5:$D$150,MATCH(C3205,Akaun!$A$5:$A$150,0)))</f>
        <v/>
      </c>
    </row>
    <row r="3206" customFormat="false" ht="15" hidden="false" customHeight="true" outlineLevel="0" collapsed="false">
      <c r="G3206" s="1" t="str">
        <f aca="false">IF(C3206="","",INDEX(Akaun!$F$5:$F$150,MATCH(C3206,Akaun!$A$5:$A$150,0)))</f>
        <v/>
      </c>
      <c r="H3206" s="1" t="str">
        <f aca="false">IF(C3206="","",INDEX(Akaun!$D$5:$D$150,MATCH(C3206,Akaun!$A$5:$A$150,0)))</f>
        <v/>
      </c>
    </row>
    <row r="3207" customFormat="false" ht="15" hidden="false" customHeight="true" outlineLevel="0" collapsed="false">
      <c r="G3207" s="1" t="str">
        <f aca="false">IF(C3207="","",INDEX(Akaun!$F$5:$F$150,MATCH(C3207,Akaun!$A$5:$A$150,0)))</f>
        <v/>
      </c>
      <c r="H3207" s="1" t="str">
        <f aca="false">IF(C3207="","",INDEX(Akaun!$D$5:$D$150,MATCH(C3207,Akaun!$A$5:$A$150,0)))</f>
        <v/>
      </c>
    </row>
    <row r="3208" customFormat="false" ht="15" hidden="false" customHeight="true" outlineLevel="0" collapsed="false">
      <c r="G3208" s="1" t="str">
        <f aca="false">IF(C3208="","",INDEX(Akaun!$F$5:$F$150,MATCH(C3208,Akaun!$A$5:$A$150,0)))</f>
        <v/>
      </c>
      <c r="H3208" s="1" t="str">
        <f aca="false">IF(C3208="","",INDEX(Akaun!$D$5:$D$150,MATCH(C3208,Akaun!$A$5:$A$150,0)))</f>
        <v/>
      </c>
    </row>
    <row r="3209" customFormat="false" ht="15" hidden="false" customHeight="true" outlineLevel="0" collapsed="false">
      <c r="G3209" s="1" t="str">
        <f aca="false">IF(C3209="","",INDEX(Akaun!$F$5:$F$150,MATCH(C3209,Akaun!$A$5:$A$150,0)))</f>
        <v/>
      </c>
      <c r="H3209" s="1" t="str">
        <f aca="false">IF(C3209="","",INDEX(Akaun!$D$5:$D$150,MATCH(C3209,Akaun!$A$5:$A$150,0)))</f>
        <v/>
      </c>
    </row>
    <row r="3210" customFormat="false" ht="15" hidden="false" customHeight="true" outlineLevel="0" collapsed="false">
      <c r="G3210" s="1" t="str">
        <f aca="false">IF(C3210="","",INDEX(Akaun!$F$5:$F$150,MATCH(C3210,Akaun!$A$5:$A$150,0)))</f>
        <v/>
      </c>
      <c r="H3210" s="1" t="str">
        <f aca="false">IF(C3210="","",INDEX(Akaun!$D$5:$D$150,MATCH(C3210,Akaun!$A$5:$A$150,0)))</f>
        <v/>
      </c>
    </row>
    <row r="3211" customFormat="false" ht="15" hidden="false" customHeight="true" outlineLevel="0" collapsed="false">
      <c r="G3211" s="1" t="str">
        <f aca="false">IF(C3211="","",INDEX(Akaun!$F$5:$F$150,MATCH(C3211,Akaun!$A$5:$A$150,0)))</f>
        <v/>
      </c>
      <c r="H3211" s="1" t="str">
        <f aca="false">IF(C3211="","",INDEX(Akaun!$D$5:$D$150,MATCH(C3211,Akaun!$A$5:$A$150,0)))</f>
        <v/>
      </c>
    </row>
    <row r="3212" customFormat="false" ht="15" hidden="false" customHeight="true" outlineLevel="0" collapsed="false">
      <c r="G3212" s="1" t="str">
        <f aca="false">IF(C3212="","",INDEX(Akaun!$F$5:$F$150,MATCH(C3212,Akaun!$A$5:$A$150,0)))</f>
        <v/>
      </c>
      <c r="H3212" s="1" t="str">
        <f aca="false">IF(C3212="","",INDEX(Akaun!$D$5:$D$150,MATCH(C3212,Akaun!$A$5:$A$150,0)))</f>
        <v/>
      </c>
    </row>
    <row r="3213" customFormat="false" ht="15" hidden="false" customHeight="true" outlineLevel="0" collapsed="false">
      <c r="G3213" s="1" t="str">
        <f aca="false">IF(C3213="","",INDEX(Akaun!$F$5:$F$150,MATCH(C3213,Akaun!$A$5:$A$150,0)))</f>
        <v/>
      </c>
      <c r="H3213" s="1" t="str">
        <f aca="false">IF(C3213="","",INDEX(Akaun!$D$5:$D$150,MATCH(C3213,Akaun!$A$5:$A$150,0)))</f>
        <v/>
      </c>
    </row>
    <row r="3214" customFormat="false" ht="15" hidden="false" customHeight="true" outlineLevel="0" collapsed="false">
      <c r="G3214" s="1" t="str">
        <f aca="false">IF(C3214="","",INDEX(Akaun!$F$5:$F$150,MATCH(C3214,Akaun!$A$5:$A$150,0)))</f>
        <v/>
      </c>
      <c r="H3214" s="1" t="str">
        <f aca="false">IF(C3214="","",INDEX(Akaun!$D$5:$D$150,MATCH(C3214,Akaun!$A$5:$A$150,0)))</f>
        <v/>
      </c>
    </row>
    <row r="3215" customFormat="false" ht="15" hidden="false" customHeight="true" outlineLevel="0" collapsed="false">
      <c r="G3215" s="1" t="str">
        <f aca="false">IF(C3215="","",INDEX(Akaun!$F$5:$F$150,MATCH(C3215,Akaun!$A$5:$A$150,0)))</f>
        <v/>
      </c>
      <c r="H3215" s="1" t="str">
        <f aca="false">IF(C3215="","",INDEX(Akaun!$D$5:$D$150,MATCH(C3215,Akaun!$A$5:$A$150,0)))</f>
        <v/>
      </c>
    </row>
    <row r="3216" customFormat="false" ht="15" hidden="false" customHeight="true" outlineLevel="0" collapsed="false">
      <c r="G3216" s="1" t="str">
        <f aca="false">IF(C3216="","",INDEX(Akaun!$F$5:$F$150,MATCH(C3216,Akaun!$A$5:$A$150,0)))</f>
        <v/>
      </c>
      <c r="H3216" s="1" t="str">
        <f aca="false">IF(C3216="","",INDEX(Akaun!$D$5:$D$150,MATCH(C3216,Akaun!$A$5:$A$150,0)))</f>
        <v/>
      </c>
    </row>
    <row r="3217" customFormat="false" ht="15" hidden="false" customHeight="true" outlineLevel="0" collapsed="false">
      <c r="G3217" s="1" t="str">
        <f aca="false">IF(C3217="","",INDEX(Akaun!$F$5:$F$150,MATCH(C3217,Akaun!$A$5:$A$150,0)))</f>
        <v/>
      </c>
      <c r="H3217" s="1" t="str">
        <f aca="false">IF(C3217="","",INDEX(Akaun!$D$5:$D$150,MATCH(C3217,Akaun!$A$5:$A$150,0)))</f>
        <v/>
      </c>
    </row>
    <row r="3218" customFormat="false" ht="15" hidden="false" customHeight="true" outlineLevel="0" collapsed="false">
      <c r="G3218" s="1" t="str">
        <f aca="false">IF(C3218="","",INDEX(Akaun!$F$5:$F$150,MATCH(C3218,Akaun!$A$5:$A$150,0)))</f>
        <v/>
      </c>
      <c r="H3218" s="1" t="str">
        <f aca="false">IF(C3218="","",INDEX(Akaun!$D$5:$D$150,MATCH(C3218,Akaun!$A$5:$A$150,0)))</f>
        <v/>
      </c>
    </row>
    <row r="3219" customFormat="false" ht="15" hidden="false" customHeight="true" outlineLevel="0" collapsed="false">
      <c r="G3219" s="1" t="str">
        <f aca="false">IF(C3219="","",INDEX(Akaun!$F$5:$F$150,MATCH(C3219,Akaun!$A$5:$A$150,0)))</f>
        <v/>
      </c>
      <c r="H3219" s="1" t="str">
        <f aca="false">IF(C3219="","",INDEX(Akaun!$D$5:$D$150,MATCH(C3219,Akaun!$A$5:$A$150,0)))</f>
        <v/>
      </c>
    </row>
    <row r="3220" customFormat="false" ht="15" hidden="false" customHeight="true" outlineLevel="0" collapsed="false">
      <c r="G3220" s="1" t="str">
        <f aca="false">IF(C3220="","",INDEX(Akaun!$F$5:$F$150,MATCH(C3220,Akaun!$A$5:$A$150,0)))</f>
        <v/>
      </c>
      <c r="H3220" s="1" t="str">
        <f aca="false">IF(C3220="","",INDEX(Akaun!$D$5:$D$150,MATCH(C3220,Akaun!$A$5:$A$150,0)))</f>
        <v/>
      </c>
    </row>
    <row r="3221" customFormat="false" ht="15" hidden="false" customHeight="true" outlineLevel="0" collapsed="false">
      <c r="G3221" s="1" t="str">
        <f aca="false">IF(C3221="","",INDEX(Akaun!$F$5:$F$150,MATCH(C3221,Akaun!$A$5:$A$150,0)))</f>
        <v/>
      </c>
      <c r="H3221" s="1" t="str">
        <f aca="false">IF(C3221="","",INDEX(Akaun!$D$5:$D$150,MATCH(C3221,Akaun!$A$5:$A$150,0)))</f>
        <v/>
      </c>
    </row>
    <row r="3222" customFormat="false" ht="15" hidden="false" customHeight="true" outlineLevel="0" collapsed="false">
      <c r="G3222" s="1" t="str">
        <f aca="false">IF(C3222="","",INDEX(Akaun!$F$5:$F$150,MATCH(C3222,Akaun!$A$5:$A$150,0)))</f>
        <v/>
      </c>
      <c r="H3222" s="1" t="str">
        <f aca="false">IF(C3222="","",INDEX(Akaun!$D$5:$D$150,MATCH(C3222,Akaun!$A$5:$A$150,0)))</f>
        <v/>
      </c>
    </row>
    <row r="3223" customFormat="false" ht="15" hidden="false" customHeight="true" outlineLevel="0" collapsed="false">
      <c r="G3223" s="1" t="str">
        <f aca="false">IF(C3223="","",INDEX(Akaun!$F$5:$F$150,MATCH(C3223,Akaun!$A$5:$A$150,0)))</f>
        <v/>
      </c>
      <c r="H3223" s="1" t="str">
        <f aca="false">IF(C3223="","",INDEX(Akaun!$D$5:$D$150,MATCH(C3223,Akaun!$A$5:$A$150,0)))</f>
        <v/>
      </c>
    </row>
    <row r="3224" customFormat="false" ht="15" hidden="false" customHeight="true" outlineLevel="0" collapsed="false">
      <c r="G3224" s="1" t="str">
        <f aca="false">IF(C3224="","",INDEX(Akaun!$F$5:$F$150,MATCH(C3224,Akaun!$A$5:$A$150,0)))</f>
        <v/>
      </c>
      <c r="H3224" s="1" t="str">
        <f aca="false">IF(C3224="","",INDEX(Akaun!$D$5:$D$150,MATCH(C3224,Akaun!$A$5:$A$150,0)))</f>
        <v/>
      </c>
    </row>
    <row r="3225" customFormat="false" ht="15" hidden="false" customHeight="true" outlineLevel="0" collapsed="false">
      <c r="G3225" s="1" t="str">
        <f aca="false">IF(C3225="","",INDEX(Akaun!$F$5:$F$150,MATCH(C3225,Akaun!$A$5:$A$150,0)))</f>
        <v/>
      </c>
      <c r="H3225" s="1" t="str">
        <f aca="false">IF(C3225="","",INDEX(Akaun!$D$5:$D$150,MATCH(C3225,Akaun!$A$5:$A$150,0)))</f>
        <v/>
      </c>
    </row>
    <row r="3226" customFormat="false" ht="15" hidden="false" customHeight="true" outlineLevel="0" collapsed="false">
      <c r="G3226" s="1" t="str">
        <f aca="false">IF(C3226="","",INDEX(Akaun!$F$5:$F$150,MATCH(C3226,Akaun!$A$5:$A$150,0)))</f>
        <v/>
      </c>
      <c r="H3226" s="1" t="str">
        <f aca="false">IF(C3226="","",INDEX(Akaun!$D$5:$D$150,MATCH(C3226,Akaun!$A$5:$A$150,0)))</f>
        <v/>
      </c>
    </row>
    <row r="3227" customFormat="false" ht="15" hidden="false" customHeight="true" outlineLevel="0" collapsed="false">
      <c r="G3227" s="1" t="str">
        <f aca="false">IF(C3227="","",INDEX(Akaun!$F$5:$F$150,MATCH(C3227,Akaun!$A$5:$A$150,0)))</f>
        <v/>
      </c>
      <c r="H3227" s="1" t="str">
        <f aca="false">IF(C3227="","",INDEX(Akaun!$D$5:$D$150,MATCH(C3227,Akaun!$A$5:$A$150,0)))</f>
        <v/>
      </c>
    </row>
    <row r="3228" customFormat="false" ht="15" hidden="false" customHeight="true" outlineLevel="0" collapsed="false">
      <c r="G3228" s="1" t="str">
        <f aca="false">IF(C3228="","",INDEX(Akaun!$F$5:$F$150,MATCH(C3228,Akaun!$A$5:$A$150,0)))</f>
        <v/>
      </c>
      <c r="H3228" s="1" t="str">
        <f aca="false">IF(C3228="","",INDEX(Akaun!$D$5:$D$150,MATCH(C3228,Akaun!$A$5:$A$150,0)))</f>
        <v/>
      </c>
    </row>
    <row r="3229" customFormat="false" ht="15" hidden="false" customHeight="true" outlineLevel="0" collapsed="false">
      <c r="G3229" s="1" t="str">
        <f aca="false">IF(C3229="","",INDEX(Akaun!$F$5:$F$150,MATCH(C3229,Akaun!$A$5:$A$150,0)))</f>
        <v/>
      </c>
      <c r="H3229" s="1" t="str">
        <f aca="false">IF(C3229="","",INDEX(Akaun!$D$5:$D$150,MATCH(C3229,Akaun!$A$5:$A$150,0)))</f>
        <v/>
      </c>
    </row>
    <row r="3230" customFormat="false" ht="15" hidden="false" customHeight="true" outlineLevel="0" collapsed="false">
      <c r="G3230" s="1" t="str">
        <f aca="false">IF(C3230="","",INDEX(Akaun!$F$5:$F$150,MATCH(C3230,Akaun!$A$5:$A$150,0)))</f>
        <v/>
      </c>
      <c r="H3230" s="1" t="str">
        <f aca="false">IF(C3230="","",INDEX(Akaun!$D$5:$D$150,MATCH(C3230,Akaun!$A$5:$A$150,0)))</f>
        <v/>
      </c>
    </row>
    <row r="3231" customFormat="false" ht="15" hidden="false" customHeight="true" outlineLevel="0" collapsed="false">
      <c r="G3231" s="1" t="str">
        <f aca="false">IF(C3231="","",INDEX(Akaun!$F$5:$F$150,MATCH(C3231,Akaun!$A$5:$A$150,0)))</f>
        <v/>
      </c>
      <c r="H3231" s="1" t="str">
        <f aca="false">IF(C3231="","",INDEX(Akaun!$D$5:$D$150,MATCH(C3231,Akaun!$A$5:$A$150,0)))</f>
        <v/>
      </c>
    </row>
    <row r="3232" customFormat="false" ht="15" hidden="false" customHeight="true" outlineLevel="0" collapsed="false">
      <c r="G3232" s="1" t="str">
        <f aca="false">IF(C3232="","",INDEX(Akaun!$F$5:$F$150,MATCH(C3232,Akaun!$A$5:$A$150,0)))</f>
        <v/>
      </c>
      <c r="H3232" s="1" t="str">
        <f aca="false">IF(C3232="","",INDEX(Akaun!$D$5:$D$150,MATCH(C3232,Akaun!$A$5:$A$150,0)))</f>
        <v/>
      </c>
    </row>
    <row r="3233" customFormat="false" ht="15" hidden="false" customHeight="true" outlineLevel="0" collapsed="false">
      <c r="G3233" s="1" t="str">
        <f aca="false">IF(C3233="","",INDEX(Akaun!$F$5:$F$150,MATCH(C3233,Akaun!$A$5:$A$150,0)))</f>
        <v/>
      </c>
      <c r="H3233" s="1" t="str">
        <f aca="false">IF(C3233="","",INDEX(Akaun!$D$5:$D$150,MATCH(C3233,Akaun!$A$5:$A$150,0)))</f>
        <v/>
      </c>
    </row>
    <row r="3234" customFormat="false" ht="15" hidden="false" customHeight="true" outlineLevel="0" collapsed="false">
      <c r="G3234" s="1" t="str">
        <f aca="false">IF(C3234="","",INDEX(Akaun!$F$5:$F$150,MATCH(C3234,Akaun!$A$5:$A$150,0)))</f>
        <v/>
      </c>
      <c r="H3234" s="1" t="str">
        <f aca="false">IF(C3234="","",INDEX(Akaun!$D$5:$D$150,MATCH(C3234,Akaun!$A$5:$A$150,0)))</f>
        <v/>
      </c>
    </row>
    <row r="3235" customFormat="false" ht="15" hidden="false" customHeight="true" outlineLevel="0" collapsed="false">
      <c r="G3235" s="1" t="str">
        <f aca="false">IF(C3235="","",INDEX(Akaun!$F$5:$F$150,MATCH(C3235,Akaun!$A$5:$A$150,0)))</f>
        <v/>
      </c>
      <c r="H3235" s="1" t="str">
        <f aca="false">IF(C3235="","",INDEX(Akaun!$D$5:$D$150,MATCH(C3235,Akaun!$A$5:$A$150,0)))</f>
        <v/>
      </c>
    </row>
    <row r="3236" customFormat="false" ht="15" hidden="false" customHeight="true" outlineLevel="0" collapsed="false">
      <c r="G3236" s="1" t="str">
        <f aca="false">IF(C3236="","",INDEX(Akaun!$F$5:$F$150,MATCH(C3236,Akaun!$A$5:$A$150,0)))</f>
        <v/>
      </c>
      <c r="H3236" s="1" t="str">
        <f aca="false">IF(C3236="","",INDEX(Akaun!$D$5:$D$150,MATCH(C3236,Akaun!$A$5:$A$150,0)))</f>
        <v/>
      </c>
    </row>
    <row r="3237" customFormat="false" ht="15" hidden="false" customHeight="true" outlineLevel="0" collapsed="false">
      <c r="G3237" s="1" t="str">
        <f aca="false">IF(C3237="","",INDEX(Akaun!$F$5:$F$150,MATCH(C3237,Akaun!$A$5:$A$150,0)))</f>
        <v/>
      </c>
      <c r="H3237" s="1" t="str">
        <f aca="false">IF(C3237="","",INDEX(Akaun!$D$5:$D$150,MATCH(C3237,Akaun!$A$5:$A$150,0)))</f>
        <v/>
      </c>
    </row>
    <row r="3238" customFormat="false" ht="15" hidden="false" customHeight="true" outlineLevel="0" collapsed="false">
      <c r="G3238" s="1" t="str">
        <f aca="false">IF(C3238="","",INDEX(Akaun!$F$5:$F$150,MATCH(C3238,Akaun!$A$5:$A$150,0)))</f>
        <v/>
      </c>
      <c r="H3238" s="1" t="str">
        <f aca="false">IF(C3238="","",INDEX(Akaun!$D$5:$D$150,MATCH(C3238,Akaun!$A$5:$A$150,0)))</f>
        <v/>
      </c>
    </row>
    <row r="3239" customFormat="false" ht="15" hidden="false" customHeight="true" outlineLevel="0" collapsed="false">
      <c r="G3239" s="1" t="str">
        <f aca="false">IF(C3239="","",INDEX(Akaun!$F$5:$F$150,MATCH(C3239,Akaun!$A$5:$A$150,0)))</f>
        <v/>
      </c>
      <c r="H3239" s="1" t="str">
        <f aca="false">IF(C3239="","",INDEX(Akaun!$D$5:$D$150,MATCH(C3239,Akaun!$A$5:$A$150,0)))</f>
        <v/>
      </c>
    </row>
    <row r="3240" customFormat="false" ht="15" hidden="false" customHeight="true" outlineLevel="0" collapsed="false">
      <c r="G3240" s="1" t="str">
        <f aca="false">IF(C3240="","",INDEX(Akaun!$F$5:$F$150,MATCH(C3240,Akaun!$A$5:$A$150,0)))</f>
        <v/>
      </c>
      <c r="H3240" s="1" t="str">
        <f aca="false">IF(C3240="","",INDEX(Akaun!$D$5:$D$150,MATCH(C3240,Akaun!$A$5:$A$150,0)))</f>
        <v/>
      </c>
    </row>
    <row r="3241" customFormat="false" ht="15" hidden="false" customHeight="true" outlineLevel="0" collapsed="false">
      <c r="G3241" s="1" t="str">
        <f aca="false">IF(C3241="","",INDEX(Akaun!$F$5:$F$150,MATCH(C3241,Akaun!$A$5:$A$150,0)))</f>
        <v/>
      </c>
      <c r="H3241" s="1" t="str">
        <f aca="false">IF(C3241="","",INDEX(Akaun!$D$5:$D$150,MATCH(C3241,Akaun!$A$5:$A$150,0)))</f>
        <v/>
      </c>
    </row>
    <row r="3242" customFormat="false" ht="15" hidden="false" customHeight="true" outlineLevel="0" collapsed="false">
      <c r="G3242" s="1" t="str">
        <f aca="false">IF(C3242="","",INDEX(Akaun!$F$5:$F$150,MATCH(C3242,Akaun!$A$5:$A$150,0)))</f>
        <v/>
      </c>
      <c r="H3242" s="1" t="str">
        <f aca="false">IF(C3242="","",INDEX(Akaun!$D$5:$D$150,MATCH(C3242,Akaun!$A$5:$A$150,0)))</f>
        <v/>
      </c>
    </row>
    <row r="3243" customFormat="false" ht="15" hidden="false" customHeight="true" outlineLevel="0" collapsed="false">
      <c r="G3243" s="1" t="str">
        <f aca="false">IF(C3243="","",INDEX(Akaun!$F$5:$F$150,MATCH(C3243,Akaun!$A$5:$A$150,0)))</f>
        <v/>
      </c>
      <c r="H3243" s="1" t="str">
        <f aca="false">IF(C3243="","",INDEX(Akaun!$D$5:$D$150,MATCH(C3243,Akaun!$A$5:$A$150,0)))</f>
        <v/>
      </c>
    </row>
    <row r="3244" customFormat="false" ht="15" hidden="false" customHeight="true" outlineLevel="0" collapsed="false">
      <c r="G3244" s="1" t="str">
        <f aca="false">IF(C3244="","",INDEX(Akaun!$F$5:$F$150,MATCH(C3244,Akaun!$A$5:$A$150,0)))</f>
        <v/>
      </c>
      <c r="H3244" s="1" t="str">
        <f aca="false">IF(C3244="","",INDEX(Akaun!$D$5:$D$150,MATCH(C3244,Akaun!$A$5:$A$150,0)))</f>
        <v/>
      </c>
    </row>
    <row r="3245" customFormat="false" ht="15" hidden="false" customHeight="true" outlineLevel="0" collapsed="false">
      <c r="G3245" s="1" t="str">
        <f aca="false">IF(C3245="","",INDEX(Akaun!$F$5:$F$150,MATCH(C3245,Akaun!$A$5:$A$150,0)))</f>
        <v/>
      </c>
      <c r="H3245" s="1" t="str">
        <f aca="false">IF(C3245="","",INDEX(Akaun!$D$5:$D$150,MATCH(C3245,Akaun!$A$5:$A$150,0)))</f>
        <v/>
      </c>
    </row>
    <row r="3246" customFormat="false" ht="15" hidden="false" customHeight="true" outlineLevel="0" collapsed="false">
      <c r="G3246" s="1" t="str">
        <f aca="false">IF(C3246="","",INDEX(Akaun!$F$5:$F$150,MATCH(C3246,Akaun!$A$5:$A$150,0)))</f>
        <v/>
      </c>
      <c r="H3246" s="1" t="str">
        <f aca="false">IF(C3246="","",INDEX(Akaun!$D$5:$D$150,MATCH(C3246,Akaun!$A$5:$A$150,0)))</f>
        <v/>
      </c>
    </row>
    <row r="3247" customFormat="false" ht="15" hidden="false" customHeight="true" outlineLevel="0" collapsed="false">
      <c r="G3247" s="1" t="str">
        <f aca="false">IF(C3247="","",INDEX(Akaun!$F$5:$F$150,MATCH(C3247,Akaun!$A$5:$A$150,0)))</f>
        <v/>
      </c>
      <c r="H3247" s="1" t="str">
        <f aca="false">IF(C3247="","",INDEX(Akaun!$D$5:$D$150,MATCH(C3247,Akaun!$A$5:$A$150,0)))</f>
        <v/>
      </c>
    </row>
    <row r="3248" customFormat="false" ht="15" hidden="false" customHeight="true" outlineLevel="0" collapsed="false">
      <c r="G3248" s="1" t="str">
        <f aca="false">IF(C3248="","",INDEX(Akaun!$F$5:$F$150,MATCH(C3248,Akaun!$A$5:$A$150,0)))</f>
        <v/>
      </c>
      <c r="H3248" s="1" t="str">
        <f aca="false">IF(C3248="","",INDEX(Akaun!$D$5:$D$150,MATCH(C3248,Akaun!$A$5:$A$150,0)))</f>
        <v/>
      </c>
    </row>
    <row r="3249" customFormat="false" ht="15" hidden="false" customHeight="true" outlineLevel="0" collapsed="false">
      <c r="G3249" s="1" t="str">
        <f aca="false">IF(C3249="","",INDEX(Akaun!$F$5:$F$150,MATCH(C3249,Akaun!$A$5:$A$150,0)))</f>
        <v/>
      </c>
      <c r="H3249" s="1" t="str">
        <f aca="false">IF(C3249="","",INDEX(Akaun!$D$5:$D$150,MATCH(C3249,Akaun!$A$5:$A$150,0)))</f>
        <v/>
      </c>
    </row>
    <row r="3250" customFormat="false" ht="15" hidden="false" customHeight="true" outlineLevel="0" collapsed="false">
      <c r="G3250" s="1" t="str">
        <f aca="false">IF(C3250="","",INDEX(Akaun!$F$5:$F$150,MATCH(C3250,Akaun!$A$5:$A$150,0)))</f>
        <v/>
      </c>
      <c r="H3250" s="1" t="str">
        <f aca="false">IF(C3250="","",INDEX(Akaun!$D$5:$D$150,MATCH(C3250,Akaun!$A$5:$A$150,0)))</f>
        <v/>
      </c>
    </row>
    <row r="3251" customFormat="false" ht="15" hidden="false" customHeight="true" outlineLevel="0" collapsed="false">
      <c r="G3251" s="1" t="str">
        <f aca="false">IF(C3251="","",INDEX(Akaun!$F$5:$F$150,MATCH(C3251,Akaun!$A$5:$A$150,0)))</f>
        <v/>
      </c>
      <c r="H3251" s="1" t="str">
        <f aca="false">IF(C3251="","",INDEX(Akaun!$D$5:$D$150,MATCH(C3251,Akaun!$A$5:$A$150,0)))</f>
        <v/>
      </c>
    </row>
    <row r="3252" customFormat="false" ht="15" hidden="false" customHeight="true" outlineLevel="0" collapsed="false">
      <c r="G3252" s="1" t="str">
        <f aca="false">IF(C3252="","",INDEX(Akaun!$F$5:$F$150,MATCH(C3252,Akaun!$A$5:$A$150,0)))</f>
        <v/>
      </c>
      <c r="H3252" s="1" t="str">
        <f aca="false">IF(C3252="","",INDEX(Akaun!$D$5:$D$150,MATCH(C3252,Akaun!$A$5:$A$150,0)))</f>
        <v/>
      </c>
    </row>
    <row r="3253" customFormat="false" ht="15" hidden="false" customHeight="true" outlineLevel="0" collapsed="false">
      <c r="G3253" s="1" t="str">
        <f aca="false">IF(C3253="","",INDEX(Akaun!$F$5:$F$150,MATCH(C3253,Akaun!$A$5:$A$150,0)))</f>
        <v/>
      </c>
      <c r="H3253" s="1" t="str">
        <f aca="false">IF(C3253="","",INDEX(Akaun!$D$5:$D$150,MATCH(C3253,Akaun!$A$5:$A$150,0)))</f>
        <v/>
      </c>
    </row>
    <row r="3254" customFormat="false" ht="15" hidden="false" customHeight="true" outlineLevel="0" collapsed="false">
      <c r="G3254" s="1" t="str">
        <f aca="false">IF(C3254="","",INDEX(Akaun!$F$5:$F$150,MATCH(C3254,Akaun!$A$5:$A$150,0)))</f>
        <v/>
      </c>
      <c r="H3254" s="1" t="str">
        <f aca="false">IF(C3254="","",INDEX(Akaun!$D$5:$D$150,MATCH(C3254,Akaun!$A$5:$A$150,0)))</f>
        <v/>
      </c>
    </row>
    <row r="3255" customFormat="false" ht="15" hidden="false" customHeight="true" outlineLevel="0" collapsed="false">
      <c r="G3255" s="1" t="str">
        <f aca="false">IF(C3255="","",INDEX(Akaun!$F$5:$F$150,MATCH(C3255,Akaun!$A$5:$A$150,0)))</f>
        <v/>
      </c>
      <c r="H3255" s="1" t="str">
        <f aca="false">IF(C3255="","",INDEX(Akaun!$D$5:$D$150,MATCH(C3255,Akaun!$A$5:$A$150,0)))</f>
        <v/>
      </c>
    </row>
    <row r="3256" customFormat="false" ht="15" hidden="false" customHeight="true" outlineLevel="0" collapsed="false">
      <c r="G3256" s="1" t="str">
        <f aca="false">IF(C3256="","",INDEX(Akaun!$F$5:$F$150,MATCH(C3256,Akaun!$A$5:$A$150,0)))</f>
        <v/>
      </c>
      <c r="H3256" s="1" t="str">
        <f aca="false">IF(C3256="","",INDEX(Akaun!$D$5:$D$150,MATCH(C3256,Akaun!$A$5:$A$150,0)))</f>
        <v/>
      </c>
    </row>
    <row r="3257" customFormat="false" ht="15" hidden="false" customHeight="true" outlineLevel="0" collapsed="false">
      <c r="G3257" s="1" t="str">
        <f aca="false">IF(C3257="","",INDEX(Akaun!$F$5:$F$150,MATCH(C3257,Akaun!$A$5:$A$150,0)))</f>
        <v/>
      </c>
      <c r="H3257" s="1" t="str">
        <f aca="false">IF(C3257="","",INDEX(Akaun!$D$5:$D$150,MATCH(C3257,Akaun!$A$5:$A$150,0)))</f>
        <v/>
      </c>
    </row>
    <row r="3258" customFormat="false" ht="15" hidden="false" customHeight="true" outlineLevel="0" collapsed="false">
      <c r="G3258" s="1" t="str">
        <f aca="false">IF(C3258="","",INDEX(Akaun!$F$5:$F$150,MATCH(C3258,Akaun!$A$5:$A$150,0)))</f>
        <v/>
      </c>
      <c r="H3258" s="1" t="str">
        <f aca="false">IF(C3258="","",INDEX(Akaun!$D$5:$D$150,MATCH(C3258,Akaun!$A$5:$A$150,0)))</f>
        <v/>
      </c>
    </row>
    <row r="3259" customFormat="false" ht="15" hidden="false" customHeight="true" outlineLevel="0" collapsed="false">
      <c r="G3259" s="1" t="str">
        <f aca="false">IF(C3259="","",INDEX(Akaun!$F$5:$F$150,MATCH(C3259,Akaun!$A$5:$A$150,0)))</f>
        <v/>
      </c>
      <c r="H3259" s="1" t="str">
        <f aca="false">IF(C3259="","",INDEX(Akaun!$D$5:$D$150,MATCH(C3259,Akaun!$A$5:$A$150,0)))</f>
        <v/>
      </c>
    </row>
    <row r="3260" customFormat="false" ht="15" hidden="false" customHeight="true" outlineLevel="0" collapsed="false">
      <c r="G3260" s="1" t="str">
        <f aca="false">IF(C3260="","",INDEX(Akaun!$F$5:$F$150,MATCH(C3260,Akaun!$A$5:$A$150,0)))</f>
        <v/>
      </c>
      <c r="H3260" s="1" t="str">
        <f aca="false">IF(C3260="","",INDEX(Akaun!$D$5:$D$150,MATCH(C3260,Akaun!$A$5:$A$150,0)))</f>
        <v/>
      </c>
    </row>
    <row r="3261" customFormat="false" ht="15" hidden="false" customHeight="true" outlineLevel="0" collapsed="false">
      <c r="G3261" s="1" t="str">
        <f aca="false">IF(C3261="","",INDEX(Akaun!$F$5:$F$150,MATCH(C3261,Akaun!$A$5:$A$150,0)))</f>
        <v/>
      </c>
      <c r="H3261" s="1" t="str">
        <f aca="false">IF(C3261="","",INDEX(Akaun!$D$5:$D$150,MATCH(C3261,Akaun!$A$5:$A$150,0)))</f>
        <v/>
      </c>
    </row>
    <row r="3262" customFormat="false" ht="15" hidden="false" customHeight="true" outlineLevel="0" collapsed="false">
      <c r="G3262" s="1" t="str">
        <f aca="false">IF(C3262="","",INDEX(Akaun!$F$5:$F$150,MATCH(C3262,Akaun!$A$5:$A$150,0)))</f>
        <v/>
      </c>
      <c r="H3262" s="1" t="str">
        <f aca="false">IF(C3262="","",INDEX(Akaun!$D$5:$D$150,MATCH(C3262,Akaun!$A$5:$A$150,0)))</f>
        <v/>
      </c>
    </row>
    <row r="3263" customFormat="false" ht="15" hidden="false" customHeight="true" outlineLevel="0" collapsed="false">
      <c r="G3263" s="1" t="str">
        <f aca="false">IF(C3263="","",INDEX(Akaun!$F$5:$F$150,MATCH(C3263,Akaun!$A$5:$A$150,0)))</f>
        <v/>
      </c>
      <c r="H3263" s="1" t="str">
        <f aca="false">IF(C3263="","",INDEX(Akaun!$D$5:$D$150,MATCH(C3263,Akaun!$A$5:$A$150,0)))</f>
        <v/>
      </c>
    </row>
    <row r="3264" customFormat="false" ht="15" hidden="false" customHeight="true" outlineLevel="0" collapsed="false">
      <c r="G3264" s="1" t="str">
        <f aca="false">IF(C3264="","",INDEX(Akaun!$F$5:$F$150,MATCH(C3264,Akaun!$A$5:$A$150,0)))</f>
        <v/>
      </c>
      <c r="H3264" s="1" t="str">
        <f aca="false">IF(C3264="","",INDEX(Akaun!$D$5:$D$150,MATCH(C3264,Akaun!$A$5:$A$150,0)))</f>
        <v/>
      </c>
    </row>
    <row r="3265" customFormat="false" ht="15" hidden="false" customHeight="true" outlineLevel="0" collapsed="false">
      <c r="G3265" s="1" t="str">
        <f aca="false">IF(C3265="","",INDEX(Akaun!$F$5:$F$150,MATCH(C3265,Akaun!$A$5:$A$150,0)))</f>
        <v/>
      </c>
      <c r="H3265" s="1" t="str">
        <f aca="false">IF(C3265="","",INDEX(Akaun!$D$5:$D$150,MATCH(C3265,Akaun!$A$5:$A$150,0)))</f>
        <v/>
      </c>
    </row>
    <row r="3266" customFormat="false" ht="15" hidden="false" customHeight="true" outlineLevel="0" collapsed="false">
      <c r="G3266" s="1" t="str">
        <f aca="false">IF(C3266="","",INDEX(Akaun!$F$5:$F$150,MATCH(C3266,Akaun!$A$5:$A$150,0)))</f>
        <v/>
      </c>
      <c r="H3266" s="1" t="str">
        <f aca="false">IF(C3266="","",INDEX(Akaun!$D$5:$D$150,MATCH(C3266,Akaun!$A$5:$A$150,0)))</f>
        <v/>
      </c>
    </row>
    <row r="3267" customFormat="false" ht="15" hidden="false" customHeight="true" outlineLevel="0" collapsed="false">
      <c r="G3267" s="1" t="str">
        <f aca="false">IF(C3267="","",INDEX(Akaun!$F$5:$F$150,MATCH(C3267,Akaun!$A$5:$A$150,0)))</f>
        <v/>
      </c>
      <c r="H3267" s="1" t="str">
        <f aca="false">IF(C3267="","",INDEX(Akaun!$D$5:$D$150,MATCH(C3267,Akaun!$A$5:$A$150,0)))</f>
        <v/>
      </c>
    </row>
    <row r="3268" customFormat="false" ht="15" hidden="false" customHeight="true" outlineLevel="0" collapsed="false">
      <c r="G3268" s="1" t="str">
        <f aca="false">IF(C3268="","",INDEX(Akaun!$F$5:$F$150,MATCH(C3268,Akaun!$A$5:$A$150,0)))</f>
        <v/>
      </c>
      <c r="H3268" s="1" t="str">
        <f aca="false">IF(C3268="","",INDEX(Akaun!$D$5:$D$150,MATCH(C3268,Akaun!$A$5:$A$150,0)))</f>
        <v/>
      </c>
    </row>
    <row r="3269" customFormat="false" ht="15" hidden="false" customHeight="true" outlineLevel="0" collapsed="false">
      <c r="G3269" s="1" t="str">
        <f aca="false">IF(C3269="","",INDEX(Akaun!$F$5:$F$150,MATCH(C3269,Akaun!$A$5:$A$150,0)))</f>
        <v/>
      </c>
      <c r="H3269" s="1" t="str">
        <f aca="false">IF(C3269="","",INDEX(Akaun!$D$5:$D$150,MATCH(C3269,Akaun!$A$5:$A$150,0)))</f>
        <v/>
      </c>
    </row>
    <row r="3270" customFormat="false" ht="15" hidden="false" customHeight="true" outlineLevel="0" collapsed="false">
      <c r="G3270" s="1" t="str">
        <f aca="false">IF(C3270="","",INDEX(Akaun!$F$5:$F$150,MATCH(C3270,Akaun!$A$5:$A$150,0)))</f>
        <v/>
      </c>
      <c r="H3270" s="1" t="str">
        <f aca="false">IF(C3270="","",INDEX(Akaun!$D$5:$D$150,MATCH(C3270,Akaun!$A$5:$A$150,0)))</f>
        <v/>
      </c>
    </row>
    <row r="3271" customFormat="false" ht="15" hidden="false" customHeight="true" outlineLevel="0" collapsed="false">
      <c r="G3271" s="1" t="str">
        <f aca="false">IF(C3271="","",INDEX(Akaun!$F$5:$F$150,MATCH(C3271,Akaun!$A$5:$A$150,0)))</f>
        <v/>
      </c>
      <c r="H3271" s="1" t="str">
        <f aca="false">IF(C3271="","",INDEX(Akaun!$D$5:$D$150,MATCH(C3271,Akaun!$A$5:$A$150,0)))</f>
        <v/>
      </c>
    </row>
    <row r="3272" customFormat="false" ht="15" hidden="false" customHeight="true" outlineLevel="0" collapsed="false">
      <c r="G3272" s="1" t="str">
        <f aca="false">IF(C3272="","",INDEX(Akaun!$F$5:$F$150,MATCH(C3272,Akaun!$A$5:$A$150,0)))</f>
        <v/>
      </c>
      <c r="H3272" s="1" t="str">
        <f aca="false">IF(C3272="","",INDEX(Akaun!$D$5:$D$150,MATCH(C3272,Akaun!$A$5:$A$150,0)))</f>
        <v/>
      </c>
    </row>
    <row r="3273" customFormat="false" ht="15" hidden="false" customHeight="true" outlineLevel="0" collapsed="false">
      <c r="G3273" s="1" t="str">
        <f aca="false">IF(C3273="","",INDEX(Akaun!$F$5:$F$150,MATCH(C3273,Akaun!$A$5:$A$150,0)))</f>
        <v/>
      </c>
      <c r="H3273" s="1" t="str">
        <f aca="false">IF(C3273="","",INDEX(Akaun!$D$5:$D$150,MATCH(C3273,Akaun!$A$5:$A$150,0)))</f>
        <v/>
      </c>
    </row>
    <row r="3274" customFormat="false" ht="15" hidden="false" customHeight="true" outlineLevel="0" collapsed="false">
      <c r="G3274" s="1" t="str">
        <f aca="false">IF(C3274="","",INDEX(Akaun!$F$5:$F$150,MATCH(C3274,Akaun!$A$5:$A$150,0)))</f>
        <v/>
      </c>
      <c r="H3274" s="1" t="str">
        <f aca="false">IF(C3274="","",INDEX(Akaun!$D$5:$D$150,MATCH(C3274,Akaun!$A$5:$A$150,0)))</f>
        <v/>
      </c>
    </row>
    <row r="3275" customFormat="false" ht="15" hidden="false" customHeight="true" outlineLevel="0" collapsed="false">
      <c r="G3275" s="1" t="str">
        <f aca="false">IF(C3275="","",INDEX(Akaun!$F$5:$F$150,MATCH(C3275,Akaun!$A$5:$A$150,0)))</f>
        <v/>
      </c>
      <c r="H3275" s="1" t="str">
        <f aca="false">IF(C3275="","",INDEX(Akaun!$D$5:$D$150,MATCH(C3275,Akaun!$A$5:$A$150,0)))</f>
        <v/>
      </c>
    </row>
    <row r="3276" customFormat="false" ht="15" hidden="false" customHeight="true" outlineLevel="0" collapsed="false">
      <c r="G3276" s="1" t="str">
        <f aca="false">IF(C3276="","",INDEX(Akaun!$F$5:$F$150,MATCH(C3276,Akaun!$A$5:$A$150,0)))</f>
        <v/>
      </c>
      <c r="H3276" s="1" t="str">
        <f aca="false">IF(C3276="","",INDEX(Akaun!$D$5:$D$150,MATCH(C3276,Akaun!$A$5:$A$150,0)))</f>
        <v/>
      </c>
    </row>
    <row r="3277" customFormat="false" ht="15" hidden="false" customHeight="true" outlineLevel="0" collapsed="false">
      <c r="G3277" s="1" t="str">
        <f aca="false">IF(C3277="","",INDEX(Akaun!$F$5:$F$150,MATCH(C3277,Akaun!$A$5:$A$150,0)))</f>
        <v/>
      </c>
      <c r="H3277" s="1" t="str">
        <f aca="false">IF(C3277="","",INDEX(Akaun!$D$5:$D$150,MATCH(C3277,Akaun!$A$5:$A$150,0)))</f>
        <v/>
      </c>
    </row>
    <row r="3278" customFormat="false" ht="15" hidden="false" customHeight="true" outlineLevel="0" collapsed="false">
      <c r="G3278" s="1" t="str">
        <f aca="false">IF(C3278="","",INDEX(Akaun!$F$5:$F$150,MATCH(C3278,Akaun!$A$5:$A$150,0)))</f>
        <v/>
      </c>
      <c r="H3278" s="1" t="str">
        <f aca="false">IF(C3278="","",INDEX(Akaun!$D$5:$D$150,MATCH(C3278,Akaun!$A$5:$A$150,0)))</f>
        <v/>
      </c>
    </row>
    <row r="3279" customFormat="false" ht="15" hidden="false" customHeight="true" outlineLevel="0" collapsed="false">
      <c r="G3279" s="1" t="str">
        <f aca="false">IF(C3279="","",INDEX(Akaun!$F$5:$F$150,MATCH(C3279,Akaun!$A$5:$A$150,0)))</f>
        <v/>
      </c>
      <c r="H3279" s="1" t="str">
        <f aca="false">IF(C3279="","",INDEX(Akaun!$D$5:$D$150,MATCH(C3279,Akaun!$A$5:$A$150,0)))</f>
        <v/>
      </c>
    </row>
    <row r="3280" customFormat="false" ht="15" hidden="false" customHeight="true" outlineLevel="0" collapsed="false">
      <c r="G3280" s="1" t="str">
        <f aca="false">IF(C3280="","",INDEX(Akaun!$F$5:$F$150,MATCH(C3280,Akaun!$A$5:$A$150,0)))</f>
        <v/>
      </c>
      <c r="H3280" s="1" t="str">
        <f aca="false">IF(C3280="","",INDEX(Akaun!$D$5:$D$150,MATCH(C3280,Akaun!$A$5:$A$150,0)))</f>
        <v/>
      </c>
    </row>
    <row r="3281" customFormat="false" ht="15" hidden="false" customHeight="true" outlineLevel="0" collapsed="false">
      <c r="G3281" s="1" t="str">
        <f aca="false">IF(C3281="","",INDEX(Akaun!$F$5:$F$150,MATCH(C3281,Akaun!$A$5:$A$150,0)))</f>
        <v/>
      </c>
      <c r="H3281" s="1" t="str">
        <f aca="false">IF(C3281="","",INDEX(Akaun!$D$5:$D$150,MATCH(C3281,Akaun!$A$5:$A$150,0)))</f>
        <v/>
      </c>
    </row>
    <row r="3282" customFormat="false" ht="15" hidden="false" customHeight="true" outlineLevel="0" collapsed="false">
      <c r="G3282" s="1" t="str">
        <f aca="false">IF(C3282="","",INDEX(Akaun!$F$5:$F$150,MATCH(C3282,Akaun!$A$5:$A$150,0)))</f>
        <v/>
      </c>
      <c r="H3282" s="1" t="str">
        <f aca="false">IF(C3282="","",INDEX(Akaun!$D$5:$D$150,MATCH(C3282,Akaun!$A$5:$A$150,0)))</f>
        <v/>
      </c>
    </row>
    <row r="3283" customFormat="false" ht="15" hidden="false" customHeight="true" outlineLevel="0" collapsed="false">
      <c r="G3283" s="1" t="str">
        <f aca="false">IF(C3283="","",INDEX(Akaun!$F$5:$F$150,MATCH(C3283,Akaun!$A$5:$A$150,0)))</f>
        <v/>
      </c>
      <c r="H3283" s="1" t="str">
        <f aca="false">IF(C3283="","",INDEX(Akaun!$D$5:$D$150,MATCH(C3283,Akaun!$A$5:$A$150,0)))</f>
        <v/>
      </c>
    </row>
    <row r="3284" customFormat="false" ht="15" hidden="false" customHeight="true" outlineLevel="0" collapsed="false">
      <c r="G3284" s="1" t="str">
        <f aca="false">IF(C3284="","",INDEX(Akaun!$F$5:$F$150,MATCH(C3284,Akaun!$A$5:$A$150,0)))</f>
        <v/>
      </c>
      <c r="H3284" s="1" t="str">
        <f aca="false">IF(C3284="","",INDEX(Akaun!$D$5:$D$150,MATCH(C3284,Akaun!$A$5:$A$150,0)))</f>
        <v/>
      </c>
    </row>
    <row r="3285" customFormat="false" ht="15" hidden="false" customHeight="true" outlineLevel="0" collapsed="false">
      <c r="G3285" s="1" t="str">
        <f aca="false">IF(C3285="","",INDEX(Akaun!$F$5:$F$150,MATCH(C3285,Akaun!$A$5:$A$150,0)))</f>
        <v/>
      </c>
      <c r="H3285" s="1" t="str">
        <f aca="false">IF(C3285="","",INDEX(Akaun!$D$5:$D$150,MATCH(C3285,Akaun!$A$5:$A$150,0)))</f>
        <v/>
      </c>
    </row>
    <row r="3286" customFormat="false" ht="15" hidden="false" customHeight="true" outlineLevel="0" collapsed="false">
      <c r="G3286" s="1" t="str">
        <f aca="false">IF(C3286="","",INDEX(Akaun!$F$5:$F$150,MATCH(C3286,Akaun!$A$5:$A$150,0)))</f>
        <v/>
      </c>
      <c r="H3286" s="1" t="str">
        <f aca="false">IF(C3286="","",INDEX(Akaun!$D$5:$D$150,MATCH(C3286,Akaun!$A$5:$A$150,0)))</f>
        <v/>
      </c>
    </row>
    <row r="3287" customFormat="false" ht="15" hidden="false" customHeight="true" outlineLevel="0" collapsed="false">
      <c r="G3287" s="1" t="str">
        <f aca="false">IF(C3287="","",INDEX(Akaun!$F$5:$F$150,MATCH(C3287,Akaun!$A$5:$A$150,0)))</f>
        <v/>
      </c>
      <c r="H3287" s="1" t="str">
        <f aca="false">IF(C3287="","",INDEX(Akaun!$D$5:$D$150,MATCH(C3287,Akaun!$A$5:$A$150,0)))</f>
        <v/>
      </c>
    </row>
    <row r="3288" customFormat="false" ht="15" hidden="false" customHeight="true" outlineLevel="0" collapsed="false">
      <c r="G3288" s="1" t="str">
        <f aca="false">IF(C3288="","",INDEX(Akaun!$F$5:$F$150,MATCH(C3288,Akaun!$A$5:$A$150,0)))</f>
        <v/>
      </c>
      <c r="H3288" s="1" t="str">
        <f aca="false">IF(C3288="","",INDEX(Akaun!$D$5:$D$150,MATCH(C3288,Akaun!$A$5:$A$150,0)))</f>
        <v/>
      </c>
    </row>
    <row r="3289" customFormat="false" ht="15" hidden="false" customHeight="true" outlineLevel="0" collapsed="false">
      <c r="G3289" s="1" t="str">
        <f aca="false">IF(C3289="","",INDEX(Akaun!$F$5:$F$150,MATCH(C3289,Akaun!$A$5:$A$150,0)))</f>
        <v/>
      </c>
      <c r="H3289" s="1" t="str">
        <f aca="false">IF(C3289="","",INDEX(Akaun!$D$5:$D$150,MATCH(C3289,Akaun!$A$5:$A$150,0)))</f>
        <v/>
      </c>
    </row>
    <row r="3290" customFormat="false" ht="15" hidden="false" customHeight="true" outlineLevel="0" collapsed="false">
      <c r="G3290" s="1" t="str">
        <f aca="false">IF(C3290="","",INDEX(Akaun!$F$5:$F$150,MATCH(C3290,Akaun!$A$5:$A$150,0)))</f>
        <v/>
      </c>
      <c r="H3290" s="1" t="str">
        <f aca="false">IF(C3290="","",INDEX(Akaun!$D$5:$D$150,MATCH(C3290,Akaun!$A$5:$A$150,0)))</f>
        <v/>
      </c>
    </row>
    <row r="3291" customFormat="false" ht="15" hidden="false" customHeight="true" outlineLevel="0" collapsed="false">
      <c r="G3291" s="1" t="str">
        <f aca="false">IF(C3291="","",INDEX(Akaun!$F$5:$F$150,MATCH(C3291,Akaun!$A$5:$A$150,0)))</f>
        <v/>
      </c>
      <c r="H3291" s="1" t="str">
        <f aca="false">IF(C3291="","",INDEX(Akaun!$D$5:$D$150,MATCH(C3291,Akaun!$A$5:$A$150,0)))</f>
        <v/>
      </c>
    </row>
    <row r="3292" customFormat="false" ht="15" hidden="false" customHeight="true" outlineLevel="0" collapsed="false">
      <c r="G3292" s="1" t="str">
        <f aca="false">IF(C3292="","",INDEX(Akaun!$F$5:$F$150,MATCH(C3292,Akaun!$A$5:$A$150,0)))</f>
        <v/>
      </c>
      <c r="H3292" s="1" t="str">
        <f aca="false">IF(C3292="","",INDEX(Akaun!$D$5:$D$150,MATCH(C3292,Akaun!$A$5:$A$150,0)))</f>
        <v/>
      </c>
    </row>
    <row r="3293" customFormat="false" ht="15" hidden="false" customHeight="true" outlineLevel="0" collapsed="false">
      <c r="G3293" s="1" t="str">
        <f aca="false">IF(C3293="","",INDEX(Akaun!$F$5:$F$150,MATCH(C3293,Akaun!$A$5:$A$150,0)))</f>
        <v/>
      </c>
      <c r="H3293" s="1" t="str">
        <f aca="false">IF(C3293="","",INDEX(Akaun!$D$5:$D$150,MATCH(C3293,Akaun!$A$5:$A$150,0)))</f>
        <v/>
      </c>
    </row>
    <row r="3294" customFormat="false" ht="15" hidden="false" customHeight="true" outlineLevel="0" collapsed="false">
      <c r="G3294" s="1" t="str">
        <f aca="false">IF(C3294="","",INDEX(Akaun!$F$5:$F$150,MATCH(C3294,Akaun!$A$5:$A$150,0)))</f>
        <v/>
      </c>
      <c r="H3294" s="1" t="str">
        <f aca="false">IF(C3294="","",INDEX(Akaun!$D$5:$D$150,MATCH(C3294,Akaun!$A$5:$A$150,0)))</f>
        <v/>
      </c>
    </row>
    <row r="3295" customFormat="false" ht="15" hidden="false" customHeight="true" outlineLevel="0" collapsed="false">
      <c r="G3295" s="1" t="str">
        <f aca="false">IF(C3295="","",INDEX(Akaun!$F$5:$F$150,MATCH(C3295,Akaun!$A$5:$A$150,0)))</f>
        <v/>
      </c>
      <c r="H3295" s="1" t="str">
        <f aca="false">IF(C3295="","",INDEX(Akaun!$D$5:$D$150,MATCH(C3295,Akaun!$A$5:$A$150,0)))</f>
        <v/>
      </c>
    </row>
    <row r="3296" customFormat="false" ht="15" hidden="false" customHeight="true" outlineLevel="0" collapsed="false">
      <c r="G3296" s="1" t="str">
        <f aca="false">IF(C3296="","",INDEX(Akaun!$F$5:$F$150,MATCH(C3296,Akaun!$A$5:$A$150,0)))</f>
        <v/>
      </c>
      <c r="H3296" s="1" t="str">
        <f aca="false">IF(C3296="","",INDEX(Akaun!$D$5:$D$150,MATCH(C3296,Akaun!$A$5:$A$150,0)))</f>
        <v/>
      </c>
    </row>
    <row r="3297" customFormat="false" ht="15" hidden="false" customHeight="true" outlineLevel="0" collapsed="false">
      <c r="G3297" s="1" t="str">
        <f aca="false">IF(C3297="","",INDEX(Akaun!$F$5:$F$150,MATCH(C3297,Akaun!$A$5:$A$150,0)))</f>
        <v/>
      </c>
      <c r="H3297" s="1" t="str">
        <f aca="false">IF(C3297="","",INDEX(Akaun!$D$5:$D$150,MATCH(C3297,Akaun!$A$5:$A$150,0)))</f>
        <v/>
      </c>
    </row>
    <row r="3298" customFormat="false" ht="15" hidden="false" customHeight="true" outlineLevel="0" collapsed="false">
      <c r="G3298" s="1" t="str">
        <f aca="false">IF(C3298="","",INDEX(Akaun!$F$5:$F$150,MATCH(C3298,Akaun!$A$5:$A$150,0)))</f>
        <v/>
      </c>
      <c r="H3298" s="1" t="str">
        <f aca="false">IF(C3298="","",INDEX(Akaun!$D$5:$D$150,MATCH(C3298,Akaun!$A$5:$A$150,0)))</f>
        <v/>
      </c>
    </row>
    <row r="3299" customFormat="false" ht="15" hidden="false" customHeight="true" outlineLevel="0" collapsed="false">
      <c r="G3299" s="1" t="str">
        <f aca="false">IF(C3299="","",INDEX(Akaun!$F$5:$F$150,MATCH(C3299,Akaun!$A$5:$A$150,0)))</f>
        <v/>
      </c>
      <c r="H3299" s="1" t="str">
        <f aca="false">IF(C3299="","",INDEX(Akaun!$D$5:$D$150,MATCH(C3299,Akaun!$A$5:$A$150,0)))</f>
        <v/>
      </c>
    </row>
    <row r="3300" customFormat="false" ht="15" hidden="false" customHeight="true" outlineLevel="0" collapsed="false">
      <c r="G3300" s="1" t="str">
        <f aca="false">IF(C3300="","",INDEX(Akaun!$F$5:$F$150,MATCH(C3300,Akaun!$A$5:$A$150,0)))</f>
        <v/>
      </c>
      <c r="H3300" s="1" t="str">
        <f aca="false">IF(C3300="","",INDEX(Akaun!$D$5:$D$150,MATCH(C3300,Akaun!$A$5:$A$150,0)))</f>
        <v/>
      </c>
    </row>
    <row r="3301" customFormat="false" ht="15" hidden="false" customHeight="true" outlineLevel="0" collapsed="false">
      <c r="G3301" s="1" t="str">
        <f aca="false">IF(C3301="","",INDEX(Akaun!$F$5:$F$150,MATCH(C3301,Akaun!$A$5:$A$150,0)))</f>
        <v/>
      </c>
      <c r="H3301" s="1" t="str">
        <f aca="false">IF(C3301="","",INDEX(Akaun!$D$5:$D$150,MATCH(C3301,Akaun!$A$5:$A$150,0)))</f>
        <v/>
      </c>
    </row>
    <row r="3302" customFormat="false" ht="15" hidden="false" customHeight="true" outlineLevel="0" collapsed="false">
      <c r="G3302" s="1" t="str">
        <f aca="false">IF(C3302="","",INDEX(Akaun!$F$5:$F$150,MATCH(C3302,Akaun!$A$5:$A$150,0)))</f>
        <v/>
      </c>
      <c r="H3302" s="1" t="str">
        <f aca="false">IF(C3302="","",INDEX(Akaun!$D$5:$D$150,MATCH(C3302,Akaun!$A$5:$A$150,0)))</f>
        <v/>
      </c>
    </row>
    <row r="3303" customFormat="false" ht="15" hidden="false" customHeight="true" outlineLevel="0" collapsed="false">
      <c r="G3303" s="1" t="str">
        <f aca="false">IF(C3303="","",INDEX(Akaun!$F$5:$F$150,MATCH(C3303,Akaun!$A$5:$A$150,0)))</f>
        <v/>
      </c>
      <c r="H3303" s="1" t="str">
        <f aca="false">IF(C3303="","",INDEX(Akaun!$D$5:$D$150,MATCH(C3303,Akaun!$A$5:$A$150,0)))</f>
        <v/>
      </c>
    </row>
    <row r="3304" customFormat="false" ht="15" hidden="false" customHeight="true" outlineLevel="0" collapsed="false">
      <c r="G3304" s="1" t="str">
        <f aca="false">IF(C3304="","",INDEX(Akaun!$F$5:$F$150,MATCH(C3304,Akaun!$A$5:$A$150,0)))</f>
        <v/>
      </c>
      <c r="H3304" s="1" t="str">
        <f aca="false">IF(C3304="","",INDEX(Akaun!$D$5:$D$150,MATCH(C3304,Akaun!$A$5:$A$150,0)))</f>
        <v/>
      </c>
    </row>
    <row r="3305" customFormat="false" ht="15" hidden="false" customHeight="true" outlineLevel="0" collapsed="false">
      <c r="G3305" s="1" t="str">
        <f aca="false">IF(C3305="","",INDEX(Akaun!$F$5:$F$150,MATCH(C3305,Akaun!$A$5:$A$150,0)))</f>
        <v/>
      </c>
      <c r="H3305" s="1" t="str">
        <f aca="false">IF(C3305="","",INDEX(Akaun!$D$5:$D$150,MATCH(C3305,Akaun!$A$5:$A$150,0)))</f>
        <v/>
      </c>
    </row>
    <row r="3306" customFormat="false" ht="15" hidden="false" customHeight="true" outlineLevel="0" collapsed="false">
      <c r="G3306" s="1" t="str">
        <f aca="false">IF(C3306="","",INDEX(Akaun!$F$5:$F$150,MATCH(C3306,Akaun!$A$5:$A$150,0)))</f>
        <v/>
      </c>
      <c r="H3306" s="1" t="str">
        <f aca="false">IF(C3306="","",INDEX(Akaun!$D$5:$D$150,MATCH(C3306,Akaun!$A$5:$A$150,0)))</f>
        <v/>
      </c>
    </row>
    <row r="3307" customFormat="false" ht="15" hidden="false" customHeight="true" outlineLevel="0" collapsed="false">
      <c r="G3307" s="1" t="str">
        <f aca="false">IF(C3307="","",INDEX(Akaun!$F$5:$F$150,MATCH(C3307,Akaun!$A$5:$A$150,0)))</f>
        <v/>
      </c>
      <c r="H3307" s="1" t="str">
        <f aca="false">IF(C3307="","",INDEX(Akaun!$D$5:$D$150,MATCH(C3307,Akaun!$A$5:$A$150,0)))</f>
        <v/>
      </c>
    </row>
    <row r="3308" customFormat="false" ht="15" hidden="false" customHeight="true" outlineLevel="0" collapsed="false">
      <c r="G3308" s="1" t="str">
        <f aca="false">IF(C3308="","",INDEX(Akaun!$F$5:$F$150,MATCH(C3308,Akaun!$A$5:$A$150,0)))</f>
        <v/>
      </c>
      <c r="H3308" s="1" t="str">
        <f aca="false">IF(C3308="","",INDEX(Akaun!$D$5:$D$150,MATCH(C3308,Akaun!$A$5:$A$150,0)))</f>
        <v/>
      </c>
    </row>
    <row r="3309" customFormat="false" ht="15" hidden="false" customHeight="true" outlineLevel="0" collapsed="false">
      <c r="G3309" s="1" t="str">
        <f aca="false">IF(C3309="","",INDEX(Akaun!$F$5:$F$150,MATCH(C3309,Akaun!$A$5:$A$150,0)))</f>
        <v/>
      </c>
      <c r="H3309" s="1" t="str">
        <f aca="false">IF(C3309="","",INDEX(Akaun!$D$5:$D$150,MATCH(C3309,Akaun!$A$5:$A$150,0)))</f>
        <v/>
      </c>
    </row>
    <row r="3310" customFormat="false" ht="15" hidden="false" customHeight="true" outlineLevel="0" collapsed="false">
      <c r="G3310" s="1" t="str">
        <f aca="false">IF(C3310="","",INDEX(Akaun!$F$5:$F$150,MATCH(C3310,Akaun!$A$5:$A$150,0)))</f>
        <v/>
      </c>
      <c r="H3310" s="1" t="str">
        <f aca="false">IF(C3310="","",INDEX(Akaun!$D$5:$D$150,MATCH(C3310,Akaun!$A$5:$A$150,0)))</f>
        <v/>
      </c>
    </row>
    <row r="3311" customFormat="false" ht="15" hidden="false" customHeight="true" outlineLevel="0" collapsed="false">
      <c r="G3311" s="1" t="str">
        <f aca="false">IF(C3311="","",INDEX(Akaun!$F$5:$F$150,MATCH(C3311,Akaun!$A$5:$A$150,0)))</f>
        <v/>
      </c>
      <c r="H3311" s="1" t="str">
        <f aca="false">IF(C3311="","",INDEX(Akaun!$D$5:$D$150,MATCH(C3311,Akaun!$A$5:$A$150,0)))</f>
        <v/>
      </c>
    </row>
    <row r="3312" customFormat="false" ht="15" hidden="false" customHeight="true" outlineLevel="0" collapsed="false">
      <c r="G3312" s="1" t="str">
        <f aca="false">IF(C3312="","",INDEX(Akaun!$F$5:$F$150,MATCH(C3312,Akaun!$A$5:$A$150,0)))</f>
        <v/>
      </c>
      <c r="H3312" s="1" t="str">
        <f aca="false">IF(C3312="","",INDEX(Akaun!$D$5:$D$150,MATCH(C3312,Akaun!$A$5:$A$150,0)))</f>
        <v/>
      </c>
    </row>
    <row r="3313" customFormat="false" ht="15" hidden="false" customHeight="true" outlineLevel="0" collapsed="false">
      <c r="G3313" s="1" t="str">
        <f aca="false">IF(C3313="","",INDEX(Akaun!$F$5:$F$150,MATCH(C3313,Akaun!$A$5:$A$150,0)))</f>
        <v/>
      </c>
      <c r="H3313" s="1" t="str">
        <f aca="false">IF(C3313="","",INDEX(Akaun!$D$5:$D$150,MATCH(C3313,Akaun!$A$5:$A$150,0)))</f>
        <v/>
      </c>
    </row>
    <row r="3314" customFormat="false" ht="15" hidden="false" customHeight="true" outlineLevel="0" collapsed="false">
      <c r="G3314" s="1" t="str">
        <f aca="false">IF(C3314="","",INDEX(Akaun!$F$5:$F$150,MATCH(C3314,Akaun!$A$5:$A$150,0)))</f>
        <v/>
      </c>
      <c r="H3314" s="1" t="str">
        <f aca="false">IF(C3314="","",INDEX(Akaun!$D$5:$D$150,MATCH(C3314,Akaun!$A$5:$A$150,0)))</f>
        <v/>
      </c>
    </row>
    <row r="3315" customFormat="false" ht="15" hidden="false" customHeight="true" outlineLevel="0" collapsed="false">
      <c r="G3315" s="1" t="str">
        <f aca="false">IF(C3315="","",INDEX(Akaun!$F$5:$F$150,MATCH(C3315,Akaun!$A$5:$A$150,0)))</f>
        <v/>
      </c>
      <c r="H3315" s="1" t="str">
        <f aca="false">IF(C3315="","",INDEX(Akaun!$D$5:$D$150,MATCH(C3315,Akaun!$A$5:$A$150,0)))</f>
        <v/>
      </c>
    </row>
    <row r="3316" customFormat="false" ht="15" hidden="false" customHeight="true" outlineLevel="0" collapsed="false">
      <c r="G3316" s="1" t="str">
        <f aca="false">IF(C3316="","",INDEX(Akaun!$F$5:$F$150,MATCH(C3316,Akaun!$A$5:$A$150,0)))</f>
        <v/>
      </c>
      <c r="H3316" s="1" t="str">
        <f aca="false">IF(C3316="","",INDEX(Akaun!$D$5:$D$150,MATCH(C3316,Akaun!$A$5:$A$150,0)))</f>
        <v/>
      </c>
    </row>
    <row r="3317" customFormat="false" ht="15" hidden="false" customHeight="true" outlineLevel="0" collapsed="false">
      <c r="G3317" s="1" t="str">
        <f aca="false">IF(C3317="","",INDEX(Akaun!$F$5:$F$150,MATCH(C3317,Akaun!$A$5:$A$150,0)))</f>
        <v/>
      </c>
      <c r="H3317" s="1" t="str">
        <f aca="false">IF(C3317="","",INDEX(Akaun!$D$5:$D$150,MATCH(C3317,Akaun!$A$5:$A$150,0)))</f>
        <v/>
      </c>
    </row>
    <row r="3318" customFormat="false" ht="15" hidden="false" customHeight="true" outlineLevel="0" collapsed="false">
      <c r="G3318" s="1" t="str">
        <f aca="false">IF(C3318="","",INDEX(Akaun!$F$5:$F$150,MATCH(C3318,Akaun!$A$5:$A$150,0)))</f>
        <v/>
      </c>
      <c r="H3318" s="1" t="str">
        <f aca="false">IF(C3318="","",INDEX(Akaun!$D$5:$D$150,MATCH(C3318,Akaun!$A$5:$A$150,0)))</f>
        <v/>
      </c>
    </row>
    <row r="3319" customFormat="false" ht="15" hidden="false" customHeight="true" outlineLevel="0" collapsed="false">
      <c r="G3319" s="1" t="str">
        <f aca="false">IF(C3319="","",INDEX(Akaun!$F$5:$F$150,MATCH(C3319,Akaun!$A$5:$A$150,0)))</f>
        <v/>
      </c>
      <c r="H3319" s="1" t="str">
        <f aca="false">IF(C3319="","",INDEX(Akaun!$D$5:$D$150,MATCH(C3319,Akaun!$A$5:$A$150,0)))</f>
        <v/>
      </c>
    </row>
    <row r="3320" customFormat="false" ht="15" hidden="false" customHeight="true" outlineLevel="0" collapsed="false">
      <c r="G3320" s="1" t="str">
        <f aca="false">IF(C3320="","",INDEX(Akaun!$F$5:$F$150,MATCH(C3320,Akaun!$A$5:$A$150,0)))</f>
        <v/>
      </c>
      <c r="H3320" s="1" t="str">
        <f aca="false">IF(C3320="","",INDEX(Akaun!$D$5:$D$150,MATCH(C3320,Akaun!$A$5:$A$150,0)))</f>
        <v/>
      </c>
    </row>
    <row r="3321" customFormat="false" ht="15" hidden="false" customHeight="true" outlineLevel="0" collapsed="false">
      <c r="G3321" s="1" t="str">
        <f aca="false">IF(C3321="","",INDEX(Akaun!$F$5:$F$150,MATCH(C3321,Akaun!$A$5:$A$150,0)))</f>
        <v/>
      </c>
      <c r="H3321" s="1" t="str">
        <f aca="false">IF(C3321="","",INDEX(Akaun!$D$5:$D$150,MATCH(C3321,Akaun!$A$5:$A$150,0)))</f>
        <v/>
      </c>
    </row>
    <row r="3322" customFormat="false" ht="15" hidden="false" customHeight="true" outlineLevel="0" collapsed="false">
      <c r="G3322" s="1" t="str">
        <f aca="false">IF(C3322="","",INDEX(Akaun!$F$5:$F$150,MATCH(C3322,Akaun!$A$5:$A$150,0)))</f>
        <v/>
      </c>
      <c r="H3322" s="1" t="str">
        <f aca="false">IF(C3322="","",INDEX(Akaun!$D$5:$D$150,MATCH(C3322,Akaun!$A$5:$A$150,0)))</f>
        <v/>
      </c>
    </row>
    <row r="3323" customFormat="false" ht="15" hidden="false" customHeight="true" outlineLevel="0" collapsed="false">
      <c r="G3323" s="1" t="str">
        <f aca="false">IF(C3323="","",INDEX(Akaun!$F$5:$F$150,MATCH(C3323,Akaun!$A$5:$A$150,0)))</f>
        <v/>
      </c>
      <c r="H3323" s="1" t="str">
        <f aca="false">IF(C3323="","",INDEX(Akaun!$D$5:$D$150,MATCH(C3323,Akaun!$A$5:$A$150,0)))</f>
        <v/>
      </c>
    </row>
    <row r="3324" customFormat="false" ht="15" hidden="false" customHeight="true" outlineLevel="0" collapsed="false">
      <c r="G3324" s="1" t="str">
        <f aca="false">IF(C3324="","",INDEX(Akaun!$F$5:$F$150,MATCH(C3324,Akaun!$A$5:$A$150,0)))</f>
        <v/>
      </c>
      <c r="H3324" s="1" t="str">
        <f aca="false">IF(C3324="","",INDEX(Akaun!$D$5:$D$150,MATCH(C3324,Akaun!$A$5:$A$150,0)))</f>
        <v/>
      </c>
    </row>
    <row r="3325" customFormat="false" ht="15" hidden="false" customHeight="true" outlineLevel="0" collapsed="false">
      <c r="G3325" s="1" t="str">
        <f aca="false">IF(C3325="","",INDEX(Akaun!$F$5:$F$150,MATCH(C3325,Akaun!$A$5:$A$150,0)))</f>
        <v/>
      </c>
      <c r="H3325" s="1" t="str">
        <f aca="false">IF(C3325="","",INDEX(Akaun!$D$5:$D$150,MATCH(C3325,Akaun!$A$5:$A$150,0)))</f>
        <v/>
      </c>
    </row>
    <row r="3326" customFormat="false" ht="15" hidden="false" customHeight="true" outlineLevel="0" collapsed="false">
      <c r="G3326" s="1" t="str">
        <f aca="false">IF(C3326="","",INDEX(Akaun!$F$5:$F$150,MATCH(C3326,Akaun!$A$5:$A$150,0)))</f>
        <v/>
      </c>
      <c r="H3326" s="1" t="str">
        <f aca="false">IF(C3326="","",INDEX(Akaun!$D$5:$D$150,MATCH(C3326,Akaun!$A$5:$A$150,0)))</f>
        <v/>
      </c>
    </row>
    <row r="3327" customFormat="false" ht="15" hidden="false" customHeight="true" outlineLevel="0" collapsed="false">
      <c r="G3327" s="1" t="str">
        <f aca="false">IF(C3327="","",INDEX(Akaun!$F$5:$F$150,MATCH(C3327,Akaun!$A$5:$A$150,0)))</f>
        <v/>
      </c>
      <c r="H3327" s="1" t="str">
        <f aca="false">IF(C3327="","",INDEX(Akaun!$D$5:$D$150,MATCH(C3327,Akaun!$A$5:$A$150,0)))</f>
        <v/>
      </c>
    </row>
    <row r="3328" customFormat="false" ht="15" hidden="false" customHeight="true" outlineLevel="0" collapsed="false">
      <c r="G3328" s="1" t="str">
        <f aca="false">IF(C3328="","",INDEX(Akaun!$F$5:$F$150,MATCH(C3328,Akaun!$A$5:$A$150,0)))</f>
        <v/>
      </c>
      <c r="H3328" s="1" t="str">
        <f aca="false">IF(C3328="","",INDEX(Akaun!$D$5:$D$150,MATCH(C3328,Akaun!$A$5:$A$150,0)))</f>
        <v/>
      </c>
    </row>
    <row r="3329" customFormat="false" ht="15" hidden="false" customHeight="true" outlineLevel="0" collapsed="false">
      <c r="G3329" s="1" t="str">
        <f aca="false">IF(C3329="","",INDEX(Akaun!$F$5:$F$150,MATCH(C3329,Akaun!$A$5:$A$150,0)))</f>
        <v/>
      </c>
      <c r="H3329" s="1" t="str">
        <f aca="false">IF(C3329="","",INDEX(Akaun!$D$5:$D$150,MATCH(C3329,Akaun!$A$5:$A$150,0)))</f>
        <v/>
      </c>
    </row>
    <row r="3330" customFormat="false" ht="15" hidden="false" customHeight="true" outlineLevel="0" collapsed="false">
      <c r="G3330" s="1" t="str">
        <f aca="false">IF(C3330="","",INDEX(Akaun!$F$5:$F$150,MATCH(C3330,Akaun!$A$5:$A$150,0)))</f>
        <v/>
      </c>
      <c r="H3330" s="1" t="str">
        <f aca="false">IF(C3330="","",INDEX(Akaun!$D$5:$D$150,MATCH(C3330,Akaun!$A$5:$A$150,0)))</f>
        <v/>
      </c>
    </row>
    <row r="3331" customFormat="false" ht="15" hidden="false" customHeight="true" outlineLevel="0" collapsed="false">
      <c r="G3331" s="1" t="str">
        <f aca="false">IF(C3331="","",INDEX(Akaun!$F$5:$F$150,MATCH(C3331,Akaun!$A$5:$A$150,0)))</f>
        <v/>
      </c>
      <c r="H3331" s="1" t="str">
        <f aca="false">IF(C3331="","",INDEX(Akaun!$D$5:$D$150,MATCH(C3331,Akaun!$A$5:$A$150,0)))</f>
        <v/>
      </c>
    </row>
    <row r="3332" customFormat="false" ht="15" hidden="false" customHeight="true" outlineLevel="0" collapsed="false">
      <c r="G3332" s="1" t="str">
        <f aca="false">IF(C3332="","",INDEX(Akaun!$F$5:$F$150,MATCH(C3332,Akaun!$A$5:$A$150,0)))</f>
        <v/>
      </c>
      <c r="H3332" s="1" t="str">
        <f aca="false">IF(C3332="","",INDEX(Akaun!$D$5:$D$150,MATCH(C3332,Akaun!$A$5:$A$150,0)))</f>
        <v/>
      </c>
    </row>
    <row r="3333" customFormat="false" ht="15" hidden="false" customHeight="true" outlineLevel="0" collapsed="false">
      <c r="G3333" s="1" t="str">
        <f aca="false">IF(C3333="","",INDEX(Akaun!$F$5:$F$150,MATCH(C3333,Akaun!$A$5:$A$150,0)))</f>
        <v/>
      </c>
      <c r="H3333" s="1" t="str">
        <f aca="false">IF(C3333="","",INDEX(Akaun!$D$5:$D$150,MATCH(C3333,Akaun!$A$5:$A$150,0)))</f>
        <v/>
      </c>
    </row>
    <row r="3334" customFormat="false" ht="15" hidden="false" customHeight="true" outlineLevel="0" collapsed="false">
      <c r="G3334" s="1" t="str">
        <f aca="false">IF(C3334="","",INDEX(Akaun!$F$5:$F$150,MATCH(C3334,Akaun!$A$5:$A$150,0)))</f>
        <v/>
      </c>
      <c r="H3334" s="1" t="str">
        <f aca="false">IF(C3334="","",INDEX(Akaun!$D$5:$D$150,MATCH(C3334,Akaun!$A$5:$A$150,0)))</f>
        <v/>
      </c>
    </row>
    <row r="3335" customFormat="false" ht="15" hidden="false" customHeight="true" outlineLevel="0" collapsed="false">
      <c r="G3335" s="1" t="str">
        <f aca="false">IF(C3335="","",INDEX(Akaun!$F$5:$F$150,MATCH(C3335,Akaun!$A$5:$A$150,0)))</f>
        <v/>
      </c>
      <c r="H3335" s="1" t="str">
        <f aca="false">IF(C3335="","",INDEX(Akaun!$D$5:$D$150,MATCH(C3335,Akaun!$A$5:$A$150,0)))</f>
        <v/>
      </c>
    </row>
    <row r="3336" customFormat="false" ht="15" hidden="false" customHeight="true" outlineLevel="0" collapsed="false">
      <c r="G3336" s="1" t="str">
        <f aca="false">IF(C3336="","",INDEX(Akaun!$F$5:$F$150,MATCH(C3336,Akaun!$A$5:$A$150,0)))</f>
        <v/>
      </c>
      <c r="H3336" s="1" t="str">
        <f aca="false">IF(C3336="","",INDEX(Akaun!$D$5:$D$150,MATCH(C3336,Akaun!$A$5:$A$150,0)))</f>
        <v/>
      </c>
    </row>
    <row r="3337" customFormat="false" ht="15" hidden="false" customHeight="true" outlineLevel="0" collapsed="false">
      <c r="G3337" s="1" t="str">
        <f aca="false">IF(C3337="","",INDEX(Akaun!$F$5:$F$150,MATCH(C3337,Akaun!$A$5:$A$150,0)))</f>
        <v/>
      </c>
      <c r="H3337" s="1" t="str">
        <f aca="false">IF(C3337="","",INDEX(Akaun!$D$5:$D$150,MATCH(C3337,Akaun!$A$5:$A$150,0)))</f>
        <v/>
      </c>
    </row>
    <row r="3338" customFormat="false" ht="15" hidden="false" customHeight="true" outlineLevel="0" collapsed="false">
      <c r="G3338" s="1" t="str">
        <f aca="false">IF(C3338="","",INDEX(Akaun!$F$5:$F$150,MATCH(C3338,Akaun!$A$5:$A$150,0)))</f>
        <v/>
      </c>
      <c r="H3338" s="1" t="str">
        <f aca="false">IF(C3338="","",INDEX(Akaun!$D$5:$D$150,MATCH(C3338,Akaun!$A$5:$A$150,0)))</f>
        <v/>
      </c>
    </row>
    <row r="3339" customFormat="false" ht="15" hidden="false" customHeight="true" outlineLevel="0" collapsed="false">
      <c r="G3339" s="1" t="str">
        <f aca="false">IF(C3339="","",INDEX(Akaun!$F$5:$F$150,MATCH(C3339,Akaun!$A$5:$A$150,0)))</f>
        <v/>
      </c>
      <c r="H3339" s="1" t="str">
        <f aca="false">IF(C3339="","",INDEX(Akaun!$D$5:$D$150,MATCH(C3339,Akaun!$A$5:$A$150,0)))</f>
        <v/>
      </c>
    </row>
    <row r="3340" customFormat="false" ht="15" hidden="false" customHeight="true" outlineLevel="0" collapsed="false">
      <c r="G3340" s="1" t="str">
        <f aca="false">IF(C3340="","",INDEX(Akaun!$F$5:$F$150,MATCH(C3340,Akaun!$A$5:$A$150,0)))</f>
        <v/>
      </c>
      <c r="H3340" s="1" t="str">
        <f aca="false">IF(C3340="","",INDEX(Akaun!$D$5:$D$150,MATCH(C3340,Akaun!$A$5:$A$150,0)))</f>
        <v/>
      </c>
    </row>
    <row r="3341" customFormat="false" ht="15" hidden="false" customHeight="true" outlineLevel="0" collapsed="false">
      <c r="G3341" s="1" t="str">
        <f aca="false">IF(C3341="","",INDEX(Akaun!$F$5:$F$150,MATCH(C3341,Akaun!$A$5:$A$150,0)))</f>
        <v/>
      </c>
      <c r="H3341" s="1" t="str">
        <f aca="false">IF(C3341="","",INDEX(Akaun!$D$5:$D$150,MATCH(C3341,Akaun!$A$5:$A$150,0)))</f>
        <v/>
      </c>
    </row>
    <row r="3342" customFormat="false" ht="15" hidden="false" customHeight="true" outlineLevel="0" collapsed="false">
      <c r="G3342" s="1" t="str">
        <f aca="false">IF(C3342="","",INDEX(Akaun!$F$5:$F$150,MATCH(C3342,Akaun!$A$5:$A$150,0)))</f>
        <v/>
      </c>
      <c r="H3342" s="1" t="str">
        <f aca="false">IF(C3342="","",INDEX(Akaun!$D$5:$D$150,MATCH(C3342,Akaun!$A$5:$A$150,0)))</f>
        <v/>
      </c>
    </row>
    <row r="3343" customFormat="false" ht="15" hidden="false" customHeight="true" outlineLevel="0" collapsed="false">
      <c r="G3343" s="1" t="str">
        <f aca="false">IF(C3343="","",INDEX(Akaun!$F$5:$F$150,MATCH(C3343,Akaun!$A$5:$A$150,0)))</f>
        <v/>
      </c>
      <c r="H3343" s="1" t="str">
        <f aca="false">IF(C3343="","",INDEX(Akaun!$D$5:$D$150,MATCH(C3343,Akaun!$A$5:$A$150,0)))</f>
        <v/>
      </c>
    </row>
    <row r="3344" customFormat="false" ht="15" hidden="false" customHeight="true" outlineLevel="0" collapsed="false">
      <c r="G3344" s="1" t="str">
        <f aca="false">IF(C3344="","",INDEX(Akaun!$F$5:$F$150,MATCH(C3344,Akaun!$A$5:$A$150,0)))</f>
        <v/>
      </c>
      <c r="H3344" s="1" t="str">
        <f aca="false">IF(C3344="","",INDEX(Akaun!$D$5:$D$150,MATCH(C3344,Akaun!$A$5:$A$150,0)))</f>
        <v/>
      </c>
    </row>
    <row r="3345" customFormat="false" ht="15" hidden="false" customHeight="true" outlineLevel="0" collapsed="false">
      <c r="G3345" s="1" t="str">
        <f aca="false">IF(C3345="","",INDEX(Akaun!$F$5:$F$150,MATCH(C3345,Akaun!$A$5:$A$150,0)))</f>
        <v/>
      </c>
      <c r="H3345" s="1" t="str">
        <f aca="false">IF(C3345="","",INDEX(Akaun!$D$5:$D$150,MATCH(C3345,Akaun!$A$5:$A$150,0)))</f>
        <v/>
      </c>
    </row>
    <row r="3346" customFormat="false" ht="15" hidden="false" customHeight="true" outlineLevel="0" collapsed="false">
      <c r="G3346" s="1" t="str">
        <f aca="false">IF(C3346="","",INDEX(Akaun!$F$5:$F$150,MATCH(C3346,Akaun!$A$5:$A$150,0)))</f>
        <v/>
      </c>
      <c r="H3346" s="1" t="str">
        <f aca="false">IF(C3346="","",INDEX(Akaun!$D$5:$D$150,MATCH(C3346,Akaun!$A$5:$A$150,0)))</f>
        <v/>
      </c>
    </row>
    <row r="3347" customFormat="false" ht="15" hidden="false" customHeight="true" outlineLevel="0" collapsed="false">
      <c r="G3347" s="1" t="str">
        <f aca="false">IF(C3347="","",INDEX(Akaun!$F$5:$F$150,MATCH(C3347,Akaun!$A$5:$A$150,0)))</f>
        <v/>
      </c>
      <c r="H3347" s="1" t="str">
        <f aca="false">IF(C3347="","",INDEX(Akaun!$D$5:$D$150,MATCH(C3347,Akaun!$A$5:$A$150,0)))</f>
        <v/>
      </c>
    </row>
    <row r="3348" customFormat="false" ht="15" hidden="false" customHeight="true" outlineLevel="0" collapsed="false">
      <c r="G3348" s="1" t="str">
        <f aca="false">IF(C3348="","",INDEX(Akaun!$F$5:$F$150,MATCH(C3348,Akaun!$A$5:$A$150,0)))</f>
        <v/>
      </c>
      <c r="H3348" s="1" t="str">
        <f aca="false">IF(C3348="","",INDEX(Akaun!$D$5:$D$150,MATCH(C3348,Akaun!$A$5:$A$150,0)))</f>
        <v/>
      </c>
    </row>
    <row r="3349" customFormat="false" ht="15" hidden="false" customHeight="true" outlineLevel="0" collapsed="false">
      <c r="G3349" s="1" t="str">
        <f aca="false">IF(C3349="","",INDEX(Akaun!$F$5:$F$150,MATCH(C3349,Akaun!$A$5:$A$150,0)))</f>
        <v/>
      </c>
      <c r="H3349" s="1" t="str">
        <f aca="false">IF(C3349="","",INDEX(Akaun!$D$5:$D$150,MATCH(C3349,Akaun!$A$5:$A$150,0)))</f>
        <v/>
      </c>
    </row>
    <row r="3350" customFormat="false" ht="15" hidden="false" customHeight="true" outlineLevel="0" collapsed="false">
      <c r="G3350" s="1" t="str">
        <f aca="false">IF(C3350="","",INDEX(Akaun!$F$5:$F$150,MATCH(C3350,Akaun!$A$5:$A$150,0)))</f>
        <v/>
      </c>
      <c r="H3350" s="1" t="str">
        <f aca="false">IF(C3350="","",INDEX(Akaun!$D$5:$D$150,MATCH(C3350,Akaun!$A$5:$A$150,0)))</f>
        <v/>
      </c>
    </row>
    <row r="3351" customFormat="false" ht="15" hidden="false" customHeight="true" outlineLevel="0" collapsed="false">
      <c r="G3351" s="1" t="str">
        <f aca="false">IF(C3351="","",INDEX(Akaun!$F$5:$F$150,MATCH(C3351,Akaun!$A$5:$A$150,0)))</f>
        <v/>
      </c>
      <c r="H3351" s="1" t="str">
        <f aca="false">IF(C3351="","",INDEX(Akaun!$D$5:$D$150,MATCH(C3351,Akaun!$A$5:$A$150,0)))</f>
        <v/>
      </c>
    </row>
    <row r="3352" customFormat="false" ht="15" hidden="false" customHeight="true" outlineLevel="0" collapsed="false">
      <c r="G3352" s="1" t="str">
        <f aca="false">IF(C3352="","",INDEX(Akaun!$F$5:$F$150,MATCH(C3352,Akaun!$A$5:$A$150,0)))</f>
        <v/>
      </c>
      <c r="H3352" s="1" t="str">
        <f aca="false">IF(C3352="","",INDEX(Akaun!$D$5:$D$150,MATCH(C3352,Akaun!$A$5:$A$150,0)))</f>
        <v/>
      </c>
    </row>
    <row r="3353" customFormat="false" ht="15" hidden="false" customHeight="true" outlineLevel="0" collapsed="false">
      <c r="G3353" s="1" t="str">
        <f aca="false">IF(C3353="","",INDEX(Akaun!$F$5:$F$150,MATCH(C3353,Akaun!$A$5:$A$150,0)))</f>
        <v/>
      </c>
      <c r="H3353" s="1" t="str">
        <f aca="false">IF(C3353="","",INDEX(Akaun!$D$5:$D$150,MATCH(C3353,Akaun!$A$5:$A$150,0)))</f>
        <v/>
      </c>
    </row>
    <row r="3354" customFormat="false" ht="15" hidden="false" customHeight="true" outlineLevel="0" collapsed="false">
      <c r="G3354" s="1" t="str">
        <f aca="false">IF(C3354="","",INDEX(Akaun!$F$5:$F$150,MATCH(C3354,Akaun!$A$5:$A$150,0)))</f>
        <v/>
      </c>
      <c r="H3354" s="1" t="str">
        <f aca="false">IF(C3354="","",INDEX(Akaun!$D$5:$D$150,MATCH(C3354,Akaun!$A$5:$A$150,0)))</f>
        <v/>
      </c>
    </row>
    <row r="3355" customFormat="false" ht="15" hidden="false" customHeight="true" outlineLevel="0" collapsed="false">
      <c r="G3355" s="1" t="str">
        <f aca="false">IF(C3355="","",INDEX(Akaun!$F$5:$F$150,MATCH(C3355,Akaun!$A$5:$A$150,0)))</f>
        <v/>
      </c>
      <c r="H3355" s="1" t="str">
        <f aca="false">IF(C3355="","",INDEX(Akaun!$D$5:$D$150,MATCH(C3355,Akaun!$A$5:$A$150,0)))</f>
        <v/>
      </c>
    </row>
    <row r="3356" customFormat="false" ht="15" hidden="false" customHeight="true" outlineLevel="0" collapsed="false">
      <c r="G3356" s="1" t="str">
        <f aca="false">IF(C3356="","",INDEX(Akaun!$F$5:$F$150,MATCH(C3356,Akaun!$A$5:$A$150,0)))</f>
        <v/>
      </c>
      <c r="H3356" s="1" t="str">
        <f aca="false">IF(C3356="","",INDEX(Akaun!$D$5:$D$150,MATCH(C3356,Akaun!$A$5:$A$150,0)))</f>
        <v/>
      </c>
    </row>
    <row r="3357" customFormat="false" ht="15" hidden="false" customHeight="true" outlineLevel="0" collapsed="false">
      <c r="G3357" s="1" t="str">
        <f aca="false">IF(C3357="","",INDEX(Akaun!$F$5:$F$150,MATCH(C3357,Akaun!$A$5:$A$150,0)))</f>
        <v/>
      </c>
      <c r="H3357" s="1" t="str">
        <f aca="false">IF(C3357="","",INDEX(Akaun!$D$5:$D$150,MATCH(C3357,Akaun!$A$5:$A$150,0)))</f>
        <v/>
      </c>
    </row>
    <row r="3358" customFormat="false" ht="15" hidden="false" customHeight="true" outlineLevel="0" collapsed="false">
      <c r="G3358" s="1" t="str">
        <f aca="false">IF(C3358="","",INDEX(Akaun!$F$5:$F$150,MATCH(C3358,Akaun!$A$5:$A$150,0)))</f>
        <v/>
      </c>
      <c r="H3358" s="1" t="str">
        <f aca="false">IF(C3358="","",INDEX(Akaun!$D$5:$D$150,MATCH(C3358,Akaun!$A$5:$A$150,0)))</f>
        <v/>
      </c>
    </row>
    <row r="3359" customFormat="false" ht="15" hidden="false" customHeight="true" outlineLevel="0" collapsed="false">
      <c r="G3359" s="1" t="str">
        <f aca="false">IF(C3359="","",INDEX(Akaun!$F$5:$F$150,MATCH(C3359,Akaun!$A$5:$A$150,0)))</f>
        <v/>
      </c>
      <c r="H3359" s="1" t="str">
        <f aca="false">IF(C3359="","",INDEX(Akaun!$D$5:$D$150,MATCH(C3359,Akaun!$A$5:$A$150,0)))</f>
        <v/>
      </c>
    </row>
    <row r="3360" customFormat="false" ht="15" hidden="false" customHeight="true" outlineLevel="0" collapsed="false">
      <c r="G3360" s="1" t="str">
        <f aca="false">IF(C3360="","",INDEX(Akaun!$F$5:$F$150,MATCH(C3360,Akaun!$A$5:$A$150,0)))</f>
        <v/>
      </c>
      <c r="H3360" s="1" t="str">
        <f aca="false">IF(C3360="","",INDEX(Akaun!$D$5:$D$150,MATCH(C3360,Akaun!$A$5:$A$150,0)))</f>
        <v/>
      </c>
    </row>
    <row r="3361" customFormat="false" ht="15" hidden="false" customHeight="true" outlineLevel="0" collapsed="false">
      <c r="G3361" s="1" t="str">
        <f aca="false">IF(C3361="","",INDEX(Akaun!$F$5:$F$150,MATCH(C3361,Akaun!$A$5:$A$150,0)))</f>
        <v/>
      </c>
      <c r="H3361" s="1" t="str">
        <f aca="false">IF(C3361="","",INDEX(Akaun!$D$5:$D$150,MATCH(C3361,Akaun!$A$5:$A$150,0)))</f>
        <v/>
      </c>
    </row>
    <row r="3362" customFormat="false" ht="15" hidden="false" customHeight="true" outlineLevel="0" collapsed="false">
      <c r="G3362" s="1" t="str">
        <f aca="false">IF(C3362="","",INDEX(Akaun!$F$5:$F$150,MATCH(C3362,Akaun!$A$5:$A$150,0)))</f>
        <v/>
      </c>
      <c r="H3362" s="1" t="str">
        <f aca="false">IF(C3362="","",INDEX(Akaun!$D$5:$D$150,MATCH(C3362,Akaun!$A$5:$A$150,0)))</f>
        <v/>
      </c>
    </row>
    <row r="3363" customFormat="false" ht="15" hidden="false" customHeight="true" outlineLevel="0" collapsed="false">
      <c r="G3363" s="1" t="str">
        <f aca="false">IF(C3363="","",INDEX(Akaun!$F$5:$F$150,MATCH(C3363,Akaun!$A$5:$A$150,0)))</f>
        <v/>
      </c>
      <c r="H3363" s="1" t="str">
        <f aca="false">IF(C3363="","",INDEX(Akaun!$D$5:$D$150,MATCH(C3363,Akaun!$A$5:$A$150,0)))</f>
        <v/>
      </c>
    </row>
    <row r="3364" customFormat="false" ht="15" hidden="false" customHeight="true" outlineLevel="0" collapsed="false">
      <c r="G3364" s="1" t="str">
        <f aca="false">IF(C3364="","",INDEX(Akaun!$F$5:$F$150,MATCH(C3364,Akaun!$A$5:$A$150,0)))</f>
        <v/>
      </c>
      <c r="H3364" s="1" t="str">
        <f aca="false">IF(C3364="","",INDEX(Akaun!$D$5:$D$150,MATCH(C3364,Akaun!$A$5:$A$150,0)))</f>
        <v/>
      </c>
    </row>
    <row r="3365" customFormat="false" ht="15" hidden="false" customHeight="true" outlineLevel="0" collapsed="false">
      <c r="G3365" s="1" t="str">
        <f aca="false">IF(C3365="","",INDEX(Akaun!$F$5:$F$150,MATCH(C3365,Akaun!$A$5:$A$150,0)))</f>
        <v/>
      </c>
      <c r="H3365" s="1" t="str">
        <f aca="false">IF(C3365="","",INDEX(Akaun!$D$5:$D$150,MATCH(C3365,Akaun!$A$5:$A$150,0)))</f>
        <v/>
      </c>
    </row>
    <row r="3366" customFormat="false" ht="15" hidden="false" customHeight="true" outlineLevel="0" collapsed="false">
      <c r="G3366" s="1" t="str">
        <f aca="false">IF(C3366="","",INDEX(Akaun!$F$5:$F$150,MATCH(C3366,Akaun!$A$5:$A$150,0)))</f>
        <v/>
      </c>
      <c r="H3366" s="1" t="str">
        <f aca="false">IF(C3366="","",INDEX(Akaun!$D$5:$D$150,MATCH(C3366,Akaun!$A$5:$A$150,0)))</f>
        <v/>
      </c>
    </row>
    <row r="3367" customFormat="false" ht="15" hidden="false" customHeight="true" outlineLevel="0" collapsed="false">
      <c r="G3367" s="1" t="str">
        <f aca="false">IF(C3367="","",INDEX(Akaun!$F$5:$F$150,MATCH(C3367,Akaun!$A$5:$A$150,0)))</f>
        <v/>
      </c>
      <c r="H3367" s="1" t="str">
        <f aca="false">IF(C3367="","",INDEX(Akaun!$D$5:$D$150,MATCH(C3367,Akaun!$A$5:$A$150,0)))</f>
        <v/>
      </c>
    </row>
    <row r="3368" customFormat="false" ht="15" hidden="false" customHeight="true" outlineLevel="0" collapsed="false">
      <c r="G3368" s="1" t="str">
        <f aca="false">IF(C3368="","",INDEX(Akaun!$F$5:$F$150,MATCH(C3368,Akaun!$A$5:$A$150,0)))</f>
        <v/>
      </c>
      <c r="H3368" s="1" t="str">
        <f aca="false">IF(C3368="","",INDEX(Akaun!$D$5:$D$150,MATCH(C3368,Akaun!$A$5:$A$150,0)))</f>
        <v/>
      </c>
    </row>
    <row r="3369" customFormat="false" ht="15" hidden="false" customHeight="true" outlineLevel="0" collapsed="false">
      <c r="G3369" s="1" t="str">
        <f aca="false">IF(C3369="","",INDEX(Akaun!$F$5:$F$150,MATCH(C3369,Akaun!$A$5:$A$150,0)))</f>
        <v/>
      </c>
      <c r="H3369" s="1" t="str">
        <f aca="false">IF(C3369="","",INDEX(Akaun!$D$5:$D$150,MATCH(C3369,Akaun!$A$5:$A$150,0)))</f>
        <v/>
      </c>
    </row>
    <row r="3370" customFormat="false" ht="15" hidden="false" customHeight="true" outlineLevel="0" collapsed="false">
      <c r="G3370" s="1" t="str">
        <f aca="false">IF(C3370="","",INDEX(Akaun!$F$5:$F$150,MATCH(C3370,Akaun!$A$5:$A$150,0)))</f>
        <v/>
      </c>
      <c r="H3370" s="1" t="str">
        <f aca="false">IF(C3370="","",INDEX(Akaun!$D$5:$D$150,MATCH(C3370,Akaun!$A$5:$A$150,0)))</f>
        <v/>
      </c>
    </row>
    <row r="3371" customFormat="false" ht="15" hidden="false" customHeight="true" outlineLevel="0" collapsed="false">
      <c r="G3371" s="1" t="str">
        <f aca="false">IF(C3371="","",INDEX(Akaun!$F$5:$F$150,MATCH(C3371,Akaun!$A$5:$A$150,0)))</f>
        <v/>
      </c>
      <c r="H3371" s="1" t="str">
        <f aca="false">IF(C3371="","",INDEX(Akaun!$D$5:$D$150,MATCH(C3371,Akaun!$A$5:$A$150,0)))</f>
        <v/>
      </c>
    </row>
    <row r="3372" customFormat="false" ht="15" hidden="false" customHeight="true" outlineLevel="0" collapsed="false">
      <c r="G3372" s="1" t="str">
        <f aca="false">IF(C3372="","",INDEX(Akaun!$F$5:$F$150,MATCH(C3372,Akaun!$A$5:$A$150,0)))</f>
        <v/>
      </c>
      <c r="H3372" s="1" t="str">
        <f aca="false">IF(C3372="","",INDEX(Akaun!$D$5:$D$150,MATCH(C3372,Akaun!$A$5:$A$150,0)))</f>
        <v/>
      </c>
    </row>
    <row r="3373" customFormat="false" ht="15" hidden="false" customHeight="true" outlineLevel="0" collapsed="false">
      <c r="G3373" s="1" t="str">
        <f aca="false">IF(C3373="","",INDEX(Akaun!$F$5:$F$150,MATCH(C3373,Akaun!$A$5:$A$150,0)))</f>
        <v/>
      </c>
      <c r="H3373" s="1" t="str">
        <f aca="false">IF(C3373="","",INDEX(Akaun!$D$5:$D$150,MATCH(C3373,Akaun!$A$5:$A$150,0)))</f>
        <v/>
      </c>
    </row>
    <row r="3374" customFormat="false" ht="15" hidden="false" customHeight="true" outlineLevel="0" collapsed="false">
      <c r="G3374" s="1" t="str">
        <f aca="false">IF(C3374="","",INDEX(Akaun!$F$5:$F$150,MATCH(C3374,Akaun!$A$5:$A$150,0)))</f>
        <v/>
      </c>
      <c r="H3374" s="1" t="str">
        <f aca="false">IF(C3374="","",INDEX(Akaun!$D$5:$D$150,MATCH(C3374,Akaun!$A$5:$A$150,0)))</f>
        <v/>
      </c>
    </row>
    <row r="3375" customFormat="false" ht="15" hidden="false" customHeight="true" outlineLevel="0" collapsed="false">
      <c r="G3375" s="1" t="str">
        <f aca="false">IF(C3375="","",INDEX(Akaun!$F$5:$F$150,MATCH(C3375,Akaun!$A$5:$A$150,0)))</f>
        <v/>
      </c>
      <c r="H3375" s="1" t="str">
        <f aca="false">IF(C3375="","",INDEX(Akaun!$D$5:$D$150,MATCH(C3375,Akaun!$A$5:$A$150,0)))</f>
        <v/>
      </c>
    </row>
    <row r="3376" customFormat="false" ht="15" hidden="false" customHeight="true" outlineLevel="0" collapsed="false">
      <c r="G3376" s="1" t="str">
        <f aca="false">IF(C3376="","",INDEX(Akaun!$F$5:$F$150,MATCH(C3376,Akaun!$A$5:$A$150,0)))</f>
        <v/>
      </c>
      <c r="H3376" s="1" t="str">
        <f aca="false">IF(C3376="","",INDEX(Akaun!$D$5:$D$150,MATCH(C3376,Akaun!$A$5:$A$150,0)))</f>
        <v/>
      </c>
    </row>
    <row r="3377" customFormat="false" ht="15" hidden="false" customHeight="true" outlineLevel="0" collapsed="false">
      <c r="G3377" s="1" t="str">
        <f aca="false">IF(C3377="","",INDEX(Akaun!$F$5:$F$150,MATCH(C3377,Akaun!$A$5:$A$150,0)))</f>
        <v/>
      </c>
      <c r="H3377" s="1" t="str">
        <f aca="false">IF(C3377="","",INDEX(Akaun!$D$5:$D$150,MATCH(C3377,Akaun!$A$5:$A$150,0)))</f>
        <v/>
      </c>
    </row>
    <row r="3378" customFormat="false" ht="15" hidden="false" customHeight="true" outlineLevel="0" collapsed="false">
      <c r="G3378" s="1" t="str">
        <f aca="false">IF(C3378="","",INDEX(Akaun!$F$5:$F$150,MATCH(C3378,Akaun!$A$5:$A$150,0)))</f>
        <v/>
      </c>
      <c r="H3378" s="1" t="str">
        <f aca="false">IF(C3378="","",INDEX(Akaun!$D$5:$D$150,MATCH(C3378,Akaun!$A$5:$A$150,0)))</f>
        <v/>
      </c>
    </row>
    <row r="3379" customFormat="false" ht="15" hidden="false" customHeight="true" outlineLevel="0" collapsed="false">
      <c r="G3379" s="1" t="str">
        <f aca="false">IF(C3379="","",INDEX(Akaun!$F$5:$F$150,MATCH(C3379,Akaun!$A$5:$A$150,0)))</f>
        <v/>
      </c>
      <c r="H3379" s="1" t="str">
        <f aca="false">IF(C3379="","",INDEX(Akaun!$D$5:$D$150,MATCH(C3379,Akaun!$A$5:$A$150,0)))</f>
        <v/>
      </c>
    </row>
    <row r="3380" customFormat="false" ht="15" hidden="false" customHeight="true" outlineLevel="0" collapsed="false">
      <c r="G3380" s="1" t="str">
        <f aca="false">IF(C3380="","",INDEX(Akaun!$F$5:$F$150,MATCH(C3380,Akaun!$A$5:$A$150,0)))</f>
        <v/>
      </c>
      <c r="H3380" s="1" t="str">
        <f aca="false">IF(C3380="","",INDEX(Akaun!$D$5:$D$150,MATCH(C3380,Akaun!$A$5:$A$150,0)))</f>
        <v/>
      </c>
    </row>
    <row r="3381" customFormat="false" ht="15" hidden="false" customHeight="true" outlineLevel="0" collapsed="false">
      <c r="G3381" s="1" t="str">
        <f aca="false">IF(C3381="","",INDEX(Akaun!$F$5:$F$150,MATCH(C3381,Akaun!$A$5:$A$150,0)))</f>
        <v/>
      </c>
      <c r="H3381" s="1" t="str">
        <f aca="false">IF(C3381="","",INDEX(Akaun!$D$5:$D$150,MATCH(C3381,Akaun!$A$5:$A$150,0)))</f>
        <v/>
      </c>
    </row>
    <row r="3382" customFormat="false" ht="15" hidden="false" customHeight="true" outlineLevel="0" collapsed="false">
      <c r="G3382" s="1" t="str">
        <f aca="false">IF(C3382="","",INDEX(Akaun!$F$5:$F$150,MATCH(C3382,Akaun!$A$5:$A$150,0)))</f>
        <v/>
      </c>
      <c r="H3382" s="1" t="str">
        <f aca="false">IF(C3382="","",INDEX(Akaun!$D$5:$D$150,MATCH(C3382,Akaun!$A$5:$A$150,0)))</f>
        <v/>
      </c>
    </row>
    <row r="3383" customFormat="false" ht="15" hidden="false" customHeight="true" outlineLevel="0" collapsed="false">
      <c r="G3383" s="1" t="str">
        <f aca="false">IF(C3383="","",INDEX(Akaun!$F$5:$F$150,MATCH(C3383,Akaun!$A$5:$A$150,0)))</f>
        <v/>
      </c>
      <c r="H3383" s="1" t="str">
        <f aca="false">IF(C3383="","",INDEX(Akaun!$D$5:$D$150,MATCH(C3383,Akaun!$A$5:$A$150,0)))</f>
        <v/>
      </c>
    </row>
    <row r="3384" customFormat="false" ht="15" hidden="false" customHeight="true" outlineLevel="0" collapsed="false">
      <c r="G3384" s="1" t="str">
        <f aca="false">IF(C3384="","",INDEX(Akaun!$F$5:$F$150,MATCH(C3384,Akaun!$A$5:$A$150,0)))</f>
        <v/>
      </c>
      <c r="H3384" s="1" t="str">
        <f aca="false">IF(C3384="","",INDEX(Akaun!$D$5:$D$150,MATCH(C3384,Akaun!$A$5:$A$150,0)))</f>
        <v/>
      </c>
    </row>
    <row r="3385" customFormat="false" ht="15" hidden="false" customHeight="true" outlineLevel="0" collapsed="false">
      <c r="G3385" s="1" t="str">
        <f aca="false">IF(C3385="","",INDEX(Akaun!$F$5:$F$150,MATCH(C3385,Akaun!$A$5:$A$150,0)))</f>
        <v/>
      </c>
      <c r="H3385" s="1" t="str">
        <f aca="false">IF(C3385="","",INDEX(Akaun!$D$5:$D$150,MATCH(C3385,Akaun!$A$5:$A$150,0)))</f>
        <v/>
      </c>
    </row>
    <row r="3386" customFormat="false" ht="15" hidden="false" customHeight="true" outlineLevel="0" collapsed="false">
      <c r="G3386" s="1" t="str">
        <f aca="false">IF(C3386="","",INDEX(Akaun!$F$5:$F$150,MATCH(C3386,Akaun!$A$5:$A$150,0)))</f>
        <v/>
      </c>
      <c r="H3386" s="1" t="str">
        <f aca="false">IF(C3386="","",INDEX(Akaun!$D$5:$D$150,MATCH(C3386,Akaun!$A$5:$A$150,0)))</f>
        <v/>
      </c>
    </row>
    <row r="3387" customFormat="false" ht="15" hidden="false" customHeight="true" outlineLevel="0" collapsed="false">
      <c r="G3387" s="1" t="str">
        <f aca="false">IF(C3387="","",INDEX(Akaun!$F$5:$F$150,MATCH(C3387,Akaun!$A$5:$A$150,0)))</f>
        <v/>
      </c>
      <c r="H3387" s="1" t="str">
        <f aca="false">IF(C3387="","",INDEX(Akaun!$D$5:$D$150,MATCH(C3387,Akaun!$A$5:$A$150,0)))</f>
        <v/>
      </c>
    </row>
    <row r="3388" customFormat="false" ht="15" hidden="false" customHeight="true" outlineLevel="0" collapsed="false">
      <c r="G3388" s="1" t="str">
        <f aca="false">IF(C3388="","",INDEX(Akaun!$F$5:$F$150,MATCH(C3388,Akaun!$A$5:$A$150,0)))</f>
        <v/>
      </c>
      <c r="H3388" s="1" t="str">
        <f aca="false">IF(C3388="","",INDEX(Akaun!$D$5:$D$150,MATCH(C3388,Akaun!$A$5:$A$150,0)))</f>
        <v/>
      </c>
    </row>
    <row r="3389" customFormat="false" ht="15" hidden="false" customHeight="true" outlineLevel="0" collapsed="false">
      <c r="G3389" s="1" t="str">
        <f aca="false">IF(C3389="","",INDEX(Akaun!$F$5:$F$150,MATCH(C3389,Akaun!$A$5:$A$150,0)))</f>
        <v/>
      </c>
      <c r="H3389" s="1" t="str">
        <f aca="false">IF(C3389="","",INDEX(Akaun!$D$5:$D$150,MATCH(C3389,Akaun!$A$5:$A$150,0)))</f>
        <v/>
      </c>
    </row>
    <row r="3390" customFormat="false" ht="15" hidden="false" customHeight="true" outlineLevel="0" collapsed="false">
      <c r="G3390" s="1" t="str">
        <f aca="false">IF(C3390="","",INDEX(Akaun!$F$5:$F$150,MATCH(C3390,Akaun!$A$5:$A$150,0)))</f>
        <v/>
      </c>
      <c r="H3390" s="1" t="str">
        <f aca="false">IF(C3390="","",INDEX(Akaun!$D$5:$D$150,MATCH(C3390,Akaun!$A$5:$A$150,0)))</f>
        <v/>
      </c>
    </row>
    <row r="3391" customFormat="false" ht="15" hidden="false" customHeight="true" outlineLevel="0" collapsed="false">
      <c r="G3391" s="1" t="str">
        <f aca="false">IF(C3391="","",INDEX(Akaun!$F$5:$F$150,MATCH(C3391,Akaun!$A$5:$A$150,0)))</f>
        <v/>
      </c>
      <c r="H3391" s="1" t="str">
        <f aca="false">IF(C3391="","",INDEX(Akaun!$D$5:$D$150,MATCH(C3391,Akaun!$A$5:$A$150,0)))</f>
        <v/>
      </c>
    </row>
    <row r="3392" customFormat="false" ht="15" hidden="false" customHeight="true" outlineLevel="0" collapsed="false">
      <c r="G3392" s="1" t="str">
        <f aca="false">IF(C3392="","",INDEX(Akaun!$F$5:$F$150,MATCH(C3392,Akaun!$A$5:$A$150,0)))</f>
        <v/>
      </c>
      <c r="H3392" s="1" t="str">
        <f aca="false">IF(C3392="","",INDEX(Akaun!$D$5:$D$150,MATCH(C3392,Akaun!$A$5:$A$150,0)))</f>
        <v/>
      </c>
    </row>
    <row r="3393" customFormat="false" ht="15" hidden="false" customHeight="true" outlineLevel="0" collapsed="false">
      <c r="G3393" s="1" t="str">
        <f aca="false">IF(C3393="","",INDEX(Akaun!$F$5:$F$150,MATCH(C3393,Akaun!$A$5:$A$150,0)))</f>
        <v/>
      </c>
      <c r="H3393" s="1" t="str">
        <f aca="false">IF(C3393="","",INDEX(Akaun!$D$5:$D$150,MATCH(C3393,Akaun!$A$5:$A$150,0)))</f>
        <v/>
      </c>
    </row>
    <row r="3394" customFormat="false" ht="15" hidden="false" customHeight="true" outlineLevel="0" collapsed="false">
      <c r="G3394" s="1" t="str">
        <f aca="false">IF(C3394="","",INDEX(Akaun!$F$5:$F$150,MATCH(C3394,Akaun!$A$5:$A$150,0)))</f>
        <v/>
      </c>
      <c r="H3394" s="1" t="str">
        <f aca="false">IF(C3394="","",INDEX(Akaun!$D$5:$D$150,MATCH(C3394,Akaun!$A$5:$A$150,0)))</f>
        <v/>
      </c>
    </row>
    <row r="3395" customFormat="false" ht="15" hidden="false" customHeight="true" outlineLevel="0" collapsed="false">
      <c r="G3395" s="1" t="str">
        <f aca="false">IF(C3395="","",INDEX(Akaun!$F$5:$F$150,MATCH(C3395,Akaun!$A$5:$A$150,0)))</f>
        <v/>
      </c>
      <c r="H3395" s="1" t="str">
        <f aca="false">IF(C3395="","",INDEX(Akaun!$D$5:$D$150,MATCH(C3395,Akaun!$A$5:$A$150,0)))</f>
        <v/>
      </c>
    </row>
    <row r="3396" customFormat="false" ht="15" hidden="false" customHeight="true" outlineLevel="0" collapsed="false">
      <c r="G3396" s="1" t="str">
        <f aca="false">IF(C3396="","",INDEX(Akaun!$F$5:$F$150,MATCH(C3396,Akaun!$A$5:$A$150,0)))</f>
        <v/>
      </c>
      <c r="H3396" s="1" t="str">
        <f aca="false">IF(C3396="","",INDEX(Akaun!$D$5:$D$150,MATCH(C3396,Akaun!$A$5:$A$150,0)))</f>
        <v/>
      </c>
    </row>
    <row r="3397" customFormat="false" ht="15" hidden="false" customHeight="true" outlineLevel="0" collapsed="false">
      <c r="G3397" s="1" t="str">
        <f aca="false">IF(C3397="","",INDEX(Akaun!$F$5:$F$150,MATCH(C3397,Akaun!$A$5:$A$150,0)))</f>
        <v/>
      </c>
      <c r="H3397" s="1" t="str">
        <f aca="false">IF(C3397="","",INDEX(Akaun!$D$5:$D$150,MATCH(C3397,Akaun!$A$5:$A$150,0)))</f>
        <v/>
      </c>
    </row>
    <row r="3398" customFormat="false" ht="15" hidden="false" customHeight="true" outlineLevel="0" collapsed="false">
      <c r="G3398" s="1" t="str">
        <f aca="false">IF(C3398="","",INDEX(Akaun!$F$5:$F$150,MATCH(C3398,Akaun!$A$5:$A$150,0)))</f>
        <v/>
      </c>
      <c r="H3398" s="1" t="str">
        <f aca="false">IF(C3398="","",INDEX(Akaun!$D$5:$D$150,MATCH(C3398,Akaun!$A$5:$A$150,0)))</f>
        <v/>
      </c>
    </row>
    <row r="3399" customFormat="false" ht="15" hidden="false" customHeight="true" outlineLevel="0" collapsed="false">
      <c r="G3399" s="1" t="str">
        <f aca="false">IF(C3399="","",INDEX(Akaun!$F$5:$F$150,MATCH(C3399,Akaun!$A$5:$A$150,0)))</f>
        <v/>
      </c>
      <c r="H3399" s="1" t="str">
        <f aca="false">IF(C3399="","",INDEX(Akaun!$D$5:$D$150,MATCH(C3399,Akaun!$A$5:$A$150,0)))</f>
        <v/>
      </c>
    </row>
    <row r="3400" customFormat="false" ht="15" hidden="false" customHeight="true" outlineLevel="0" collapsed="false">
      <c r="G3400" s="1" t="str">
        <f aca="false">IF(C3400="","",INDEX(Akaun!$F$5:$F$150,MATCH(C3400,Akaun!$A$5:$A$150,0)))</f>
        <v/>
      </c>
      <c r="H3400" s="1" t="str">
        <f aca="false">IF(C3400="","",INDEX(Akaun!$D$5:$D$150,MATCH(C3400,Akaun!$A$5:$A$150,0)))</f>
        <v/>
      </c>
    </row>
    <row r="3401" customFormat="false" ht="15" hidden="false" customHeight="true" outlineLevel="0" collapsed="false">
      <c r="G3401" s="1" t="str">
        <f aca="false">IF(C3401="","",INDEX(Akaun!$F$5:$F$150,MATCH(C3401,Akaun!$A$5:$A$150,0)))</f>
        <v/>
      </c>
      <c r="H3401" s="1" t="str">
        <f aca="false">IF(C3401="","",INDEX(Akaun!$D$5:$D$150,MATCH(C3401,Akaun!$A$5:$A$150,0)))</f>
        <v/>
      </c>
    </row>
    <row r="3402" customFormat="false" ht="15" hidden="false" customHeight="true" outlineLevel="0" collapsed="false">
      <c r="G3402" s="1" t="str">
        <f aca="false">IF(C3402="","",INDEX(Akaun!$F$5:$F$150,MATCH(C3402,Akaun!$A$5:$A$150,0)))</f>
        <v/>
      </c>
      <c r="H3402" s="1" t="str">
        <f aca="false">IF(C3402="","",INDEX(Akaun!$D$5:$D$150,MATCH(C3402,Akaun!$A$5:$A$150,0)))</f>
        <v/>
      </c>
    </row>
    <row r="3403" customFormat="false" ht="15" hidden="false" customHeight="true" outlineLevel="0" collapsed="false">
      <c r="G3403" s="1" t="str">
        <f aca="false">IF(C3403="","",INDEX(Akaun!$F$5:$F$150,MATCH(C3403,Akaun!$A$5:$A$150,0)))</f>
        <v/>
      </c>
      <c r="H3403" s="1" t="str">
        <f aca="false">IF(C3403="","",INDEX(Akaun!$D$5:$D$150,MATCH(C3403,Akaun!$A$5:$A$150,0)))</f>
        <v/>
      </c>
    </row>
    <row r="3404" customFormat="false" ht="15" hidden="false" customHeight="true" outlineLevel="0" collapsed="false">
      <c r="G3404" s="1" t="str">
        <f aca="false">IF(C3404="","",INDEX(Akaun!$F$5:$F$150,MATCH(C3404,Akaun!$A$5:$A$150,0)))</f>
        <v/>
      </c>
      <c r="H3404" s="1" t="str">
        <f aca="false">IF(C3404="","",INDEX(Akaun!$D$5:$D$150,MATCH(C3404,Akaun!$A$5:$A$150,0)))</f>
        <v/>
      </c>
    </row>
    <row r="3405" customFormat="false" ht="15" hidden="false" customHeight="true" outlineLevel="0" collapsed="false">
      <c r="G3405" s="1" t="str">
        <f aca="false">IF(C3405="","",INDEX(Akaun!$F$5:$F$150,MATCH(C3405,Akaun!$A$5:$A$150,0)))</f>
        <v/>
      </c>
      <c r="H3405" s="1" t="str">
        <f aca="false">IF(C3405="","",INDEX(Akaun!$D$5:$D$150,MATCH(C3405,Akaun!$A$5:$A$150,0)))</f>
        <v/>
      </c>
    </row>
    <row r="3406" customFormat="false" ht="15" hidden="false" customHeight="true" outlineLevel="0" collapsed="false">
      <c r="G3406" s="1" t="str">
        <f aca="false">IF(C3406="","",INDEX(Akaun!$F$5:$F$150,MATCH(C3406,Akaun!$A$5:$A$150,0)))</f>
        <v/>
      </c>
      <c r="H3406" s="1" t="str">
        <f aca="false">IF(C3406="","",INDEX(Akaun!$D$5:$D$150,MATCH(C3406,Akaun!$A$5:$A$150,0)))</f>
        <v/>
      </c>
    </row>
    <row r="3407" customFormat="false" ht="15" hidden="false" customHeight="true" outlineLevel="0" collapsed="false">
      <c r="G3407" s="1" t="str">
        <f aca="false">IF(C3407="","",INDEX(Akaun!$F$5:$F$150,MATCH(C3407,Akaun!$A$5:$A$150,0)))</f>
        <v/>
      </c>
      <c r="H3407" s="1" t="str">
        <f aca="false">IF(C3407="","",INDEX(Akaun!$D$5:$D$150,MATCH(C3407,Akaun!$A$5:$A$150,0)))</f>
        <v/>
      </c>
    </row>
    <row r="3408" customFormat="false" ht="15" hidden="false" customHeight="true" outlineLevel="0" collapsed="false">
      <c r="G3408" s="1" t="str">
        <f aca="false">IF(C3408="","",INDEX(Akaun!$F$5:$F$150,MATCH(C3408,Akaun!$A$5:$A$150,0)))</f>
        <v/>
      </c>
      <c r="H3408" s="1" t="str">
        <f aca="false">IF(C3408="","",INDEX(Akaun!$D$5:$D$150,MATCH(C3408,Akaun!$A$5:$A$150,0)))</f>
        <v/>
      </c>
    </row>
    <row r="3409" customFormat="false" ht="15" hidden="false" customHeight="true" outlineLevel="0" collapsed="false">
      <c r="G3409" s="1" t="str">
        <f aca="false">IF(C3409="","",INDEX(Akaun!$F$5:$F$150,MATCH(C3409,Akaun!$A$5:$A$150,0)))</f>
        <v/>
      </c>
      <c r="H3409" s="1" t="str">
        <f aca="false">IF(C3409="","",INDEX(Akaun!$D$5:$D$150,MATCH(C3409,Akaun!$A$5:$A$150,0)))</f>
        <v/>
      </c>
    </row>
    <row r="3410" customFormat="false" ht="15" hidden="false" customHeight="true" outlineLevel="0" collapsed="false">
      <c r="G3410" s="1" t="str">
        <f aca="false">IF(C3410="","",INDEX(Akaun!$F$5:$F$150,MATCH(C3410,Akaun!$A$5:$A$150,0)))</f>
        <v/>
      </c>
      <c r="H3410" s="1" t="str">
        <f aca="false">IF(C3410="","",INDEX(Akaun!$D$5:$D$150,MATCH(C3410,Akaun!$A$5:$A$150,0)))</f>
        <v/>
      </c>
    </row>
    <row r="3411" customFormat="false" ht="15" hidden="false" customHeight="true" outlineLevel="0" collapsed="false">
      <c r="G3411" s="1" t="str">
        <f aca="false">IF(C3411="","",INDEX(Akaun!$F$5:$F$150,MATCH(C3411,Akaun!$A$5:$A$150,0)))</f>
        <v/>
      </c>
      <c r="H3411" s="1" t="str">
        <f aca="false">IF(C3411="","",INDEX(Akaun!$D$5:$D$150,MATCH(C3411,Akaun!$A$5:$A$150,0)))</f>
        <v/>
      </c>
    </row>
    <row r="3412" customFormat="false" ht="15" hidden="false" customHeight="true" outlineLevel="0" collapsed="false">
      <c r="G3412" s="1" t="str">
        <f aca="false">IF(C3412="","",INDEX(Akaun!$F$5:$F$150,MATCH(C3412,Akaun!$A$5:$A$150,0)))</f>
        <v/>
      </c>
      <c r="H3412" s="1" t="str">
        <f aca="false">IF(C3412="","",INDEX(Akaun!$D$5:$D$150,MATCH(C3412,Akaun!$A$5:$A$150,0)))</f>
        <v/>
      </c>
    </row>
    <row r="3413" customFormat="false" ht="15" hidden="false" customHeight="true" outlineLevel="0" collapsed="false">
      <c r="G3413" s="1" t="str">
        <f aca="false">IF(C3413="","",INDEX(Akaun!$F$5:$F$150,MATCH(C3413,Akaun!$A$5:$A$150,0)))</f>
        <v/>
      </c>
      <c r="H3413" s="1" t="str">
        <f aca="false">IF(C3413="","",INDEX(Akaun!$D$5:$D$150,MATCH(C3413,Akaun!$A$5:$A$150,0)))</f>
        <v/>
      </c>
    </row>
    <row r="3414" customFormat="false" ht="15" hidden="false" customHeight="true" outlineLevel="0" collapsed="false">
      <c r="G3414" s="1" t="str">
        <f aca="false">IF(C3414="","",INDEX(Akaun!$F$5:$F$150,MATCH(C3414,Akaun!$A$5:$A$150,0)))</f>
        <v/>
      </c>
      <c r="H3414" s="1" t="str">
        <f aca="false">IF(C3414="","",INDEX(Akaun!$D$5:$D$150,MATCH(C3414,Akaun!$A$5:$A$150,0)))</f>
        <v/>
      </c>
    </row>
    <row r="3415" customFormat="false" ht="15" hidden="false" customHeight="true" outlineLevel="0" collapsed="false">
      <c r="G3415" s="1" t="str">
        <f aca="false">IF(C3415="","",INDEX(Akaun!$F$5:$F$150,MATCH(C3415,Akaun!$A$5:$A$150,0)))</f>
        <v/>
      </c>
      <c r="H3415" s="1" t="str">
        <f aca="false">IF(C3415="","",INDEX(Akaun!$D$5:$D$150,MATCH(C3415,Akaun!$A$5:$A$150,0)))</f>
        <v/>
      </c>
    </row>
    <row r="3416" customFormat="false" ht="15" hidden="false" customHeight="true" outlineLevel="0" collapsed="false">
      <c r="G3416" s="1" t="str">
        <f aca="false">IF(C3416="","",INDEX(Akaun!$F$5:$F$150,MATCH(C3416,Akaun!$A$5:$A$150,0)))</f>
        <v/>
      </c>
      <c r="H3416" s="1" t="str">
        <f aca="false">IF(C3416="","",INDEX(Akaun!$D$5:$D$150,MATCH(C3416,Akaun!$A$5:$A$150,0)))</f>
        <v/>
      </c>
    </row>
    <row r="3417" customFormat="false" ht="15" hidden="false" customHeight="true" outlineLevel="0" collapsed="false">
      <c r="G3417" s="1" t="str">
        <f aca="false">IF(C3417="","",INDEX(Akaun!$F$5:$F$150,MATCH(C3417,Akaun!$A$5:$A$150,0)))</f>
        <v/>
      </c>
      <c r="H3417" s="1" t="str">
        <f aca="false">IF(C3417="","",INDEX(Akaun!$D$5:$D$150,MATCH(C3417,Akaun!$A$5:$A$150,0)))</f>
        <v/>
      </c>
    </row>
    <row r="3418" customFormat="false" ht="15" hidden="false" customHeight="true" outlineLevel="0" collapsed="false">
      <c r="G3418" s="1" t="str">
        <f aca="false">IF(C3418="","",INDEX(Akaun!$F$5:$F$150,MATCH(C3418,Akaun!$A$5:$A$150,0)))</f>
        <v/>
      </c>
      <c r="H3418" s="1" t="str">
        <f aca="false">IF(C3418="","",INDEX(Akaun!$D$5:$D$150,MATCH(C3418,Akaun!$A$5:$A$150,0)))</f>
        <v/>
      </c>
    </row>
    <row r="3419" customFormat="false" ht="15" hidden="false" customHeight="true" outlineLevel="0" collapsed="false">
      <c r="G3419" s="1" t="str">
        <f aca="false">IF(C3419="","",INDEX(Akaun!$F$5:$F$150,MATCH(C3419,Akaun!$A$5:$A$150,0)))</f>
        <v/>
      </c>
      <c r="H3419" s="1" t="str">
        <f aca="false">IF(C3419="","",INDEX(Akaun!$D$5:$D$150,MATCH(C3419,Akaun!$A$5:$A$150,0)))</f>
        <v/>
      </c>
    </row>
    <row r="3420" customFormat="false" ht="15" hidden="false" customHeight="true" outlineLevel="0" collapsed="false">
      <c r="G3420" s="1" t="str">
        <f aca="false">IF(C3420="","",INDEX(Akaun!$F$5:$F$150,MATCH(C3420,Akaun!$A$5:$A$150,0)))</f>
        <v/>
      </c>
      <c r="H3420" s="1" t="str">
        <f aca="false">IF(C3420="","",INDEX(Akaun!$D$5:$D$150,MATCH(C3420,Akaun!$A$5:$A$150,0)))</f>
        <v/>
      </c>
    </row>
    <row r="3421" customFormat="false" ht="15" hidden="false" customHeight="true" outlineLevel="0" collapsed="false">
      <c r="G3421" s="1" t="str">
        <f aca="false">IF(C3421="","",INDEX(Akaun!$F$5:$F$150,MATCH(C3421,Akaun!$A$5:$A$150,0)))</f>
        <v/>
      </c>
      <c r="H3421" s="1" t="str">
        <f aca="false">IF(C3421="","",INDEX(Akaun!$D$5:$D$150,MATCH(C3421,Akaun!$A$5:$A$150,0)))</f>
        <v/>
      </c>
    </row>
    <row r="3422" customFormat="false" ht="15" hidden="false" customHeight="true" outlineLevel="0" collapsed="false">
      <c r="G3422" s="1" t="str">
        <f aca="false">IF(C3422="","",INDEX(Akaun!$F$5:$F$150,MATCH(C3422,Akaun!$A$5:$A$150,0)))</f>
        <v/>
      </c>
      <c r="H3422" s="1" t="str">
        <f aca="false">IF(C3422="","",INDEX(Akaun!$D$5:$D$150,MATCH(C3422,Akaun!$A$5:$A$150,0)))</f>
        <v/>
      </c>
    </row>
    <row r="3423" customFormat="false" ht="15" hidden="false" customHeight="true" outlineLevel="0" collapsed="false">
      <c r="G3423" s="1" t="str">
        <f aca="false">IF(C3423="","",INDEX(Akaun!$F$5:$F$150,MATCH(C3423,Akaun!$A$5:$A$150,0)))</f>
        <v/>
      </c>
      <c r="H3423" s="1" t="str">
        <f aca="false">IF(C3423="","",INDEX(Akaun!$D$5:$D$150,MATCH(C3423,Akaun!$A$5:$A$150,0)))</f>
        <v/>
      </c>
    </row>
    <row r="3424" customFormat="false" ht="15" hidden="false" customHeight="true" outlineLevel="0" collapsed="false">
      <c r="G3424" s="1" t="str">
        <f aca="false">IF(C3424="","",INDEX(Akaun!$F$5:$F$150,MATCH(C3424,Akaun!$A$5:$A$150,0)))</f>
        <v/>
      </c>
      <c r="H3424" s="1" t="str">
        <f aca="false">IF(C3424="","",INDEX(Akaun!$D$5:$D$150,MATCH(C3424,Akaun!$A$5:$A$150,0)))</f>
        <v/>
      </c>
    </row>
    <row r="3425" customFormat="false" ht="15" hidden="false" customHeight="true" outlineLevel="0" collapsed="false">
      <c r="G3425" s="1" t="str">
        <f aca="false">IF(C3425="","",INDEX(Akaun!$F$5:$F$150,MATCH(C3425,Akaun!$A$5:$A$150,0)))</f>
        <v/>
      </c>
      <c r="H3425" s="1" t="str">
        <f aca="false">IF(C3425="","",INDEX(Akaun!$D$5:$D$150,MATCH(C3425,Akaun!$A$5:$A$150,0)))</f>
        <v/>
      </c>
    </row>
    <row r="3426" customFormat="false" ht="15" hidden="false" customHeight="true" outlineLevel="0" collapsed="false">
      <c r="G3426" s="1" t="str">
        <f aca="false">IF(C3426="","",INDEX(Akaun!$F$5:$F$150,MATCH(C3426,Akaun!$A$5:$A$150,0)))</f>
        <v/>
      </c>
      <c r="H3426" s="1" t="str">
        <f aca="false">IF(C3426="","",INDEX(Akaun!$D$5:$D$150,MATCH(C3426,Akaun!$A$5:$A$150,0)))</f>
        <v/>
      </c>
    </row>
    <row r="3427" customFormat="false" ht="15" hidden="false" customHeight="true" outlineLevel="0" collapsed="false">
      <c r="G3427" s="1" t="str">
        <f aca="false">IF(C3427="","",INDEX(Akaun!$F$5:$F$150,MATCH(C3427,Akaun!$A$5:$A$150,0)))</f>
        <v/>
      </c>
      <c r="H3427" s="1" t="str">
        <f aca="false">IF(C3427="","",INDEX(Akaun!$D$5:$D$150,MATCH(C3427,Akaun!$A$5:$A$150,0)))</f>
        <v/>
      </c>
    </row>
    <row r="3428" customFormat="false" ht="15" hidden="false" customHeight="true" outlineLevel="0" collapsed="false">
      <c r="G3428" s="1" t="str">
        <f aca="false">IF(C3428="","",INDEX(Akaun!$F$5:$F$150,MATCH(C3428,Akaun!$A$5:$A$150,0)))</f>
        <v/>
      </c>
      <c r="H3428" s="1" t="str">
        <f aca="false">IF(C3428="","",INDEX(Akaun!$D$5:$D$150,MATCH(C3428,Akaun!$A$5:$A$150,0)))</f>
        <v/>
      </c>
    </row>
    <row r="3429" customFormat="false" ht="15" hidden="false" customHeight="true" outlineLevel="0" collapsed="false">
      <c r="G3429" s="1" t="str">
        <f aca="false">IF(C3429="","",INDEX(Akaun!$F$5:$F$150,MATCH(C3429,Akaun!$A$5:$A$150,0)))</f>
        <v/>
      </c>
      <c r="H3429" s="1" t="str">
        <f aca="false">IF(C3429="","",INDEX(Akaun!$D$5:$D$150,MATCH(C3429,Akaun!$A$5:$A$150,0)))</f>
        <v/>
      </c>
    </row>
    <row r="3430" customFormat="false" ht="15" hidden="false" customHeight="true" outlineLevel="0" collapsed="false">
      <c r="G3430" s="1" t="str">
        <f aca="false">IF(C3430="","",INDEX(Akaun!$F$5:$F$150,MATCH(C3430,Akaun!$A$5:$A$150,0)))</f>
        <v/>
      </c>
      <c r="H3430" s="1" t="str">
        <f aca="false">IF(C3430="","",INDEX(Akaun!$D$5:$D$150,MATCH(C3430,Akaun!$A$5:$A$150,0)))</f>
        <v/>
      </c>
    </row>
    <row r="3431" customFormat="false" ht="15" hidden="false" customHeight="true" outlineLevel="0" collapsed="false">
      <c r="G3431" s="1" t="str">
        <f aca="false">IF(C3431="","",INDEX(Akaun!$F$5:$F$150,MATCH(C3431,Akaun!$A$5:$A$150,0)))</f>
        <v/>
      </c>
      <c r="H3431" s="1" t="str">
        <f aca="false">IF(C3431="","",INDEX(Akaun!$D$5:$D$150,MATCH(C3431,Akaun!$A$5:$A$150,0)))</f>
        <v/>
      </c>
    </row>
    <row r="3432" customFormat="false" ht="15" hidden="false" customHeight="true" outlineLevel="0" collapsed="false">
      <c r="G3432" s="1" t="str">
        <f aca="false">IF(C3432="","",INDEX(Akaun!$F$5:$F$150,MATCH(C3432,Akaun!$A$5:$A$150,0)))</f>
        <v/>
      </c>
      <c r="H3432" s="1" t="str">
        <f aca="false">IF(C3432="","",INDEX(Akaun!$D$5:$D$150,MATCH(C3432,Akaun!$A$5:$A$150,0)))</f>
        <v/>
      </c>
    </row>
    <row r="3433" customFormat="false" ht="15" hidden="false" customHeight="true" outlineLevel="0" collapsed="false">
      <c r="G3433" s="1" t="str">
        <f aca="false">IF(C3433="","",INDEX(Akaun!$F$5:$F$150,MATCH(C3433,Akaun!$A$5:$A$150,0)))</f>
        <v/>
      </c>
      <c r="H3433" s="1" t="str">
        <f aca="false">IF(C3433="","",INDEX(Akaun!$D$5:$D$150,MATCH(C3433,Akaun!$A$5:$A$150,0)))</f>
        <v/>
      </c>
    </row>
    <row r="3434" customFormat="false" ht="15" hidden="false" customHeight="true" outlineLevel="0" collapsed="false">
      <c r="G3434" s="1" t="str">
        <f aca="false">IF(C3434="","",INDEX(Akaun!$F$5:$F$150,MATCH(C3434,Akaun!$A$5:$A$150,0)))</f>
        <v/>
      </c>
      <c r="H3434" s="1" t="str">
        <f aca="false">IF(C3434="","",INDEX(Akaun!$D$5:$D$150,MATCH(C3434,Akaun!$A$5:$A$150,0)))</f>
        <v/>
      </c>
    </row>
    <row r="3435" customFormat="false" ht="15" hidden="false" customHeight="true" outlineLevel="0" collapsed="false">
      <c r="G3435" s="1" t="str">
        <f aca="false">IF(C3435="","",INDEX(Akaun!$F$5:$F$150,MATCH(C3435,Akaun!$A$5:$A$150,0)))</f>
        <v/>
      </c>
      <c r="H3435" s="1" t="str">
        <f aca="false">IF(C3435="","",INDEX(Akaun!$D$5:$D$150,MATCH(C3435,Akaun!$A$5:$A$150,0)))</f>
        <v/>
      </c>
    </row>
    <row r="3436" customFormat="false" ht="15" hidden="false" customHeight="true" outlineLevel="0" collapsed="false">
      <c r="G3436" s="1" t="str">
        <f aca="false">IF(C3436="","",INDEX(Akaun!$F$5:$F$150,MATCH(C3436,Akaun!$A$5:$A$150,0)))</f>
        <v/>
      </c>
      <c r="H3436" s="1" t="str">
        <f aca="false">IF(C3436="","",INDEX(Akaun!$D$5:$D$150,MATCH(C3436,Akaun!$A$5:$A$150,0)))</f>
        <v/>
      </c>
    </row>
    <row r="3437" customFormat="false" ht="15" hidden="false" customHeight="true" outlineLevel="0" collapsed="false">
      <c r="G3437" s="1" t="str">
        <f aca="false">IF(C3437="","",INDEX(Akaun!$F$5:$F$150,MATCH(C3437,Akaun!$A$5:$A$150,0)))</f>
        <v/>
      </c>
      <c r="H3437" s="1" t="str">
        <f aca="false">IF(C3437="","",INDEX(Akaun!$D$5:$D$150,MATCH(C3437,Akaun!$A$5:$A$150,0)))</f>
        <v/>
      </c>
    </row>
    <row r="3438" customFormat="false" ht="15" hidden="false" customHeight="true" outlineLevel="0" collapsed="false">
      <c r="G3438" s="1" t="str">
        <f aca="false">IF(C3438="","",INDEX(Akaun!$F$5:$F$150,MATCH(C3438,Akaun!$A$5:$A$150,0)))</f>
        <v/>
      </c>
      <c r="H3438" s="1" t="str">
        <f aca="false">IF(C3438="","",INDEX(Akaun!$D$5:$D$150,MATCH(C3438,Akaun!$A$5:$A$150,0)))</f>
        <v/>
      </c>
    </row>
    <row r="3439" customFormat="false" ht="15" hidden="false" customHeight="true" outlineLevel="0" collapsed="false">
      <c r="G3439" s="1" t="str">
        <f aca="false">IF(C3439="","",INDEX(Akaun!$F$5:$F$150,MATCH(C3439,Akaun!$A$5:$A$150,0)))</f>
        <v/>
      </c>
      <c r="H3439" s="1" t="str">
        <f aca="false">IF(C3439="","",INDEX(Akaun!$D$5:$D$150,MATCH(C3439,Akaun!$A$5:$A$150,0)))</f>
        <v/>
      </c>
    </row>
    <row r="3440" customFormat="false" ht="15" hidden="false" customHeight="true" outlineLevel="0" collapsed="false">
      <c r="G3440" s="1" t="str">
        <f aca="false">IF(C3440="","",INDEX(Akaun!$F$5:$F$150,MATCH(C3440,Akaun!$A$5:$A$150,0)))</f>
        <v/>
      </c>
      <c r="H3440" s="1" t="str">
        <f aca="false">IF(C3440="","",INDEX(Akaun!$D$5:$D$150,MATCH(C3440,Akaun!$A$5:$A$150,0)))</f>
        <v/>
      </c>
    </row>
    <row r="3441" customFormat="false" ht="15" hidden="false" customHeight="true" outlineLevel="0" collapsed="false">
      <c r="G3441" s="1" t="str">
        <f aca="false">IF(C3441="","",INDEX(Akaun!$F$5:$F$150,MATCH(C3441,Akaun!$A$5:$A$150,0)))</f>
        <v/>
      </c>
      <c r="H3441" s="1" t="str">
        <f aca="false">IF(C3441="","",INDEX(Akaun!$D$5:$D$150,MATCH(C3441,Akaun!$A$5:$A$150,0)))</f>
        <v/>
      </c>
    </row>
    <row r="3442" customFormat="false" ht="15" hidden="false" customHeight="true" outlineLevel="0" collapsed="false">
      <c r="G3442" s="1" t="str">
        <f aca="false">IF(C3442="","",INDEX(Akaun!$F$5:$F$150,MATCH(C3442,Akaun!$A$5:$A$150,0)))</f>
        <v/>
      </c>
      <c r="H3442" s="1" t="str">
        <f aca="false">IF(C3442="","",INDEX(Akaun!$D$5:$D$150,MATCH(C3442,Akaun!$A$5:$A$150,0)))</f>
        <v/>
      </c>
    </row>
    <row r="3443" customFormat="false" ht="15" hidden="false" customHeight="true" outlineLevel="0" collapsed="false">
      <c r="G3443" s="1" t="str">
        <f aca="false">IF(C3443="","",INDEX(Akaun!$F$5:$F$150,MATCH(C3443,Akaun!$A$5:$A$150,0)))</f>
        <v/>
      </c>
      <c r="H3443" s="1" t="str">
        <f aca="false">IF(C3443="","",INDEX(Akaun!$D$5:$D$150,MATCH(C3443,Akaun!$A$5:$A$150,0)))</f>
        <v/>
      </c>
    </row>
    <row r="3444" customFormat="false" ht="15" hidden="false" customHeight="true" outlineLevel="0" collapsed="false">
      <c r="G3444" s="1" t="str">
        <f aca="false">IF(C3444="","",INDEX(Akaun!$F$5:$F$150,MATCH(C3444,Akaun!$A$5:$A$150,0)))</f>
        <v/>
      </c>
      <c r="H3444" s="1" t="str">
        <f aca="false">IF(C3444="","",INDEX(Akaun!$D$5:$D$150,MATCH(C3444,Akaun!$A$5:$A$150,0)))</f>
        <v/>
      </c>
    </row>
    <row r="3445" customFormat="false" ht="15" hidden="false" customHeight="true" outlineLevel="0" collapsed="false">
      <c r="G3445" s="1" t="str">
        <f aca="false">IF(C3445="","",INDEX(Akaun!$F$5:$F$150,MATCH(C3445,Akaun!$A$5:$A$150,0)))</f>
        <v/>
      </c>
      <c r="H3445" s="1" t="str">
        <f aca="false">IF(C3445="","",INDEX(Akaun!$D$5:$D$150,MATCH(C3445,Akaun!$A$5:$A$150,0)))</f>
        <v/>
      </c>
    </row>
    <row r="3446" customFormat="false" ht="15" hidden="false" customHeight="true" outlineLevel="0" collapsed="false">
      <c r="G3446" s="1" t="str">
        <f aca="false">IF(C3446="","",INDEX(Akaun!$F$5:$F$150,MATCH(C3446,Akaun!$A$5:$A$150,0)))</f>
        <v/>
      </c>
      <c r="H3446" s="1" t="str">
        <f aca="false">IF(C3446="","",INDEX(Akaun!$D$5:$D$150,MATCH(C3446,Akaun!$A$5:$A$150,0)))</f>
        <v/>
      </c>
    </row>
    <row r="3447" customFormat="false" ht="15" hidden="false" customHeight="true" outlineLevel="0" collapsed="false">
      <c r="G3447" s="1" t="str">
        <f aca="false">IF(C3447="","",INDEX(Akaun!$F$5:$F$150,MATCH(C3447,Akaun!$A$5:$A$150,0)))</f>
        <v/>
      </c>
      <c r="H3447" s="1" t="str">
        <f aca="false">IF(C3447="","",INDEX(Akaun!$D$5:$D$150,MATCH(C3447,Akaun!$A$5:$A$150,0)))</f>
        <v/>
      </c>
    </row>
    <row r="3448" customFormat="false" ht="15" hidden="false" customHeight="true" outlineLevel="0" collapsed="false">
      <c r="G3448" s="1" t="str">
        <f aca="false">IF(C3448="","",INDEX(Akaun!$F$5:$F$150,MATCH(C3448,Akaun!$A$5:$A$150,0)))</f>
        <v/>
      </c>
      <c r="H3448" s="1" t="str">
        <f aca="false">IF(C3448="","",INDEX(Akaun!$D$5:$D$150,MATCH(C3448,Akaun!$A$5:$A$150,0)))</f>
        <v/>
      </c>
    </row>
    <row r="3449" customFormat="false" ht="15" hidden="false" customHeight="true" outlineLevel="0" collapsed="false">
      <c r="G3449" s="1" t="str">
        <f aca="false">IF(C3449="","",INDEX(Akaun!$F$5:$F$150,MATCH(C3449,Akaun!$A$5:$A$150,0)))</f>
        <v/>
      </c>
      <c r="H3449" s="1" t="str">
        <f aca="false">IF(C3449="","",INDEX(Akaun!$D$5:$D$150,MATCH(C3449,Akaun!$A$5:$A$150,0)))</f>
        <v/>
      </c>
    </row>
    <row r="3450" customFormat="false" ht="15" hidden="false" customHeight="true" outlineLevel="0" collapsed="false">
      <c r="G3450" s="1" t="str">
        <f aca="false">IF(C3450="","",INDEX(Akaun!$F$5:$F$150,MATCH(C3450,Akaun!$A$5:$A$150,0)))</f>
        <v/>
      </c>
      <c r="H3450" s="1" t="str">
        <f aca="false">IF(C3450="","",INDEX(Akaun!$D$5:$D$150,MATCH(C3450,Akaun!$A$5:$A$150,0)))</f>
        <v/>
      </c>
    </row>
    <row r="3451" customFormat="false" ht="15" hidden="false" customHeight="true" outlineLevel="0" collapsed="false">
      <c r="G3451" s="1" t="str">
        <f aca="false">IF(C3451="","",INDEX(Akaun!$F$5:$F$150,MATCH(C3451,Akaun!$A$5:$A$150,0)))</f>
        <v/>
      </c>
      <c r="H3451" s="1" t="str">
        <f aca="false">IF(C3451="","",INDEX(Akaun!$D$5:$D$150,MATCH(C3451,Akaun!$A$5:$A$150,0)))</f>
        <v/>
      </c>
    </row>
    <row r="3452" customFormat="false" ht="15" hidden="false" customHeight="true" outlineLevel="0" collapsed="false">
      <c r="G3452" s="1" t="str">
        <f aca="false">IF(C3452="","",INDEX(Akaun!$F$5:$F$150,MATCH(C3452,Akaun!$A$5:$A$150,0)))</f>
        <v/>
      </c>
      <c r="H3452" s="1" t="str">
        <f aca="false">IF(C3452="","",INDEX(Akaun!$D$5:$D$150,MATCH(C3452,Akaun!$A$5:$A$150,0)))</f>
        <v/>
      </c>
    </row>
    <row r="3453" customFormat="false" ht="15" hidden="false" customHeight="true" outlineLevel="0" collapsed="false">
      <c r="G3453" s="1" t="str">
        <f aca="false">IF(C3453="","",INDEX(Akaun!$F$5:$F$150,MATCH(C3453,Akaun!$A$5:$A$150,0)))</f>
        <v/>
      </c>
      <c r="H3453" s="1" t="str">
        <f aca="false">IF(C3453="","",INDEX(Akaun!$D$5:$D$150,MATCH(C3453,Akaun!$A$5:$A$150,0)))</f>
        <v/>
      </c>
    </row>
    <row r="3454" customFormat="false" ht="15" hidden="false" customHeight="true" outlineLevel="0" collapsed="false">
      <c r="G3454" s="1" t="str">
        <f aca="false">IF(C3454="","",INDEX(Akaun!$F$5:$F$150,MATCH(C3454,Akaun!$A$5:$A$150,0)))</f>
        <v/>
      </c>
      <c r="H3454" s="1" t="str">
        <f aca="false">IF(C3454="","",INDEX(Akaun!$D$5:$D$150,MATCH(C3454,Akaun!$A$5:$A$150,0)))</f>
        <v/>
      </c>
    </row>
    <row r="3455" customFormat="false" ht="15" hidden="false" customHeight="true" outlineLevel="0" collapsed="false">
      <c r="G3455" s="1" t="str">
        <f aca="false">IF(C3455="","",INDEX(Akaun!$F$5:$F$150,MATCH(C3455,Akaun!$A$5:$A$150,0)))</f>
        <v/>
      </c>
      <c r="H3455" s="1" t="str">
        <f aca="false">IF(C3455="","",INDEX(Akaun!$D$5:$D$150,MATCH(C3455,Akaun!$A$5:$A$150,0)))</f>
        <v/>
      </c>
    </row>
    <row r="3456" customFormat="false" ht="15" hidden="false" customHeight="true" outlineLevel="0" collapsed="false">
      <c r="G3456" s="1" t="str">
        <f aca="false">IF(C3456="","",INDEX(Akaun!$F$5:$F$150,MATCH(C3456,Akaun!$A$5:$A$150,0)))</f>
        <v/>
      </c>
      <c r="H3456" s="1" t="str">
        <f aca="false">IF(C3456="","",INDEX(Akaun!$D$5:$D$150,MATCH(C3456,Akaun!$A$5:$A$150,0)))</f>
        <v/>
      </c>
    </row>
    <row r="3457" customFormat="false" ht="15" hidden="false" customHeight="true" outlineLevel="0" collapsed="false">
      <c r="G3457" s="1" t="str">
        <f aca="false">IF(C3457="","",INDEX(Akaun!$F$5:$F$150,MATCH(C3457,Akaun!$A$5:$A$150,0)))</f>
        <v/>
      </c>
      <c r="H3457" s="1" t="str">
        <f aca="false">IF(C3457="","",INDEX(Akaun!$D$5:$D$150,MATCH(C3457,Akaun!$A$5:$A$150,0)))</f>
        <v/>
      </c>
    </row>
    <row r="3458" customFormat="false" ht="15" hidden="false" customHeight="true" outlineLevel="0" collapsed="false">
      <c r="G3458" s="1" t="str">
        <f aca="false">IF(C3458="","",INDEX(Akaun!$F$5:$F$150,MATCH(C3458,Akaun!$A$5:$A$150,0)))</f>
        <v/>
      </c>
      <c r="H3458" s="1" t="str">
        <f aca="false">IF(C3458="","",INDEX(Akaun!$D$5:$D$150,MATCH(C3458,Akaun!$A$5:$A$150,0)))</f>
        <v/>
      </c>
    </row>
    <row r="3459" customFormat="false" ht="15" hidden="false" customHeight="true" outlineLevel="0" collapsed="false">
      <c r="G3459" s="1" t="str">
        <f aca="false">IF(C3459="","",INDEX(Akaun!$F$5:$F$150,MATCH(C3459,Akaun!$A$5:$A$150,0)))</f>
        <v/>
      </c>
      <c r="H3459" s="1" t="str">
        <f aca="false">IF(C3459="","",INDEX(Akaun!$D$5:$D$150,MATCH(C3459,Akaun!$A$5:$A$150,0)))</f>
        <v/>
      </c>
    </row>
    <row r="3460" customFormat="false" ht="15" hidden="false" customHeight="true" outlineLevel="0" collapsed="false">
      <c r="G3460" s="1" t="str">
        <f aca="false">IF(C3460="","",INDEX(Akaun!$F$5:$F$150,MATCH(C3460,Akaun!$A$5:$A$150,0)))</f>
        <v/>
      </c>
      <c r="H3460" s="1" t="str">
        <f aca="false">IF(C3460="","",INDEX(Akaun!$D$5:$D$150,MATCH(C3460,Akaun!$A$5:$A$150,0)))</f>
        <v/>
      </c>
    </row>
    <row r="3461" customFormat="false" ht="15" hidden="false" customHeight="true" outlineLevel="0" collapsed="false">
      <c r="G3461" s="1" t="str">
        <f aca="false">IF(C3461="","",INDEX(Akaun!$F$5:$F$150,MATCH(C3461,Akaun!$A$5:$A$150,0)))</f>
        <v/>
      </c>
      <c r="H3461" s="1" t="str">
        <f aca="false">IF(C3461="","",INDEX(Akaun!$D$5:$D$150,MATCH(C3461,Akaun!$A$5:$A$150,0)))</f>
        <v/>
      </c>
    </row>
    <row r="3462" customFormat="false" ht="15" hidden="false" customHeight="true" outlineLevel="0" collapsed="false">
      <c r="G3462" s="1" t="str">
        <f aca="false">IF(C3462="","",INDEX(Akaun!$F$5:$F$150,MATCH(C3462,Akaun!$A$5:$A$150,0)))</f>
        <v/>
      </c>
      <c r="H3462" s="1" t="str">
        <f aca="false">IF(C3462="","",INDEX(Akaun!$D$5:$D$150,MATCH(C3462,Akaun!$A$5:$A$150,0)))</f>
        <v/>
      </c>
    </row>
    <row r="3463" customFormat="false" ht="15" hidden="false" customHeight="true" outlineLevel="0" collapsed="false">
      <c r="G3463" s="1" t="str">
        <f aca="false">IF(C3463="","",INDEX(Akaun!$F$5:$F$150,MATCH(C3463,Akaun!$A$5:$A$150,0)))</f>
        <v/>
      </c>
      <c r="H3463" s="1" t="str">
        <f aca="false">IF(C3463="","",INDEX(Akaun!$D$5:$D$150,MATCH(C3463,Akaun!$A$5:$A$150,0)))</f>
        <v/>
      </c>
    </row>
    <row r="3464" customFormat="false" ht="15" hidden="false" customHeight="true" outlineLevel="0" collapsed="false">
      <c r="G3464" s="1" t="str">
        <f aca="false">IF(C3464="","",INDEX(Akaun!$F$5:$F$150,MATCH(C3464,Akaun!$A$5:$A$150,0)))</f>
        <v/>
      </c>
      <c r="H3464" s="1" t="str">
        <f aca="false">IF(C3464="","",INDEX(Akaun!$D$5:$D$150,MATCH(C3464,Akaun!$A$5:$A$150,0)))</f>
        <v/>
      </c>
    </row>
    <row r="3465" customFormat="false" ht="15" hidden="false" customHeight="true" outlineLevel="0" collapsed="false">
      <c r="G3465" s="1" t="str">
        <f aca="false">IF(C3465="","",INDEX(Akaun!$F$5:$F$150,MATCH(C3465,Akaun!$A$5:$A$150,0)))</f>
        <v/>
      </c>
      <c r="H3465" s="1" t="str">
        <f aca="false">IF(C3465="","",INDEX(Akaun!$D$5:$D$150,MATCH(C3465,Akaun!$A$5:$A$150,0)))</f>
        <v/>
      </c>
    </row>
    <row r="3466" customFormat="false" ht="15" hidden="false" customHeight="true" outlineLevel="0" collapsed="false">
      <c r="G3466" s="1" t="str">
        <f aca="false">IF(C3466="","",INDEX(Akaun!$F$5:$F$150,MATCH(C3466,Akaun!$A$5:$A$150,0)))</f>
        <v/>
      </c>
      <c r="H3466" s="1" t="str">
        <f aca="false">IF(C3466="","",INDEX(Akaun!$D$5:$D$150,MATCH(C3466,Akaun!$A$5:$A$150,0)))</f>
        <v/>
      </c>
    </row>
    <row r="3467" customFormat="false" ht="15" hidden="false" customHeight="true" outlineLevel="0" collapsed="false">
      <c r="G3467" s="1" t="str">
        <f aca="false">IF(C3467="","",INDEX(Akaun!$F$5:$F$150,MATCH(C3467,Akaun!$A$5:$A$150,0)))</f>
        <v/>
      </c>
      <c r="H3467" s="1" t="str">
        <f aca="false">IF(C3467="","",INDEX(Akaun!$D$5:$D$150,MATCH(C3467,Akaun!$A$5:$A$150,0)))</f>
        <v/>
      </c>
    </row>
    <row r="3468" customFormat="false" ht="15" hidden="false" customHeight="true" outlineLevel="0" collapsed="false">
      <c r="G3468" s="1" t="str">
        <f aca="false">IF(C3468="","",INDEX(Akaun!$F$5:$F$150,MATCH(C3468,Akaun!$A$5:$A$150,0)))</f>
        <v/>
      </c>
      <c r="H3468" s="1" t="str">
        <f aca="false">IF(C3468="","",INDEX(Akaun!$D$5:$D$150,MATCH(C3468,Akaun!$A$5:$A$150,0)))</f>
        <v/>
      </c>
    </row>
    <row r="3469" customFormat="false" ht="15" hidden="false" customHeight="true" outlineLevel="0" collapsed="false">
      <c r="G3469" s="1" t="str">
        <f aca="false">IF(C3469="","",INDEX(Akaun!$F$5:$F$150,MATCH(C3469,Akaun!$A$5:$A$150,0)))</f>
        <v/>
      </c>
      <c r="H3469" s="1" t="str">
        <f aca="false">IF(C3469="","",INDEX(Akaun!$D$5:$D$150,MATCH(C3469,Akaun!$A$5:$A$150,0)))</f>
        <v/>
      </c>
    </row>
    <row r="3470" customFormat="false" ht="15" hidden="false" customHeight="true" outlineLevel="0" collapsed="false">
      <c r="G3470" s="1" t="str">
        <f aca="false">IF(C3470="","",INDEX(Akaun!$F$5:$F$150,MATCH(C3470,Akaun!$A$5:$A$150,0)))</f>
        <v/>
      </c>
      <c r="H3470" s="1" t="str">
        <f aca="false">IF(C3470="","",INDEX(Akaun!$D$5:$D$150,MATCH(C3470,Akaun!$A$5:$A$150,0)))</f>
        <v/>
      </c>
    </row>
    <row r="3471" customFormat="false" ht="15" hidden="false" customHeight="true" outlineLevel="0" collapsed="false">
      <c r="G3471" s="1" t="str">
        <f aca="false">IF(C3471="","",INDEX(Akaun!$F$5:$F$150,MATCH(C3471,Akaun!$A$5:$A$150,0)))</f>
        <v/>
      </c>
      <c r="H3471" s="1" t="str">
        <f aca="false">IF(C3471="","",INDEX(Akaun!$D$5:$D$150,MATCH(C3471,Akaun!$A$5:$A$150,0)))</f>
        <v/>
      </c>
    </row>
    <row r="3472" customFormat="false" ht="15" hidden="false" customHeight="true" outlineLevel="0" collapsed="false">
      <c r="G3472" s="1" t="str">
        <f aca="false">IF(C3472="","",INDEX(Akaun!$F$5:$F$150,MATCH(C3472,Akaun!$A$5:$A$150,0)))</f>
        <v/>
      </c>
      <c r="H3472" s="1" t="str">
        <f aca="false">IF(C3472="","",INDEX(Akaun!$D$5:$D$150,MATCH(C3472,Akaun!$A$5:$A$150,0)))</f>
        <v/>
      </c>
    </row>
    <row r="3473" customFormat="false" ht="15" hidden="false" customHeight="true" outlineLevel="0" collapsed="false">
      <c r="G3473" s="1" t="str">
        <f aca="false">IF(C3473="","",INDEX(Akaun!$F$5:$F$150,MATCH(C3473,Akaun!$A$5:$A$150,0)))</f>
        <v/>
      </c>
      <c r="H3473" s="1" t="str">
        <f aca="false">IF(C3473="","",INDEX(Akaun!$D$5:$D$150,MATCH(C3473,Akaun!$A$5:$A$150,0)))</f>
        <v/>
      </c>
    </row>
    <row r="3474" customFormat="false" ht="15" hidden="false" customHeight="true" outlineLevel="0" collapsed="false">
      <c r="G3474" s="1" t="str">
        <f aca="false">IF(C3474="","",INDEX(Akaun!$F$5:$F$150,MATCH(C3474,Akaun!$A$5:$A$150,0)))</f>
        <v/>
      </c>
      <c r="H3474" s="1" t="str">
        <f aca="false">IF(C3474="","",INDEX(Akaun!$D$5:$D$150,MATCH(C3474,Akaun!$A$5:$A$150,0)))</f>
        <v/>
      </c>
    </row>
    <row r="3475" customFormat="false" ht="15" hidden="false" customHeight="true" outlineLevel="0" collapsed="false">
      <c r="G3475" s="1" t="str">
        <f aca="false">IF(C3475="","",INDEX(Akaun!$F$5:$F$150,MATCH(C3475,Akaun!$A$5:$A$150,0)))</f>
        <v/>
      </c>
      <c r="H3475" s="1" t="str">
        <f aca="false">IF(C3475="","",INDEX(Akaun!$D$5:$D$150,MATCH(C3475,Akaun!$A$5:$A$150,0)))</f>
        <v/>
      </c>
    </row>
    <row r="3476" customFormat="false" ht="15" hidden="false" customHeight="true" outlineLevel="0" collapsed="false">
      <c r="G3476" s="1" t="str">
        <f aca="false">IF(C3476="","",INDEX(Akaun!$F$5:$F$150,MATCH(C3476,Akaun!$A$5:$A$150,0)))</f>
        <v/>
      </c>
      <c r="H3476" s="1" t="str">
        <f aca="false">IF(C3476="","",INDEX(Akaun!$D$5:$D$150,MATCH(C3476,Akaun!$A$5:$A$150,0)))</f>
        <v/>
      </c>
    </row>
    <row r="3477" customFormat="false" ht="15" hidden="false" customHeight="true" outlineLevel="0" collapsed="false">
      <c r="G3477" s="1" t="str">
        <f aca="false">IF(C3477="","",INDEX(Akaun!$F$5:$F$150,MATCH(C3477,Akaun!$A$5:$A$150,0)))</f>
        <v/>
      </c>
      <c r="H3477" s="1" t="str">
        <f aca="false">IF(C3477="","",INDEX(Akaun!$D$5:$D$150,MATCH(C3477,Akaun!$A$5:$A$150,0)))</f>
        <v/>
      </c>
    </row>
    <row r="3478" customFormat="false" ht="15" hidden="false" customHeight="true" outlineLevel="0" collapsed="false">
      <c r="G3478" s="1" t="str">
        <f aca="false">IF(C3478="","",INDEX(Akaun!$F$5:$F$150,MATCH(C3478,Akaun!$A$5:$A$150,0)))</f>
        <v/>
      </c>
      <c r="H3478" s="1" t="str">
        <f aca="false">IF(C3478="","",INDEX(Akaun!$D$5:$D$150,MATCH(C3478,Akaun!$A$5:$A$150,0)))</f>
        <v/>
      </c>
    </row>
    <row r="3479" customFormat="false" ht="15" hidden="false" customHeight="true" outlineLevel="0" collapsed="false">
      <c r="G3479" s="1" t="str">
        <f aca="false">IF(C3479="","",INDEX(Akaun!$F$5:$F$150,MATCH(C3479,Akaun!$A$5:$A$150,0)))</f>
        <v/>
      </c>
      <c r="H3479" s="1" t="str">
        <f aca="false">IF(C3479="","",INDEX(Akaun!$D$5:$D$150,MATCH(C3479,Akaun!$A$5:$A$150,0)))</f>
        <v/>
      </c>
    </row>
    <row r="3480" customFormat="false" ht="15" hidden="false" customHeight="true" outlineLevel="0" collapsed="false">
      <c r="G3480" s="1" t="str">
        <f aca="false">IF(C3480="","",INDEX(Akaun!$F$5:$F$150,MATCH(C3480,Akaun!$A$5:$A$150,0)))</f>
        <v/>
      </c>
      <c r="H3480" s="1" t="str">
        <f aca="false">IF(C3480="","",INDEX(Akaun!$D$5:$D$150,MATCH(C3480,Akaun!$A$5:$A$150,0)))</f>
        <v/>
      </c>
    </row>
    <row r="3481" customFormat="false" ht="15" hidden="false" customHeight="true" outlineLevel="0" collapsed="false">
      <c r="G3481" s="1" t="str">
        <f aca="false">IF(C3481="","",INDEX(Akaun!$F$5:$F$150,MATCH(C3481,Akaun!$A$5:$A$150,0)))</f>
        <v/>
      </c>
      <c r="H3481" s="1" t="str">
        <f aca="false">IF(C3481="","",INDEX(Akaun!$D$5:$D$150,MATCH(C3481,Akaun!$A$5:$A$150,0)))</f>
        <v/>
      </c>
    </row>
    <row r="3482" customFormat="false" ht="15" hidden="false" customHeight="true" outlineLevel="0" collapsed="false">
      <c r="G3482" s="1" t="str">
        <f aca="false">IF(C3482="","",INDEX(Akaun!$F$5:$F$150,MATCH(C3482,Akaun!$A$5:$A$150,0)))</f>
        <v/>
      </c>
      <c r="H3482" s="1" t="str">
        <f aca="false">IF(C3482="","",INDEX(Akaun!$D$5:$D$150,MATCH(C3482,Akaun!$A$5:$A$150,0)))</f>
        <v/>
      </c>
    </row>
    <row r="3483" customFormat="false" ht="15" hidden="false" customHeight="true" outlineLevel="0" collapsed="false">
      <c r="G3483" s="1" t="str">
        <f aca="false">IF(C3483="","",INDEX(Akaun!$F$5:$F$150,MATCH(C3483,Akaun!$A$5:$A$150,0)))</f>
        <v/>
      </c>
      <c r="H3483" s="1" t="str">
        <f aca="false">IF(C3483="","",INDEX(Akaun!$D$5:$D$150,MATCH(C3483,Akaun!$A$5:$A$150,0)))</f>
        <v/>
      </c>
    </row>
    <row r="3484" customFormat="false" ht="15" hidden="false" customHeight="true" outlineLevel="0" collapsed="false">
      <c r="G3484" s="1" t="str">
        <f aca="false">IF(C3484="","",INDEX(Akaun!$F$5:$F$150,MATCH(C3484,Akaun!$A$5:$A$150,0)))</f>
        <v/>
      </c>
      <c r="H3484" s="1" t="str">
        <f aca="false">IF(C3484="","",INDEX(Akaun!$D$5:$D$150,MATCH(C3484,Akaun!$A$5:$A$150,0)))</f>
        <v/>
      </c>
    </row>
    <row r="3485" customFormat="false" ht="15" hidden="false" customHeight="true" outlineLevel="0" collapsed="false">
      <c r="G3485" s="1" t="str">
        <f aca="false">IF(C3485="","",INDEX(Akaun!$F$5:$F$150,MATCH(C3485,Akaun!$A$5:$A$150,0)))</f>
        <v/>
      </c>
      <c r="H3485" s="1" t="str">
        <f aca="false">IF(C3485="","",INDEX(Akaun!$D$5:$D$150,MATCH(C3485,Akaun!$A$5:$A$150,0)))</f>
        <v/>
      </c>
    </row>
    <row r="3486" customFormat="false" ht="15" hidden="false" customHeight="true" outlineLevel="0" collapsed="false">
      <c r="G3486" s="1" t="str">
        <f aca="false">IF(C3486="","",INDEX(Akaun!$F$5:$F$150,MATCH(C3486,Akaun!$A$5:$A$150,0)))</f>
        <v/>
      </c>
      <c r="H3486" s="1" t="str">
        <f aca="false">IF(C3486="","",INDEX(Akaun!$D$5:$D$150,MATCH(C3486,Akaun!$A$5:$A$150,0)))</f>
        <v/>
      </c>
    </row>
    <row r="3487" customFormat="false" ht="15" hidden="false" customHeight="true" outlineLevel="0" collapsed="false">
      <c r="G3487" s="1" t="str">
        <f aca="false">IF(C3487="","",INDEX(Akaun!$F$5:$F$150,MATCH(C3487,Akaun!$A$5:$A$150,0)))</f>
        <v/>
      </c>
      <c r="H3487" s="1" t="str">
        <f aca="false">IF(C3487="","",INDEX(Akaun!$D$5:$D$150,MATCH(C3487,Akaun!$A$5:$A$150,0)))</f>
        <v/>
      </c>
    </row>
    <row r="3488" customFormat="false" ht="15" hidden="false" customHeight="true" outlineLevel="0" collapsed="false">
      <c r="G3488" s="1" t="str">
        <f aca="false">IF(C3488="","",INDEX(Akaun!$F$5:$F$150,MATCH(C3488,Akaun!$A$5:$A$150,0)))</f>
        <v/>
      </c>
      <c r="H3488" s="1" t="str">
        <f aca="false">IF(C3488="","",INDEX(Akaun!$D$5:$D$150,MATCH(C3488,Akaun!$A$5:$A$150,0)))</f>
        <v/>
      </c>
    </row>
    <row r="3489" customFormat="false" ht="15" hidden="false" customHeight="true" outlineLevel="0" collapsed="false">
      <c r="G3489" s="1" t="str">
        <f aca="false">IF(C3489="","",INDEX(Akaun!$F$5:$F$150,MATCH(C3489,Akaun!$A$5:$A$150,0)))</f>
        <v/>
      </c>
      <c r="H3489" s="1" t="str">
        <f aca="false">IF(C3489="","",INDEX(Akaun!$D$5:$D$150,MATCH(C3489,Akaun!$A$5:$A$150,0)))</f>
        <v/>
      </c>
    </row>
    <row r="3490" customFormat="false" ht="15" hidden="false" customHeight="true" outlineLevel="0" collapsed="false">
      <c r="G3490" s="1" t="str">
        <f aca="false">IF(C3490="","",INDEX(Akaun!$F$5:$F$150,MATCH(C3490,Akaun!$A$5:$A$150,0)))</f>
        <v/>
      </c>
      <c r="H3490" s="1" t="str">
        <f aca="false">IF(C3490="","",INDEX(Akaun!$D$5:$D$150,MATCH(C3490,Akaun!$A$5:$A$150,0)))</f>
        <v/>
      </c>
    </row>
    <row r="3491" customFormat="false" ht="15" hidden="false" customHeight="true" outlineLevel="0" collapsed="false">
      <c r="G3491" s="1" t="str">
        <f aca="false">IF(C3491="","",INDEX(Akaun!$F$5:$F$150,MATCH(C3491,Akaun!$A$5:$A$150,0)))</f>
        <v/>
      </c>
      <c r="H3491" s="1" t="str">
        <f aca="false">IF(C3491="","",INDEX(Akaun!$D$5:$D$150,MATCH(C3491,Akaun!$A$5:$A$150,0)))</f>
        <v/>
      </c>
    </row>
    <row r="3492" customFormat="false" ht="15" hidden="false" customHeight="true" outlineLevel="0" collapsed="false">
      <c r="G3492" s="1" t="str">
        <f aca="false">IF(C3492="","",INDEX(Akaun!$F$5:$F$150,MATCH(C3492,Akaun!$A$5:$A$150,0)))</f>
        <v/>
      </c>
      <c r="H3492" s="1" t="str">
        <f aca="false">IF(C3492="","",INDEX(Akaun!$D$5:$D$150,MATCH(C3492,Akaun!$A$5:$A$150,0)))</f>
        <v/>
      </c>
    </row>
    <row r="3493" customFormat="false" ht="15" hidden="false" customHeight="true" outlineLevel="0" collapsed="false">
      <c r="G3493" s="1" t="str">
        <f aca="false">IF(C3493="","",INDEX(Akaun!$F$5:$F$150,MATCH(C3493,Akaun!$A$5:$A$150,0)))</f>
        <v/>
      </c>
      <c r="H3493" s="1" t="str">
        <f aca="false">IF(C3493="","",INDEX(Akaun!$D$5:$D$150,MATCH(C3493,Akaun!$A$5:$A$150,0)))</f>
        <v/>
      </c>
    </row>
    <row r="3494" customFormat="false" ht="15" hidden="false" customHeight="true" outlineLevel="0" collapsed="false">
      <c r="G3494" s="1" t="str">
        <f aca="false">IF(C3494="","",INDEX(Akaun!$F$5:$F$150,MATCH(C3494,Akaun!$A$5:$A$150,0)))</f>
        <v/>
      </c>
      <c r="H3494" s="1" t="str">
        <f aca="false">IF(C3494="","",INDEX(Akaun!$D$5:$D$150,MATCH(C3494,Akaun!$A$5:$A$150,0)))</f>
        <v/>
      </c>
    </row>
    <row r="3495" customFormat="false" ht="15" hidden="false" customHeight="true" outlineLevel="0" collapsed="false">
      <c r="G3495" s="1" t="str">
        <f aca="false">IF(C3495="","",INDEX(Akaun!$F$5:$F$150,MATCH(C3495,Akaun!$A$5:$A$150,0)))</f>
        <v/>
      </c>
      <c r="H3495" s="1" t="str">
        <f aca="false">IF(C3495="","",INDEX(Akaun!$D$5:$D$150,MATCH(C3495,Akaun!$A$5:$A$150,0)))</f>
        <v/>
      </c>
    </row>
    <row r="3496" customFormat="false" ht="15" hidden="false" customHeight="true" outlineLevel="0" collapsed="false">
      <c r="G3496" s="1" t="str">
        <f aca="false">IF(C3496="","",INDEX(Akaun!$F$5:$F$150,MATCH(C3496,Akaun!$A$5:$A$150,0)))</f>
        <v/>
      </c>
      <c r="H3496" s="1" t="str">
        <f aca="false">IF(C3496="","",INDEX(Akaun!$D$5:$D$150,MATCH(C3496,Akaun!$A$5:$A$150,0)))</f>
        <v/>
      </c>
    </row>
    <row r="3497" customFormat="false" ht="15" hidden="false" customHeight="true" outlineLevel="0" collapsed="false">
      <c r="G3497" s="1" t="str">
        <f aca="false">IF(C3497="","",INDEX(Akaun!$F$5:$F$150,MATCH(C3497,Akaun!$A$5:$A$150,0)))</f>
        <v/>
      </c>
      <c r="H3497" s="1" t="str">
        <f aca="false">IF(C3497="","",INDEX(Akaun!$D$5:$D$150,MATCH(C3497,Akaun!$A$5:$A$150,0)))</f>
        <v/>
      </c>
    </row>
    <row r="3498" customFormat="false" ht="15" hidden="false" customHeight="true" outlineLevel="0" collapsed="false">
      <c r="G3498" s="1" t="str">
        <f aca="false">IF(C3498="","",INDEX(Akaun!$F$5:$F$150,MATCH(C3498,Akaun!$A$5:$A$150,0)))</f>
        <v/>
      </c>
      <c r="H3498" s="1" t="str">
        <f aca="false">IF(C3498="","",INDEX(Akaun!$D$5:$D$150,MATCH(C3498,Akaun!$A$5:$A$150,0)))</f>
        <v/>
      </c>
    </row>
    <row r="3499" customFormat="false" ht="15" hidden="false" customHeight="true" outlineLevel="0" collapsed="false">
      <c r="G3499" s="1" t="str">
        <f aca="false">IF(C3499="","",INDEX(Akaun!$F$5:$F$150,MATCH(C3499,Akaun!$A$5:$A$150,0)))</f>
        <v/>
      </c>
      <c r="H3499" s="1" t="str">
        <f aca="false">IF(C3499="","",INDEX(Akaun!$D$5:$D$150,MATCH(C3499,Akaun!$A$5:$A$150,0)))</f>
        <v/>
      </c>
    </row>
    <row r="3500" customFormat="false" ht="15" hidden="false" customHeight="true" outlineLevel="0" collapsed="false">
      <c r="G3500" s="1" t="str">
        <f aca="false">IF(C3500="","",INDEX(Akaun!$F$5:$F$150,MATCH(C3500,Akaun!$A$5:$A$150,0)))</f>
        <v/>
      </c>
      <c r="H3500" s="1" t="str">
        <f aca="false">IF(C3500="","",INDEX(Akaun!$D$5:$D$150,MATCH(C3500,Akaun!$A$5:$A$150,0)))</f>
        <v/>
      </c>
    </row>
    <row r="3501" customFormat="false" ht="15" hidden="false" customHeight="true" outlineLevel="0" collapsed="false">
      <c r="G3501" s="1" t="str">
        <f aca="false">IF(C3501="","",INDEX(Akaun!$F$5:$F$150,MATCH(C3501,Akaun!$A$5:$A$150,0)))</f>
        <v/>
      </c>
      <c r="H3501" s="1" t="str">
        <f aca="false">IF(C3501="","",INDEX(Akaun!$D$5:$D$150,MATCH(C3501,Akaun!$A$5:$A$150,0)))</f>
        <v/>
      </c>
    </row>
    <row r="3502" customFormat="false" ht="15" hidden="false" customHeight="true" outlineLevel="0" collapsed="false">
      <c r="G3502" s="1" t="str">
        <f aca="false">IF(C3502="","",INDEX(Akaun!$F$5:$F$150,MATCH(C3502,Akaun!$A$5:$A$150,0)))</f>
        <v/>
      </c>
      <c r="H3502" s="1" t="str">
        <f aca="false">IF(C3502="","",INDEX(Akaun!$D$5:$D$150,MATCH(C3502,Akaun!$A$5:$A$150,0)))</f>
        <v/>
      </c>
    </row>
    <row r="3503" customFormat="false" ht="15" hidden="false" customHeight="true" outlineLevel="0" collapsed="false">
      <c r="G3503" s="1" t="str">
        <f aca="false">IF(C3503="","",INDEX(Akaun!$F$5:$F$150,MATCH(C3503,Akaun!$A$5:$A$150,0)))</f>
        <v/>
      </c>
      <c r="H3503" s="1" t="str">
        <f aca="false">IF(C3503="","",INDEX(Akaun!$D$5:$D$150,MATCH(C3503,Akaun!$A$5:$A$150,0)))</f>
        <v/>
      </c>
    </row>
    <row r="3504" customFormat="false" ht="15" hidden="false" customHeight="true" outlineLevel="0" collapsed="false">
      <c r="G3504" s="1" t="str">
        <f aca="false">IF(C3504="","",INDEX(Akaun!$F$5:$F$150,MATCH(C3504,Akaun!$A$5:$A$150,0)))</f>
        <v/>
      </c>
      <c r="H3504" s="1" t="str">
        <f aca="false">IF(C3504="","",INDEX(Akaun!$D$5:$D$150,MATCH(C3504,Akaun!$A$5:$A$150,0)))</f>
        <v/>
      </c>
    </row>
    <row r="3505" customFormat="false" ht="15" hidden="false" customHeight="true" outlineLevel="0" collapsed="false">
      <c r="G3505" s="1" t="str">
        <f aca="false">IF(C3505="","",INDEX(Akaun!$F$5:$F$150,MATCH(C3505,Akaun!$A$5:$A$150,0)))</f>
        <v/>
      </c>
      <c r="H3505" s="1" t="str">
        <f aca="false">IF(C3505="","",INDEX(Akaun!$D$5:$D$150,MATCH(C3505,Akaun!$A$5:$A$150,0)))</f>
        <v/>
      </c>
    </row>
    <row r="3506" customFormat="false" ht="15" hidden="false" customHeight="true" outlineLevel="0" collapsed="false">
      <c r="G3506" s="1" t="str">
        <f aca="false">IF(C3506="","",INDEX(Akaun!$F$5:$F$150,MATCH(C3506,Akaun!$A$5:$A$150,0)))</f>
        <v/>
      </c>
      <c r="H3506" s="1" t="str">
        <f aca="false">IF(C3506="","",INDEX(Akaun!$D$5:$D$150,MATCH(C3506,Akaun!$A$5:$A$150,0)))</f>
        <v/>
      </c>
    </row>
    <row r="3507" customFormat="false" ht="15" hidden="false" customHeight="true" outlineLevel="0" collapsed="false">
      <c r="G3507" s="1" t="str">
        <f aca="false">IF(C3507="","",INDEX(Akaun!$F$5:$F$150,MATCH(C3507,Akaun!$A$5:$A$150,0)))</f>
        <v/>
      </c>
      <c r="H3507" s="1" t="str">
        <f aca="false">IF(C3507="","",INDEX(Akaun!$D$5:$D$150,MATCH(C3507,Akaun!$A$5:$A$150,0)))</f>
        <v/>
      </c>
    </row>
    <row r="3508" customFormat="false" ht="15" hidden="false" customHeight="true" outlineLevel="0" collapsed="false">
      <c r="G3508" s="1" t="str">
        <f aca="false">IF(C3508="","",INDEX(Akaun!$F$5:$F$150,MATCH(C3508,Akaun!$A$5:$A$150,0)))</f>
        <v/>
      </c>
      <c r="H3508" s="1" t="str">
        <f aca="false">IF(C3508="","",INDEX(Akaun!$D$5:$D$150,MATCH(C3508,Akaun!$A$5:$A$150,0)))</f>
        <v/>
      </c>
    </row>
    <row r="3509" customFormat="false" ht="15" hidden="false" customHeight="true" outlineLevel="0" collapsed="false">
      <c r="G3509" s="1" t="str">
        <f aca="false">IF(C3509="","",INDEX(Akaun!$F$5:$F$150,MATCH(C3509,Akaun!$A$5:$A$150,0)))</f>
        <v/>
      </c>
      <c r="H3509" s="1" t="str">
        <f aca="false">IF(C3509="","",INDEX(Akaun!$D$5:$D$150,MATCH(C3509,Akaun!$A$5:$A$150,0)))</f>
        <v/>
      </c>
    </row>
    <row r="3510" customFormat="false" ht="15" hidden="false" customHeight="true" outlineLevel="0" collapsed="false">
      <c r="G3510" s="1" t="str">
        <f aca="false">IF(C3510="","",INDEX(Akaun!$F$5:$F$150,MATCH(C3510,Akaun!$A$5:$A$150,0)))</f>
        <v/>
      </c>
      <c r="H3510" s="1" t="str">
        <f aca="false">IF(C3510="","",INDEX(Akaun!$D$5:$D$150,MATCH(C3510,Akaun!$A$5:$A$150,0)))</f>
        <v/>
      </c>
    </row>
    <row r="3511" customFormat="false" ht="15" hidden="false" customHeight="true" outlineLevel="0" collapsed="false">
      <c r="G3511" s="1" t="str">
        <f aca="false">IF(C3511="","",INDEX(Akaun!$F$5:$F$150,MATCH(C3511,Akaun!$A$5:$A$150,0)))</f>
        <v/>
      </c>
      <c r="H3511" s="1" t="str">
        <f aca="false">IF(C3511="","",INDEX(Akaun!$D$5:$D$150,MATCH(C3511,Akaun!$A$5:$A$150,0)))</f>
        <v/>
      </c>
    </row>
    <row r="3512" customFormat="false" ht="15" hidden="false" customHeight="true" outlineLevel="0" collapsed="false">
      <c r="G3512" s="1" t="str">
        <f aca="false">IF(C3512="","",INDEX(Akaun!$F$5:$F$150,MATCH(C3512,Akaun!$A$5:$A$150,0)))</f>
        <v/>
      </c>
      <c r="H3512" s="1" t="str">
        <f aca="false">IF(C3512="","",INDEX(Akaun!$D$5:$D$150,MATCH(C3512,Akaun!$A$5:$A$150,0)))</f>
        <v/>
      </c>
    </row>
    <row r="3513" customFormat="false" ht="15" hidden="false" customHeight="true" outlineLevel="0" collapsed="false">
      <c r="G3513" s="1" t="str">
        <f aca="false">IF(C3513="","",INDEX(Akaun!$F$5:$F$150,MATCH(C3513,Akaun!$A$5:$A$150,0)))</f>
        <v/>
      </c>
      <c r="H3513" s="1" t="str">
        <f aca="false">IF(C3513="","",INDEX(Akaun!$D$5:$D$150,MATCH(C3513,Akaun!$A$5:$A$150,0)))</f>
        <v/>
      </c>
    </row>
    <row r="3514" customFormat="false" ht="15" hidden="false" customHeight="true" outlineLevel="0" collapsed="false">
      <c r="G3514" s="1" t="str">
        <f aca="false">IF(C3514="","",INDEX(Akaun!$F$5:$F$150,MATCH(C3514,Akaun!$A$5:$A$150,0)))</f>
        <v/>
      </c>
      <c r="H3514" s="1" t="str">
        <f aca="false">IF(C3514="","",INDEX(Akaun!$D$5:$D$150,MATCH(C3514,Akaun!$A$5:$A$150,0)))</f>
        <v/>
      </c>
    </row>
    <row r="3515" customFormat="false" ht="15" hidden="false" customHeight="true" outlineLevel="0" collapsed="false">
      <c r="G3515" s="1" t="str">
        <f aca="false">IF(C3515="","",INDEX(Akaun!$F$5:$F$150,MATCH(C3515,Akaun!$A$5:$A$150,0)))</f>
        <v/>
      </c>
      <c r="H3515" s="1" t="str">
        <f aca="false">IF(C3515="","",INDEX(Akaun!$D$5:$D$150,MATCH(C3515,Akaun!$A$5:$A$150,0)))</f>
        <v/>
      </c>
    </row>
    <row r="3516" customFormat="false" ht="15" hidden="false" customHeight="true" outlineLevel="0" collapsed="false">
      <c r="G3516" s="1" t="str">
        <f aca="false">IF(C3516="","",INDEX(Akaun!$F$5:$F$150,MATCH(C3516,Akaun!$A$5:$A$150,0)))</f>
        <v/>
      </c>
      <c r="H3516" s="1" t="str">
        <f aca="false">IF(C3516="","",INDEX(Akaun!$D$5:$D$150,MATCH(C3516,Akaun!$A$5:$A$150,0)))</f>
        <v/>
      </c>
    </row>
    <row r="3517" customFormat="false" ht="15" hidden="false" customHeight="true" outlineLevel="0" collapsed="false">
      <c r="G3517" s="1" t="str">
        <f aca="false">IF(C3517="","",INDEX(Akaun!$F$5:$F$150,MATCH(C3517,Akaun!$A$5:$A$150,0)))</f>
        <v/>
      </c>
      <c r="H3517" s="1" t="str">
        <f aca="false">IF(C3517="","",INDEX(Akaun!$D$5:$D$150,MATCH(C3517,Akaun!$A$5:$A$150,0)))</f>
        <v/>
      </c>
    </row>
    <row r="3518" customFormat="false" ht="15" hidden="false" customHeight="true" outlineLevel="0" collapsed="false">
      <c r="G3518" s="1" t="str">
        <f aca="false">IF(C3518="","",INDEX(Akaun!$F$5:$F$150,MATCH(C3518,Akaun!$A$5:$A$150,0)))</f>
        <v/>
      </c>
      <c r="H3518" s="1" t="str">
        <f aca="false">IF(C3518="","",INDEX(Akaun!$D$5:$D$150,MATCH(C3518,Akaun!$A$5:$A$150,0)))</f>
        <v/>
      </c>
    </row>
    <row r="3519" customFormat="false" ht="15" hidden="false" customHeight="true" outlineLevel="0" collapsed="false">
      <c r="G3519" s="1" t="str">
        <f aca="false">IF(C3519="","",INDEX(Akaun!$F$5:$F$150,MATCH(C3519,Akaun!$A$5:$A$150,0)))</f>
        <v/>
      </c>
      <c r="H3519" s="1" t="str">
        <f aca="false">IF(C3519="","",INDEX(Akaun!$D$5:$D$150,MATCH(C3519,Akaun!$A$5:$A$150,0)))</f>
        <v/>
      </c>
    </row>
    <row r="3520" customFormat="false" ht="15" hidden="false" customHeight="true" outlineLevel="0" collapsed="false">
      <c r="G3520" s="1" t="str">
        <f aca="false">IF(C3520="","",INDEX(Akaun!$F$5:$F$150,MATCH(C3520,Akaun!$A$5:$A$150,0)))</f>
        <v/>
      </c>
      <c r="H3520" s="1" t="str">
        <f aca="false">IF(C3520="","",INDEX(Akaun!$D$5:$D$150,MATCH(C3520,Akaun!$A$5:$A$150,0)))</f>
        <v/>
      </c>
    </row>
    <row r="3521" customFormat="false" ht="15" hidden="false" customHeight="true" outlineLevel="0" collapsed="false">
      <c r="G3521" s="1" t="str">
        <f aca="false">IF(C3521="","",INDEX(Akaun!$F$5:$F$150,MATCH(C3521,Akaun!$A$5:$A$150,0)))</f>
        <v/>
      </c>
      <c r="H3521" s="1" t="str">
        <f aca="false">IF(C3521="","",INDEX(Akaun!$D$5:$D$150,MATCH(C3521,Akaun!$A$5:$A$150,0)))</f>
        <v/>
      </c>
    </row>
    <row r="3522" customFormat="false" ht="15" hidden="false" customHeight="true" outlineLevel="0" collapsed="false">
      <c r="G3522" s="1" t="str">
        <f aca="false">IF(C3522="","",INDEX(Akaun!$F$5:$F$150,MATCH(C3522,Akaun!$A$5:$A$150,0)))</f>
        <v/>
      </c>
      <c r="H3522" s="1" t="str">
        <f aca="false">IF(C3522="","",INDEX(Akaun!$D$5:$D$150,MATCH(C3522,Akaun!$A$5:$A$150,0)))</f>
        <v/>
      </c>
    </row>
    <row r="3523" customFormat="false" ht="15" hidden="false" customHeight="true" outlineLevel="0" collapsed="false">
      <c r="G3523" s="1" t="str">
        <f aca="false">IF(C3523="","",INDEX(Akaun!$F$5:$F$150,MATCH(C3523,Akaun!$A$5:$A$150,0)))</f>
        <v/>
      </c>
      <c r="H3523" s="1" t="str">
        <f aca="false">IF(C3523="","",INDEX(Akaun!$D$5:$D$150,MATCH(C3523,Akaun!$A$5:$A$150,0)))</f>
        <v/>
      </c>
    </row>
    <row r="3524" customFormat="false" ht="15" hidden="false" customHeight="true" outlineLevel="0" collapsed="false">
      <c r="G3524" s="1" t="str">
        <f aca="false">IF(C3524="","",INDEX(Akaun!$F$5:$F$150,MATCH(C3524,Akaun!$A$5:$A$150,0)))</f>
        <v/>
      </c>
      <c r="H3524" s="1" t="str">
        <f aca="false">IF(C3524="","",INDEX(Akaun!$D$5:$D$150,MATCH(C3524,Akaun!$A$5:$A$150,0)))</f>
        <v/>
      </c>
    </row>
    <row r="3525" customFormat="false" ht="15" hidden="false" customHeight="true" outlineLevel="0" collapsed="false">
      <c r="G3525" s="1" t="str">
        <f aca="false">IF(C3525="","",INDEX(Akaun!$F$5:$F$150,MATCH(C3525,Akaun!$A$5:$A$150,0)))</f>
        <v/>
      </c>
      <c r="H3525" s="1" t="str">
        <f aca="false">IF(C3525="","",INDEX(Akaun!$D$5:$D$150,MATCH(C3525,Akaun!$A$5:$A$150,0)))</f>
        <v/>
      </c>
    </row>
    <row r="3526" customFormat="false" ht="15" hidden="false" customHeight="true" outlineLevel="0" collapsed="false">
      <c r="G3526" s="1" t="str">
        <f aca="false">IF(C3526="","",INDEX(Akaun!$F$5:$F$150,MATCH(C3526,Akaun!$A$5:$A$150,0)))</f>
        <v/>
      </c>
      <c r="H3526" s="1" t="str">
        <f aca="false">IF(C3526="","",INDEX(Akaun!$D$5:$D$150,MATCH(C3526,Akaun!$A$5:$A$150,0)))</f>
        <v/>
      </c>
    </row>
    <row r="3527" customFormat="false" ht="15" hidden="false" customHeight="true" outlineLevel="0" collapsed="false">
      <c r="G3527" s="1" t="str">
        <f aca="false">IF(C3527="","",INDEX(Akaun!$F$5:$F$150,MATCH(C3527,Akaun!$A$5:$A$150,0)))</f>
        <v/>
      </c>
      <c r="H3527" s="1" t="str">
        <f aca="false">IF(C3527="","",INDEX(Akaun!$D$5:$D$150,MATCH(C3527,Akaun!$A$5:$A$150,0)))</f>
        <v/>
      </c>
    </row>
    <row r="3528" customFormat="false" ht="15" hidden="false" customHeight="true" outlineLevel="0" collapsed="false">
      <c r="G3528" s="1" t="str">
        <f aca="false">IF(C3528="","",INDEX(Akaun!$F$5:$F$150,MATCH(C3528,Akaun!$A$5:$A$150,0)))</f>
        <v/>
      </c>
      <c r="H3528" s="1" t="str">
        <f aca="false">IF(C3528="","",INDEX(Akaun!$D$5:$D$150,MATCH(C3528,Akaun!$A$5:$A$150,0)))</f>
        <v/>
      </c>
    </row>
    <row r="3529" customFormat="false" ht="15" hidden="false" customHeight="true" outlineLevel="0" collapsed="false">
      <c r="G3529" s="1" t="str">
        <f aca="false">IF(C3529="","",INDEX(Akaun!$F$5:$F$150,MATCH(C3529,Akaun!$A$5:$A$150,0)))</f>
        <v/>
      </c>
      <c r="H3529" s="1" t="str">
        <f aca="false">IF(C3529="","",INDEX(Akaun!$D$5:$D$150,MATCH(C3529,Akaun!$A$5:$A$150,0)))</f>
        <v/>
      </c>
    </row>
    <row r="3530" customFormat="false" ht="15" hidden="false" customHeight="true" outlineLevel="0" collapsed="false">
      <c r="G3530" s="1" t="str">
        <f aca="false">IF(C3530="","",INDEX(Akaun!$F$5:$F$150,MATCH(C3530,Akaun!$A$5:$A$150,0)))</f>
        <v/>
      </c>
      <c r="H3530" s="1" t="str">
        <f aca="false">IF(C3530="","",INDEX(Akaun!$D$5:$D$150,MATCH(C3530,Akaun!$A$5:$A$150,0)))</f>
        <v/>
      </c>
    </row>
    <row r="3531" customFormat="false" ht="15" hidden="false" customHeight="true" outlineLevel="0" collapsed="false">
      <c r="G3531" s="1" t="str">
        <f aca="false">IF(C3531="","",INDEX(Akaun!$F$5:$F$150,MATCH(C3531,Akaun!$A$5:$A$150,0)))</f>
        <v/>
      </c>
      <c r="H3531" s="1" t="str">
        <f aca="false">IF(C3531="","",INDEX(Akaun!$D$5:$D$150,MATCH(C3531,Akaun!$A$5:$A$150,0)))</f>
        <v/>
      </c>
    </row>
    <row r="3532" customFormat="false" ht="15" hidden="false" customHeight="true" outlineLevel="0" collapsed="false">
      <c r="G3532" s="1" t="str">
        <f aca="false">IF(C3532="","",INDEX(Akaun!$F$5:$F$150,MATCH(C3532,Akaun!$A$5:$A$150,0)))</f>
        <v/>
      </c>
      <c r="H3532" s="1" t="str">
        <f aca="false">IF(C3532="","",INDEX(Akaun!$D$5:$D$150,MATCH(C3532,Akaun!$A$5:$A$150,0)))</f>
        <v/>
      </c>
    </row>
    <row r="3533" customFormat="false" ht="15" hidden="false" customHeight="true" outlineLevel="0" collapsed="false">
      <c r="G3533" s="1" t="str">
        <f aca="false">IF(C3533="","",INDEX(Akaun!$F$5:$F$150,MATCH(C3533,Akaun!$A$5:$A$150,0)))</f>
        <v/>
      </c>
      <c r="H3533" s="1" t="str">
        <f aca="false">IF(C3533="","",INDEX(Akaun!$D$5:$D$150,MATCH(C3533,Akaun!$A$5:$A$150,0)))</f>
        <v/>
      </c>
    </row>
    <row r="3534" customFormat="false" ht="15" hidden="false" customHeight="true" outlineLevel="0" collapsed="false">
      <c r="G3534" s="1" t="str">
        <f aca="false">IF(C3534="","",INDEX(Akaun!$F$5:$F$150,MATCH(C3534,Akaun!$A$5:$A$150,0)))</f>
        <v/>
      </c>
      <c r="H3534" s="1" t="str">
        <f aca="false">IF(C3534="","",INDEX(Akaun!$D$5:$D$150,MATCH(C3534,Akaun!$A$5:$A$150,0)))</f>
        <v/>
      </c>
    </row>
    <row r="3535" customFormat="false" ht="15" hidden="false" customHeight="true" outlineLevel="0" collapsed="false">
      <c r="G3535" s="1" t="str">
        <f aca="false">IF(C3535="","",INDEX(Akaun!$F$5:$F$150,MATCH(C3535,Akaun!$A$5:$A$150,0)))</f>
        <v/>
      </c>
      <c r="H3535" s="1" t="str">
        <f aca="false">IF(C3535="","",INDEX(Akaun!$D$5:$D$150,MATCH(C3535,Akaun!$A$5:$A$150,0)))</f>
        <v/>
      </c>
    </row>
    <row r="3536" customFormat="false" ht="15" hidden="false" customHeight="true" outlineLevel="0" collapsed="false">
      <c r="G3536" s="1" t="str">
        <f aca="false">IF(C3536="","",INDEX(Akaun!$F$5:$F$150,MATCH(C3536,Akaun!$A$5:$A$150,0)))</f>
        <v/>
      </c>
      <c r="H3536" s="1" t="str">
        <f aca="false">IF(C3536="","",INDEX(Akaun!$D$5:$D$150,MATCH(C3536,Akaun!$A$5:$A$150,0)))</f>
        <v/>
      </c>
    </row>
    <row r="3537" customFormat="false" ht="15" hidden="false" customHeight="true" outlineLevel="0" collapsed="false">
      <c r="G3537" s="1" t="str">
        <f aca="false">IF(C3537="","",INDEX(Akaun!$F$5:$F$150,MATCH(C3537,Akaun!$A$5:$A$150,0)))</f>
        <v/>
      </c>
      <c r="H3537" s="1" t="str">
        <f aca="false">IF(C3537="","",INDEX(Akaun!$D$5:$D$150,MATCH(C3537,Akaun!$A$5:$A$150,0)))</f>
        <v/>
      </c>
    </row>
    <row r="3538" customFormat="false" ht="15" hidden="false" customHeight="true" outlineLevel="0" collapsed="false">
      <c r="G3538" s="1" t="str">
        <f aca="false">IF(C3538="","",INDEX(Akaun!$F$5:$F$150,MATCH(C3538,Akaun!$A$5:$A$150,0)))</f>
        <v/>
      </c>
      <c r="H3538" s="1" t="str">
        <f aca="false">IF(C3538="","",INDEX(Akaun!$D$5:$D$150,MATCH(C3538,Akaun!$A$5:$A$150,0)))</f>
        <v/>
      </c>
    </row>
    <row r="3539" customFormat="false" ht="15" hidden="false" customHeight="true" outlineLevel="0" collapsed="false">
      <c r="G3539" s="1" t="str">
        <f aca="false">IF(C3539="","",INDEX(Akaun!$F$5:$F$150,MATCH(C3539,Akaun!$A$5:$A$150,0)))</f>
        <v/>
      </c>
      <c r="H3539" s="1" t="str">
        <f aca="false">IF(C3539="","",INDEX(Akaun!$D$5:$D$150,MATCH(C3539,Akaun!$A$5:$A$150,0)))</f>
        <v/>
      </c>
    </row>
    <row r="3540" customFormat="false" ht="15" hidden="false" customHeight="true" outlineLevel="0" collapsed="false">
      <c r="G3540" s="1" t="str">
        <f aca="false">IF(C3540="","",INDEX(Akaun!$F$5:$F$150,MATCH(C3540,Akaun!$A$5:$A$150,0)))</f>
        <v/>
      </c>
      <c r="H3540" s="1" t="str">
        <f aca="false">IF(C3540="","",INDEX(Akaun!$D$5:$D$150,MATCH(C3540,Akaun!$A$5:$A$150,0)))</f>
        <v/>
      </c>
    </row>
    <row r="3541" customFormat="false" ht="15" hidden="false" customHeight="true" outlineLevel="0" collapsed="false">
      <c r="G3541" s="1" t="str">
        <f aca="false">IF(C3541="","",INDEX(Akaun!$F$5:$F$150,MATCH(C3541,Akaun!$A$5:$A$150,0)))</f>
        <v/>
      </c>
      <c r="H3541" s="1" t="str">
        <f aca="false">IF(C3541="","",INDEX(Akaun!$D$5:$D$150,MATCH(C3541,Akaun!$A$5:$A$150,0)))</f>
        <v/>
      </c>
    </row>
    <row r="3542" customFormat="false" ht="15" hidden="false" customHeight="true" outlineLevel="0" collapsed="false">
      <c r="G3542" s="1" t="str">
        <f aca="false">IF(C3542="","",INDEX(Akaun!$F$5:$F$150,MATCH(C3542,Akaun!$A$5:$A$150,0)))</f>
        <v/>
      </c>
      <c r="H3542" s="1" t="str">
        <f aca="false">IF(C3542="","",INDEX(Akaun!$D$5:$D$150,MATCH(C3542,Akaun!$A$5:$A$150,0)))</f>
        <v/>
      </c>
    </row>
    <row r="3543" customFormat="false" ht="15" hidden="false" customHeight="true" outlineLevel="0" collapsed="false">
      <c r="G3543" s="1" t="str">
        <f aca="false">IF(C3543="","",INDEX(Akaun!$F$5:$F$150,MATCH(C3543,Akaun!$A$5:$A$150,0)))</f>
        <v/>
      </c>
      <c r="H3543" s="1" t="str">
        <f aca="false">IF(C3543="","",INDEX(Akaun!$D$5:$D$150,MATCH(C3543,Akaun!$A$5:$A$150,0)))</f>
        <v/>
      </c>
    </row>
    <row r="3544" customFormat="false" ht="15" hidden="false" customHeight="true" outlineLevel="0" collapsed="false">
      <c r="G3544" s="1" t="str">
        <f aca="false">IF(C3544="","",INDEX(Akaun!$F$5:$F$150,MATCH(C3544,Akaun!$A$5:$A$150,0)))</f>
        <v/>
      </c>
      <c r="H3544" s="1" t="str">
        <f aca="false">IF(C3544="","",INDEX(Akaun!$D$5:$D$150,MATCH(C3544,Akaun!$A$5:$A$150,0)))</f>
        <v/>
      </c>
    </row>
    <row r="3545" customFormat="false" ht="15" hidden="false" customHeight="true" outlineLevel="0" collapsed="false">
      <c r="G3545" s="1" t="str">
        <f aca="false">IF(C3545="","",INDEX(Akaun!$F$5:$F$150,MATCH(C3545,Akaun!$A$5:$A$150,0)))</f>
        <v/>
      </c>
      <c r="H3545" s="1" t="str">
        <f aca="false">IF(C3545="","",INDEX(Akaun!$D$5:$D$150,MATCH(C3545,Akaun!$A$5:$A$150,0)))</f>
        <v/>
      </c>
    </row>
    <row r="3546" customFormat="false" ht="15" hidden="false" customHeight="true" outlineLevel="0" collapsed="false">
      <c r="G3546" s="1" t="str">
        <f aca="false">IF(C3546="","",INDEX(Akaun!$F$5:$F$150,MATCH(C3546,Akaun!$A$5:$A$150,0)))</f>
        <v/>
      </c>
      <c r="H3546" s="1" t="str">
        <f aca="false">IF(C3546="","",INDEX(Akaun!$D$5:$D$150,MATCH(C3546,Akaun!$A$5:$A$150,0)))</f>
        <v/>
      </c>
    </row>
    <row r="3547" customFormat="false" ht="15" hidden="false" customHeight="true" outlineLevel="0" collapsed="false">
      <c r="G3547" s="1" t="str">
        <f aca="false">IF(C3547="","",INDEX(Akaun!$F$5:$F$150,MATCH(C3547,Akaun!$A$5:$A$150,0)))</f>
        <v/>
      </c>
      <c r="H3547" s="1" t="str">
        <f aca="false">IF(C3547="","",INDEX(Akaun!$D$5:$D$150,MATCH(C3547,Akaun!$A$5:$A$150,0)))</f>
        <v/>
      </c>
    </row>
    <row r="3548" customFormat="false" ht="15" hidden="false" customHeight="true" outlineLevel="0" collapsed="false">
      <c r="G3548" s="1" t="str">
        <f aca="false">IF(C3548="","",INDEX(Akaun!$F$5:$F$150,MATCH(C3548,Akaun!$A$5:$A$150,0)))</f>
        <v/>
      </c>
      <c r="H3548" s="1" t="str">
        <f aca="false">IF(C3548="","",INDEX(Akaun!$D$5:$D$150,MATCH(C3548,Akaun!$A$5:$A$150,0)))</f>
        <v/>
      </c>
    </row>
    <row r="3549" customFormat="false" ht="15" hidden="false" customHeight="true" outlineLevel="0" collapsed="false">
      <c r="G3549" s="1" t="str">
        <f aca="false">IF(C3549="","",INDEX(Akaun!$F$5:$F$150,MATCH(C3549,Akaun!$A$5:$A$150,0)))</f>
        <v/>
      </c>
      <c r="H3549" s="1" t="str">
        <f aca="false">IF(C3549="","",INDEX(Akaun!$D$5:$D$150,MATCH(C3549,Akaun!$A$5:$A$150,0)))</f>
        <v/>
      </c>
    </row>
    <row r="3550" customFormat="false" ht="15" hidden="false" customHeight="true" outlineLevel="0" collapsed="false">
      <c r="G3550" s="1" t="str">
        <f aca="false">IF(C3550="","",INDEX(Akaun!$F$5:$F$150,MATCH(C3550,Akaun!$A$5:$A$150,0)))</f>
        <v/>
      </c>
      <c r="H3550" s="1" t="str">
        <f aca="false">IF(C3550="","",INDEX(Akaun!$D$5:$D$150,MATCH(C3550,Akaun!$A$5:$A$150,0)))</f>
        <v/>
      </c>
    </row>
    <row r="3551" customFormat="false" ht="15" hidden="false" customHeight="true" outlineLevel="0" collapsed="false">
      <c r="G3551" s="1" t="str">
        <f aca="false">IF(C3551="","",INDEX(Akaun!$F$5:$F$150,MATCH(C3551,Akaun!$A$5:$A$150,0)))</f>
        <v/>
      </c>
      <c r="H3551" s="1" t="str">
        <f aca="false">IF(C3551="","",INDEX(Akaun!$D$5:$D$150,MATCH(C3551,Akaun!$A$5:$A$150,0)))</f>
        <v/>
      </c>
    </row>
    <row r="3552" customFormat="false" ht="15" hidden="false" customHeight="true" outlineLevel="0" collapsed="false">
      <c r="G3552" s="1" t="str">
        <f aca="false">IF(C3552="","",INDEX(Akaun!$F$5:$F$150,MATCH(C3552,Akaun!$A$5:$A$150,0)))</f>
        <v/>
      </c>
      <c r="H3552" s="1" t="str">
        <f aca="false">IF(C3552="","",INDEX(Akaun!$D$5:$D$150,MATCH(C3552,Akaun!$A$5:$A$150,0)))</f>
        <v/>
      </c>
    </row>
    <row r="3553" customFormat="false" ht="15" hidden="false" customHeight="true" outlineLevel="0" collapsed="false">
      <c r="G3553" s="1" t="str">
        <f aca="false">IF(C3553="","",INDEX(Akaun!$F$5:$F$150,MATCH(C3553,Akaun!$A$5:$A$150,0)))</f>
        <v/>
      </c>
      <c r="H3553" s="1" t="str">
        <f aca="false">IF(C3553="","",INDEX(Akaun!$D$5:$D$150,MATCH(C3553,Akaun!$A$5:$A$150,0)))</f>
        <v/>
      </c>
    </row>
    <row r="3554" customFormat="false" ht="15" hidden="false" customHeight="true" outlineLevel="0" collapsed="false">
      <c r="G3554" s="1" t="str">
        <f aca="false">IF(C3554="","",INDEX(Akaun!$F$5:$F$150,MATCH(C3554,Akaun!$A$5:$A$150,0)))</f>
        <v/>
      </c>
      <c r="H3554" s="1" t="str">
        <f aca="false">IF(C3554="","",INDEX(Akaun!$D$5:$D$150,MATCH(C3554,Akaun!$A$5:$A$150,0)))</f>
        <v/>
      </c>
    </row>
    <row r="3555" customFormat="false" ht="15" hidden="false" customHeight="true" outlineLevel="0" collapsed="false">
      <c r="G3555" s="1" t="str">
        <f aca="false">IF(C3555="","",INDEX(Akaun!$F$5:$F$150,MATCH(C3555,Akaun!$A$5:$A$150,0)))</f>
        <v/>
      </c>
      <c r="H3555" s="1" t="str">
        <f aca="false">IF(C3555="","",INDEX(Akaun!$D$5:$D$150,MATCH(C3555,Akaun!$A$5:$A$150,0)))</f>
        <v/>
      </c>
    </row>
    <row r="3556" customFormat="false" ht="15" hidden="false" customHeight="true" outlineLevel="0" collapsed="false">
      <c r="G3556" s="1" t="str">
        <f aca="false">IF(C3556="","",INDEX(Akaun!$F$5:$F$150,MATCH(C3556,Akaun!$A$5:$A$150,0)))</f>
        <v/>
      </c>
      <c r="H3556" s="1" t="str">
        <f aca="false">IF(C3556="","",INDEX(Akaun!$D$5:$D$150,MATCH(C3556,Akaun!$A$5:$A$150,0)))</f>
        <v/>
      </c>
    </row>
    <row r="3557" customFormat="false" ht="15" hidden="false" customHeight="true" outlineLevel="0" collapsed="false">
      <c r="G3557" s="1" t="str">
        <f aca="false">IF(C3557="","",INDEX(Akaun!$F$5:$F$150,MATCH(C3557,Akaun!$A$5:$A$150,0)))</f>
        <v/>
      </c>
      <c r="H3557" s="1" t="str">
        <f aca="false">IF(C3557="","",INDEX(Akaun!$D$5:$D$150,MATCH(C3557,Akaun!$A$5:$A$150,0)))</f>
        <v/>
      </c>
    </row>
    <row r="3558" customFormat="false" ht="15" hidden="false" customHeight="true" outlineLevel="0" collapsed="false">
      <c r="G3558" s="1" t="str">
        <f aca="false">IF(C3558="","",INDEX(Akaun!$F$5:$F$150,MATCH(C3558,Akaun!$A$5:$A$150,0)))</f>
        <v/>
      </c>
      <c r="H3558" s="1" t="str">
        <f aca="false">IF(C3558="","",INDEX(Akaun!$D$5:$D$150,MATCH(C3558,Akaun!$A$5:$A$150,0)))</f>
        <v/>
      </c>
    </row>
    <row r="3559" customFormat="false" ht="15" hidden="false" customHeight="true" outlineLevel="0" collapsed="false">
      <c r="G3559" s="1" t="str">
        <f aca="false">IF(C3559="","",INDEX(Akaun!$F$5:$F$150,MATCH(C3559,Akaun!$A$5:$A$150,0)))</f>
        <v/>
      </c>
      <c r="H3559" s="1" t="str">
        <f aca="false">IF(C3559="","",INDEX(Akaun!$D$5:$D$150,MATCH(C3559,Akaun!$A$5:$A$150,0)))</f>
        <v/>
      </c>
    </row>
    <row r="3560" customFormat="false" ht="15" hidden="false" customHeight="true" outlineLevel="0" collapsed="false">
      <c r="G3560" s="1" t="str">
        <f aca="false">IF(C3560="","",INDEX(Akaun!$F$5:$F$150,MATCH(C3560,Akaun!$A$5:$A$150,0)))</f>
        <v/>
      </c>
      <c r="H3560" s="1" t="str">
        <f aca="false">IF(C3560="","",INDEX(Akaun!$D$5:$D$150,MATCH(C3560,Akaun!$A$5:$A$150,0)))</f>
        <v/>
      </c>
    </row>
    <row r="3561" customFormat="false" ht="15" hidden="false" customHeight="true" outlineLevel="0" collapsed="false">
      <c r="G3561" s="1" t="str">
        <f aca="false">IF(C3561="","",INDEX(Akaun!$F$5:$F$150,MATCH(C3561,Akaun!$A$5:$A$150,0)))</f>
        <v/>
      </c>
      <c r="H3561" s="1" t="str">
        <f aca="false">IF(C3561="","",INDEX(Akaun!$D$5:$D$150,MATCH(C3561,Akaun!$A$5:$A$150,0)))</f>
        <v/>
      </c>
    </row>
    <row r="3562" customFormat="false" ht="15" hidden="false" customHeight="true" outlineLevel="0" collapsed="false">
      <c r="G3562" s="1" t="str">
        <f aca="false">IF(C3562="","",INDEX(Akaun!$F$5:$F$150,MATCH(C3562,Akaun!$A$5:$A$150,0)))</f>
        <v/>
      </c>
      <c r="H3562" s="1" t="str">
        <f aca="false">IF(C3562="","",INDEX(Akaun!$D$5:$D$150,MATCH(C3562,Akaun!$A$5:$A$150,0)))</f>
        <v/>
      </c>
    </row>
    <row r="3563" customFormat="false" ht="15" hidden="false" customHeight="true" outlineLevel="0" collapsed="false">
      <c r="G3563" s="1" t="str">
        <f aca="false">IF(C3563="","",INDEX(Akaun!$F$5:$F$150,MATCH(C3563,Akaun!$A$5:$A$150,0)))</f>
        <v/>
      </c>
      <c r="H3563" s="1" t="str">
        <f aca="false">IF(C3563="","",INDEX(Akaun!$D$5:$D$150,MATCH(C3563,Akaun!$A$5:$A$150,0)))</f>
        <v/>
      </c>
    </row>
    <row r="3564" customFormat="false" ht="15" hidden="false" customHeight="true" outlineLevel="0" collapsed="false">
      <c r="G3564" s="1" t="str">
        <f aca="false">IF(C3564="","",INDEX(Akaun!$F$5:$F$150,MATCH(C3564,Akaun!$A$5:$A$150,0)))</f>
        <v/>
      </c>
      <c r="H3564" s="1" t="str">
        <f aca="false">IF(C3564="","",INDEX(Akaun!$D$5:$D$150,MATCH(C3564,Akaun!$A$5:$A$150,0)))</f>
        <v/>
      </c>
    </row>
    <row r="3565" customFormat="false" ht="15" hidden="false" customHeight="true" outlineLevel="0" collapsed="false">
      <c r="G3565" s="1" t="str">
        <f aca="false">IF(C3565="","",INDEX(Akaun!$F$5:$F$150,MATCH(C3565,Akaun!$A$5:$A$150,0)))</f>
        <v/>
      </c>
      <c r="H3565" s="1" t="str">
        <f aca="false">IF(C3565="","",INDEX(Akaun!$D$5:$D$150,MATCH(C3565,Akaun!$A$5:$A$150,0)))</f>
        <v/>
      </c>
    </row>
    <row r="3566" customFormat="false" ht="15" hidden="false" customHeight="true" outlineLevel="0" collapsed="false">
      <c r="G3566" s="1" t="str">
        <f aca="false">IF(C3566="","",INDEX(Akaun!$F$5:$F$150,MATCH(C3566,Akaun!$A$5:$A$150,0)))</f>
        <v/>
      </c>
      <c r="H3566" s="1" t="str">
        <f aca="false">IF(C3566="","",INDEX(Akaun!$D$5:$D$150,MATCH(C3566,Akaun!$A$5:$A$150,0)))</f>
        <v/>
      </c>
    </row>
    <row r="3567" customFormat="false" ht="15" hidden="false" customHeight="true" outlineLevel="0" collapsed="false">
      <c r="G3567" s="1" t="str">
        <f aca="false">IF(C3567="","",INDEX(Akaun!$F$5:$F$150,MATCH(C3567,Akaun!$A$5:$A$150,0)))</f>
        <v/>
      </c>
      <c r="H3567" s="1" t="str">
        <f aca="false">IF(C3567="","",INDEX(Akaun!$D$5:$D$150,MATCH(C3567,Akaun!$A$5:$A$150,0)))</f>
        <v/>
      </c>
    </row>
    <row r="3568" customFormat="false" ht="15" hidden="false" customHeight="true" outlineLevel="0" collapsed="false">
      <c r="G3568" s="1" t="str">
        <f aca="false">IF(C3568="","",INDEX(Akaun!$F$5:$F$150,MATCH(C3568,Akaun!$A$5:$A$150,0)))</f>
        <v/>
      </c>
      <c r="H3568" s="1" t="str">
        <f aca="false">IF(C3568="","",INDEX(Akaun!$D$5:$D$150,MATCH(C3568,Akaun!$A$5:$A$150,0)))</f>
        <v/>
      </c>
    </row>
    <row r="3569" customFormat="false" ht="15" hidden="false" customHeight="true" outlineLevel="0" collapsed="false">
      <c r="G3569" s="1" t="str">
        <f aca="false">IF(C3569="","",INDEX(Akaun!$F$5:$F$150,MATCH(C3569,Akaun!$A$5:$A$150,0)))</f>
        <v/>
      </c>
      <c r="H3569" s="1" t="str">
        <f aca="false">IF(C3569="","",INDEX(Akaun!$D$5:$D$150,MATCH(C3569,Akaun!$A$5:$A$150,0)))</f>
        <v/>
      </c>
    </row>
    <row r="3570" customFormat="false" ht="15" hidden="false" customHeight="true" outlineLevel="0" collapsed="false">
      <c r="G3570" s="1" t="str">
        <f aca="false">IF(C3570="","",INDEX(Akaun!$F$5:$F$150,MATCH(C3570,Akaun!$A$5:$A$150,0)))</f>
        <v/>
      </c>
      <c r="H3570" s="1" t="str">
        <f aca="false">IF(C3570="","",INDEX(Akaun!$D$5:$D$150,MATCH(C3570,Akaun!$A$5:$A$150,0)))</f>
        <v/>
      </c>
    </row>
    <row r="3571" customFormat="false" ht="15" hidden="false" customHeight="true" outlineLevel="0" collapsed="false">
      <c r="G3571" s="1" t="str">
        <f aca="false">IF(C3571="","",INDEX(Akaun!$F$5:$F$150,MATCH(C3571,Akaun!$A$5:$A$150,0)))</f>
        <v/>
      </c>
      <c r="H3571" s="1" t="str">
        <f aca="false">IF(C3571="","",INDEX(Akaun!$D$5:$D$150,MATCH(C3571,Akaun!$A$5:$A$150,0)))</f>
        <v/>
      </c>
    </row>
    <row r="3572" customFormat="false" ht="15" hidden="false" customHeight="true" outlineLevel="0" collapsed="false">
      <c r="G3572" s="1" t="str">
        <f aca="false">IF(C3572="","",INDEX(Akaun!$F$5:$F$150,MATCH(C3572,Akaun!$A$5:$A$150,0)))</f>
        <v/>
      </c>
      <c r="H3572" s="1" t="str">
        <f aca="false">IF(C3572="","",INDEX(Akaun!$D$5:$D$150,MATCH(C3572,Akaun!$A$5:$A$150,0)))</f>
        <v/>
      </c>
    </row>
    <row r="3573" customFormat="false" ht="15" hidden="false" customHeight="true" outlineLevel="0" collapsed="false">
      <c r="G3573" s="1" t="str">
        <f aca="false">IF(C3573="","",INDEX(Akaun!$F$5:$F$150,MATCH(C3573,Akaun!$A$5:$A$150,0)))</f>
        <v/>
      </c>
      <c r="H3573" s="1" t="str">
        <f aca="false">IF(C3573="","",INDEX(Akaun!$D$5:$D$150,MATCH(C3573,Akaun!$A$5:$A$150,0)))</f>
        <v/>
      </c>
    </row>
    <row r="3574" customFormat="false" ht="15" hidden="false" customHeight="true" outlineLevel="0" collapsed="false">
      <c r="G3574" s="1" t="str">
        <f aca="false">IF(C3574="","",INDEX(Akaun!$F$5:$F$150,MATCH(C3574,Akaun!$A$5:$A$150,0)))</f>
        <v/>
      </c>
      <c r="H3574" s="1" t="str">
        <f aca="false">IF(C3574="","",INDEX(Akaun!$D$5:$D$150,MATCH(C3574,Akaun!$A$5:$A$150,0)))</f>
        <v/>
      </c>
    </row>
    <row r="3575" customFormat="false" ht="15" hidden="false" customHeight="true" outlineLevel="0" collapsed="false">
      <c r="G3575" s="1" t="str">
        <f aca="false">IF(C3575="","",INDEX(Akaun!$F$5:$F$150,MATCH(C3575,Akaun!$A$5:$A$150,0)))</f>
        <v/>
      </c>
      <c r="H3575" s="1" t="str">
        <f aca="false">IF(C3575="","",INDEX(Akaun!$D$5:$D$150,MATCH(C3575,Akaun!$A$5:$A$150,0)))</f>
        <v/>
      </c>
    </row>
    <row r="3576" customFormat="false" ht="15" hidden="false" customHeight="true" outlineLevel="0" collapsed="false">
      <c r="G3576" s="1" t="str">
        <f aca="false">IF(C3576="","",INDEX(Akaun!$F$5:$F$150,MATCH(C3576,Akaun!$A$5:$A$150,0)))</f>
        <v/>
      </c>
      <c r="H3576" s="1" t="str">
        <f aca="false">IF(C3576="","",INDEX(Akaun!$D$5:$D$150,MATCH(C3576,Akaun!$A$5:$A$150,0)))</f>
        <v/>
      </c>
    </row>
    <row r="3577" customFormat="false" ht="15" hidden="false" customHeight="true" outlineLevel="0" collapsed="false">
      <c r="G3577" s="1" t="str">
        <f aca="false">IF(C3577="","",INDEX(Akaun!$F$5:$F$150,MATCH(C3577,Akaun!$A$5:$A$150,0)))</f>
        <v/>
      </c>
      <c r="H3577" s="1" t="str">
        <f aca="false">IF(C3577="","",INDEX(Akaun!$D$5:$D$150,MATCH(C3577,Akaun!$A$5:$A$150,0)))</f>
        <v/>
      </c>
    </row>
    <row r="3578" customFormat="false" ht="15" hidden="false" customHeight="true" outlineLevel="0" collapsed="false">
      <c r="G3578" s="1" t="str">
        <f aca="false">IF(C3578="","",INDEX(Akaun!$F$5:$F$150,MATCH(C3578,Akaun!$A$5:$A$150,0)))</f>
        <v/>
      </c>
      <c r="H3578" s="1" t="str">
        <f aca="false">IF(C3578="","",INDEX(Akaun!$D$5:$D$150,MATCH(C3578,Akaun!$A$5:$A$150,0)))</f>
        <v/>
      </c>
    </row>
    <row r="3579" customFormat="false" ht="15" hidden="false" customHeight="true" outlineLevel="0" collapsed="false">
      <c r="G3579" s="1" t="str">
        <f aca="false">IF(C3579="","",INDEX(Akaun!$F$5:$F$150,MATCH(C3579,Akaun!$A$5:$A$150,0)))</f>
        <v/>
      </c>
      <c r="H3579" s="1" t="str">
        <f aca="false">IF(C3579="","",INDEX(Akaun!$D$5:$D$150,MATCH(C3579,Akaun!$A$5:$A$150,0)))</f>
        <v/>
      </c>
    </row>
    <row r="3580" customFormat="false" ht="15" hidden="false" customHeight="true" outlineLevel="0" collapsed="false">
      <c r="G3580" s="1" t="str">
        <f aca="false">IF(C3580="","",INDEX(Akaun!$F$5:$F$150,MATCH(C3580,Akaun!$A$5:$A$150,0)))</f>
        <v/>
      </c>
      <c r="H3580" s="1" t="str">
        <f aca="false">IF(C3580="","",INDEX(Akaun!$D$5:$D$150,MATCH(C3580,Akaun!$A$5:$A$150,0)))</f>
        <v/>
      </c>
    </row>
    <row r="3581" customFormat="false" ht="15" hidden="false" customHeight="true" outlineLevel="0" collapsed="false">
      <c r="G3581" s="1" t="str">
        <f aca="false">IF(C3581="","",INDEX(Akaun!$F$5:$F$150,MATCH(C3581,Akaun!$A$5:$A$150,0)))</f>
        <v/>
      </c>
      <c r="H3581" s="1" t="str">
        <f aca="false">IF(C3581="","",INDEX(Akaun!$D$5:$D$150,MATCH(C3581,Akaun!$A$5:$A$150,0)))</f>
        <v/>
      </c>
    </row>
    <row r="3582" customFormat="false" ht="15" hidden="false" customHeight="true" outlineLevel="0" collapsed="false">
      <c r="G3582" s="1" t="str">
        <f aca="false">IF(C3582="","",INDEX(Akaun!$F$5:$F$150,MATCH(C3582,Akaun!$A$5:$A$150,0)))</f>
        <v/>
      </c>
      <c r="H3582" s="1" t="str">
        <f aca="false">IF(C3582="","",INDEX(Akaun!$D$5:$D$150,MATCH(C3582,Akaun!$A$5:$A$150,0)))</f>
        <v/>
      </c>
    </row>
    <row r="3583" customFormat="false" ht="15" hidden="false" customHeight="true" outlineLevel="0" collapsed="false">
      <c r="G3583" s="1" t="str">
        <f aca="false">IF(C3583="","",INDEX(Akaun!$F$5:$F$150,MATCH(C3583,Akaun!$A$5:$A$150,0)))</f>
        <v/>
      </c>
      <c r="H3583" s="1" t="str">
        <f aca="false">IF(C3583="","",INDEX(Akaun!$D$5:$D$150,MATCH(C3583,Akaun!$A$5:$A$150,0)))</f>
        <v/>
      </c>
    </row>
    <row r="3584" customFormat="false" ht="15" hidden="false" customHeight="true" outlineLevel="0" collapsed="false">
      <c r="G3584" s="1" t="str">
        <f aca="false">IF(C3584="","",INDEX(Akaun!$F$5:$F$150,MATCH(C3584,Akaun!$A$5:$A$150,0)))</f>
        <v/>
      </c>
      <c r="H3584" s="1" t="str">
        <f aca="false">IF(C3584="","",INDEX(Akaun!$D$5:$D$150,MATCH(C3584,Akaun!$A$5:$A$150,0)))</f>
        <v/>
      </c>
    </row>
    <row r="3585" customFormat="false" ht="15" hidden="false" customHeight="true" outlineLevel="0" collapsed="false">
      <c r="G3585" s="1" t="str">
        <f aca="false">IF(C3585="","",INDEX(Akaun!$F$5:$F$150,MATCH(C3585,Akaun!$A$5:$A$150,0)))</f>
        <v/>
      </c>
      <c r="H3585" s="1" t="str">
        <f aca="false">IF(C3585="","",INDEX(Akaun!$D$5:$D$150,MATCH(C3585,Akaun!$A$5:$A$150,0)))</f>
        <v/>
      </c>
    </row>
    <row r="3586" customFormat="false" ht="15" hidden="false" customHeight="true" outlineLevel="0" collapsed="false">
      <c r="G3586" s="1" t="str">
        <f aca="false">IF(C3586="","",INDEX(Akaun!$F$5:$F$150,MATCH(C3586,Akaun!$A$5:$A$150,0)))</f>
        <v/>
      </c>
      <c r="H3586" s="1" t="str">
        <f aca="false">IF(C3586="","",INDEX(Akaun!$D$5:$D$150,MATCH(C3586,Akaun!$A$5:$A$150,0)))</f>
        <v/>
      </c>
    </row>
    <row r="3587" customFormat="false" ht="15" hidden="false" customHeight="true" outlineLevel="0" collapsed="false">
      <c r="G3587" s="1" t="str">
        <f aca="false">IF(C3587="","",INDEX(Akaun!$F$5:$F$150,MATCH(C3587,Akaun!$A$5:$A$150,0)))</f>
        <v/>
      </c>
      <c r="H3587" s="1" t="str">
        <f aca="false">IF(C3587="","",INDEX(Akaun!$D$5:$D$150,MATCH(C3587,Akaun!$A$5:$A$150,0)))</f>
        <v/>
      </c>
    </row>
    <row r="3588" customFormat="false" ht="15" hidden="false" customHeight="true" outlineLevel="0" collapsed="false">
      <c r="G3588" s="1" t="str">
        <f aca="false">IF(C3588="","",INDEX(Akaun!$F$5:$F$150,MATCH(C3588,Akaun!$A$5:$A$150,0)))</f>
        <v/>
      </c>
      <c r="H3588" s="1" t="str">
        <f aca="false">IF(C3588="","",INDEX(Akaun!$D$5:$D$150,MATCH(C3588,Akaun!$A$5:$A$150,0)))</f>
        <v/>
      </c>
    </row>
    <row r="3589" customFormat="false" ht="15" hidden="false" customHeight="true" outlineLevel="0" collapsed="false">
      <c r="G3589" s="1" t="str">
        <f aca="false">IF(C3589="","",INDEX(Akaun!$F$5:$F$150,MATCH(C3589,Akaun!$A$5:$A$150,0)))</f>
        <v/>
      </c>
      <c r="H3589" s="1" t="str">
        <f aca="false">IF(C3589="","",INDEX(Akaun!$D$5:$D$150,MATCH(C3589,Akaun!$A$5:$A$150,0)))</f>
        <v/>
      </c>
    </row>
    <row r="3590" customFormat="false" ht="15" hidden="false" customHeight="true" outlineLevel="0" collapsed="false">
      <c r="G3590" s="1" t="str">
        <f aca="false">IF(C3590="","",INDEX(Akaun!$F$5:$F$150,MATCH(C3590,Akaun!$A$5:$A$150,0)))</f>
        <v/>
      </c>
      <c r="H3590" s="1" t="str">
        <f aca="false">IF(C3590="","",INDEX(Akaun!$D$5:$D$150,MATCH(C3590,Akaun!$A$5:$A$150,0)))</f>
        <v/>
      </c>
    </row>
    <row r="3591" customFormat="false" ht="15" hidden="false" customHeight="true" outlineLevel="0" collapsed="false">
      <c r="G3591" s="1" t="str">
        <f aca="false">IF(C3591="","",INDEX(Akaun!$F$5:$F$150,MATCH(C3591,Akaun!$A$5:$A$150,0)))</f>
        <v/>
      </c>
      <c r="H3591" s="1" t="str">
        <f aca="false">IF(C3591="","",INDEX(Akaun!$D$5:$D$150,MATCH(C3591,Akaun!$A$5:$A$150,0)))</f>
        <v/>
      </c>
    </row>
    <row r="3592" customFormat="false" ht="15" hidden="false" customHeight="true" outlineLevel="0" collapsed="false">
      <c r="G3592" s="1" t="str">
        <f aca="false">IF(C3592="","",INDEX(Akaun!$F$5:$F$150,MATCH(C3592,Akaun!$A$5:$A$150,0)))</f>
        <v/>
      </c>
      <c r="H3592" s="1" t="str">
        <f aca="false">IF(C3592="","",INDEX(Akaun!$D$5:$D$150,MATCH(C3592,Akaun!$A$5:$A$150,0)))</f>
        <v/>
      </c>
    </row>
    <row r="3593" customFormat="false" ht="15" hidden="false" customHeight="true" outlineLevel="0" collapsed="false">
      <c r="G3593" s="1" t="str">
        <f aca="false">IF(C3593="","",INDEX(Akaun!$F$5:$F$150,MATCH(C3593,Akaun!$A$5:$A$150,0)))</f>
        <v/>
      </c>
      <c r="H3593" s="1" t="str">
        <f aca="false">IF(C3593="","",INDEX(Akaun!$D$5:$D$150,MATCH(C3593,Akaun!$A$5:$A$150,0)))</f>
        <v/>
      </c>
    </row>
    <row r="3594" customFormat="false" ht="15" hidden="false" customHeight="true" outlineLevel="0" collapsed="false">
      <c r="G3594" s="1" t="str">
        <f aca="false">IF(C3594="","",INDEX(Akaun!$F$5:$F$150,MATCH(C3594,Akaun!$A$5:$A$150,0)))</f>
        <v/>
      </c>
      <c r="H3594" s="1" t="str">
        <f aca="false">IF(C3594="","",INDEX(Akaun!$D$5:$D$150,MATCH(C3594,Akaun!$A$5:$A$150,0)))</f>
        <v/>
      </c>
    </row>
    <row r="3595" customFormat="false" ht="15" hidden="false" customHeight="true" outlineLevel="0" collapsed="false">
      <c r="G3595" s="1" t="str">
        <f aca="false">IF(C3595="","",INDEX(Akaun!$F$5:$F$150,MATCH(C3595,Akaun!$A$5:$A$150,0)))</f>
        <v/>
      </c>
      <c r="H3595" s="1" t="str">
        <f aca="false">IF(C3595="","",INDEX(Akaun!$D$5:$D$150,MATCH(C3595,Akaun!$A$5:$A$150,0)))</f>
        <v/>
      </c>
    </row>
    <row r="3596" customFormat="false" ht="15" hidden="false" customHeight="true" outlineLevel="0" collapsed="false">
      <c r="G3596" s="1" t="str">
        <f aca="false">IF(C3596="","",INDEX(Akaun!$F$5:$F$150,MATCH(C3596,Akaun!$A$5:$A$150,0)))</f>
        <v/>
      </c>
      <c r="H3596" s="1" t="str">
        <f aca="false">IF(C3596="","",INDEX(Akaun!$D$5:$D$150,MATCH(C3596,Akaun!$A$5:$A$150,0)))</f>
        <v/>
      </c>
    </row>
    <row r="3597" customFormat="false" ht="15" hidden="false" customHeight="true" outlineLevel="0" collapsed="false">
      <c r="G3597" s="1" t="str">
        <f aca="false">IF(C3597="","",INDEX(Akaun!$F$5:$F$150,MATCH(C3597,Akaun!$A$5:$A$150,0)))</f>
        <v/>
      </c>
      <c r="H3597" s="1" t="str">
        <f aca="false">IF(C3597="","",INDEX(Akaun!$D$5:$D$150,MATCH(C3597,Akaun!$A$5:$A$150,0)))</f>
        <v/>
      </c>
    </row>
    <row r="3598" customFormat="false" ht="15" hidden="false" customHeight="true" outlineLevel="0" collapsed="false">
      <c r="G3598" s="1" t="str">
        <f aca="false">IF(C3598="","",INDEX(Akaun!$F$5:$F$150,MATCH(C3598,Akaun!$A$5:$A$150,0)))</f>
        <v/>
      </c>
      <c r="H3598" s="1" t="str">
        <f aca="false">IF(C3598="","",INDEX(Akaun!$D$5:$D$150,MATCH(C3598,Akaun!$A$5:$A$150,0)))</f>
        <v/>
      </c>
    </row>
    <row r="3599" customFormat="false" ht="15" hidden="false" customHeight="true" outlineLevel="0" collapsed="false">
      <c r="G3599" s="1" t="str">
        <f aca="false">IF(C3599="","",INDEX(Akaun!$F$5:$F$150,MATCH(C3599,Akaun!$A$5:$A$150,0)))</f>
        <v/>
      </c>
      <c r="H3599" s="1" t="str">
        <f aca="false">IF(C3599="","",INDEX(Akaun!$D$5:$D$150,MATCH(C3599,Akaun!$A$5:$A$150,0)))</f>
        <v/>
      </c>
    </row>
    <row r="3600" customFormat="false" ht="15" hidden="false" customHeight="true" outlineLevel="0" collapsed="false">
      <c r="G3600" s="1" t="str">
        <f aca="false">IF(C3600="","",INDEX(Akaun!$F$5:$F$150,MATCH(C3600,Akaun!$A$5:$A$150,0)))</f>
        <v/>
      </c>
      <c r="H3600" s="1" t="str">
        <f aca="false">IF(C3600="","",INDEX(Akaun!$D$5:$D$150,MATCH(C3600,Akaun!$A$5:$A$150,0)))</f>
        <v/>
      </c>
    </row>
    <row r="3601" customFormat="false" ht="15" hidden="false" customHeight="true" outlineLevel="0" collapsed="false">
      <c r="G3601" s="1" t="str">
        <f aca="false">IF(C3601="","",INDEX(Akaun!$F$5:$F$150,MATCH(C3601,Akaun!$A$5:$A$150,0)))</f>
        <v/>
      </c>
      <c r="H3601" s="1" t="str">
        <f aca="false">IF(C3601="","",INDEX(Akaun!$D$5:$D$150,MATCH(C3601,Akaun!$A$5:$A$150,0)))</f>
        <v/>
      </c>
    </row>
    <row r="3602" customFormat="false" ht="15" hidden="false" customHeight="true" outlineLevel="0" collapsed="false">
      <c r="G3602" s="1" t="str">
        <f aca="false">IF(C3602="","",INDEX(Akaun!$F$5:$F$150,MATCH(C3602,Akaun!$A$5:$A$150,0)))</f>
        <v/>
      </c>
      <c r="H3602" s="1" t="str">
        <f aca="false">IF(C3602="","",INDEX(Akaun!$D$5:$D$150,MATCH(C3602,Akaun!$A$5:$A$150,0)))</f>
        <v/>
      </c>
    </row>
    <row r="3603" customFormat="false" ht="15" hidden="false" customHeight="true" outlineLevel="0" collapsed="false">
      <c r="G3603" s="1" t="str">
        <f aca="false">IF(C3603="","",INDEX(Akaun!$F$5:$F$150,MATCH(C3603,Akaun!$A$5:$A$150,0)))</f>
        <v/>
      </c>
      <c r="H3603" s="1" t="str">
        <f aca="false">IF(C3603="","",INDEX(Akaun!$D$5:$D$150,MATCH(C3603,Akaun!$A$5:$A$150,0)))</f>
        <v/>
      </c>
    </row>
    <row r="3604" customFormat="false" ht="15" hidden="false" customHeight="true" outlineLevel="0" collapsed="false">
      <c r="G3604" s="1" t="str">
        <f aca="false">IF(C3604="","",INDEX(Akaun!$F$5:$F$150,MATCH(C3604,Akaun!$A$5:$A$150,0)))</f>
        <v/>
      </c>
      <c r="H3604" s="1" t="str">
        <f aca="false">IF(C3604="","",INDEX(Akaun!$D$5:$D$150,MATCH(C3604,Akaun!$A$5:$A$150,0)))</f>
        <v/>
      </c>
    </row>
    <row r="3605" customFormat="false" ht="15" hidden="false" customHeight="true" outlineLevel="0" collapsed="false">
      <c r="G3605" s="1" t="str">
        <f aca="false">IF(C3605="","",INDEX(Akaun!$F$5:$F$150,MATCH(C3605,Akaun!$A$5:$A$150,0)))</f>
        <v/>
      </c>
      <c r="H3605" s="1" t="str">
        <f aca="false">IF(C3605="","",INDEX(Akaun!$D$5:$D$150,MATCH(C3605,Akaun!$A$5:$A$150,0)))</f>
        <v/>
      </c>
    </row>
    <row r="3606" customFormat="false" ht="15" hidden="false" customHeight="true" outlineLevel="0" collapsed="false">
      <c r="G3606" s="1" t="str">
        <f aca="false">IF(C3606="","",INDEX(Akaun!$F$5:$F$150,MATCH(C3606,Akaun!$A$5:$A$150,0)))</f>
        <v/>
      </c>
      <c r="H3606" s="1" t="str">
        <f aca="false">IF(C3606="","",INDEX(Akaun!$D$5:$D$150,MATCH(C3606,Akaun!$A$5:$A$150,0)))</f>
        <v/>
      </c>
    </row>
    <row r="3607" customFormat="false" ht="15" hidden="false" customHeight="true" outlineLevel="0" collapsed="false">
      <c r="G3607" s="1" t="str">
        <f aca="false">IF(C3607="","",INDEX(Akaun!$F$5:$F$150,MATCH(C3607,Akaun!$A$5:$A$150,0)))</f>
        <v/>
      </c>
      <c r="H3607" s="1" t="str">
        <f aca="false">IF(C3607="","",INDEX(Akaun!$D$5:$D$150,MATCH(C3607,Akaun!$A$5:$A$150,0)))</f>
        <v/>
      </c>
    </row>
    <row r="3608" customFormat="false" ht="15" hidden="false" customHeight="true" outlineLevel="0" collapsed="false">
      <c r="G3608" s="1" t="str">
        <f aca="false">IF(C3608="","",INDEX(Akaun!$F$5:$F$150,MATCH(C3608,Akaun!$A$5:$A$150,0)))</f>
        <v/>
      </c>
      <c r="H3608" s="1" t="str">
        <f aca="false">IF(C3608="","",INDEX(Akaun!$D$5:$D$150,MATCH(C3608,Akaun!$A$5:$A$150,0)))</f>
        <v/>
      </c>
    </row>
    <row r="3609" customFormat="false" ht="15" hidden="false" customHeight="true" outlineLevel="0" collapsed="false">
      <c r="G3609" s="1" t="str">
        <f aca="false">IF(C3609="","",INDEX(Akaun!$F$5:$F$150,MATCH(C3609,Akaun!$A$5:$A$150,0)))</f>
        <v/>
      </c>
      <c r="H3609" s="1" t="str">
        <f aca="false">IF(C3609="","",INDEX(Akaun!$D$5:$D$150,MATCH(C3609,Akaun!$A$5:$A$150,0)))</f>
        <v/>
      </c>
    </row>
    <row r="3610" customFormat="false" ht="15" hidden="false" customHeight="true" outlineLevel="0" collapsed="false">
      <c r="G3610" s="1" t="str">
        <f aca="false">IF(C3610="","",INDEX(Akaun!$F$5:$F$150,MATCH(C3610,Akaun!$A$5:$A$150,0)))</f>
        <v/>
      </c>
      <c r="H3610" s="1" t="str">
        <f aca="false">IF(C3610="","",INDEX(Akaun!$D$5:$D$150,MATCH(C3610,Akaun!$A$5:$A$150,0)))</f>
        <v/>
      </c>
    </row>
    <row r="3611" customFormat="false" ht="15" hidden="false" customHeight="true" outlineLevel="0" collapsed="false">
      <c r="G3611" s="1" t="str">
        <f aca="false">IF(C3611="","",INDEX(Akaun!$F$5:$F$150,MATCH(C3611,Akaun!$A$5:$A$150,0)))</f>
        <v/>
      </c>
      <c r="H3611" s="1" t="str">
        <f aca="false">IF(C3611="","",INDEX(Akaun!$D$5:$D$150,MATCH(C3611,Akaun!$A$5:$A$150,0)))</f>
        <v/>
      </c>
    </row>
    <row r="3612" customFormat="false" ht="15" hidden="false" customHeight="true" outlineLevel="0" collapsed="false">
      <c r="G3612" s="1" t="str">
        <f aca="false">IF(C3612="","",INDEX(Akaun!$F$5:$F$150,MATCH(C3612,Akaun!$A$5:$A$150,0)))</f>
        <v/>
      </c>
      <c r="H3612" s="1" t="str">
        <f aca="false">IF(C3612="","",INDEX(Akaun!$D$5:$D$150,MATCH(C3612,Akaun!$A$5:$A$150,0)))</f>
        <v/>
      </c>
    </row>
    <row r="3613" customFormat="false" ht="15" hidden="false" customHeight="true" outlineLevel="0" collapsed="false">
      <c r="G3613" s="1" t="str">
        <f aca="false">IF(C3613="","",INDEX(Akaun!$F$5:$F$150,MATCH(C3613,Akaun!$A$5:$A$150,0)))</f>
        <v/>
      </c>
      <c r="H3613" s="1" t="str">
        <f aca="false">IF(C3613="","",INDEX(Akaun!$D$5:$D$150,MATCH(C3613,Akaun!$A$5:$A$150,0)))</f>
        <v/>
      </c>
    </row>
    <row r="3614" customFormat="false" ht="15" hidden="false" customHeight="true" outlineLevel="0" collapsed="false">
      <c r="G3614" s="1" t="str">
        <f aca="false">IF(C3614="","",INDEX(Akaun!$F$5:$F$150,MATCH(C3614,Akaun!$A$5:$A$150,0)))</f>
        <v/>
      </c>
      <c r="H3614" s="1" t="str">
        <f aca="false">IF(C3614="","",INDEX(Akaun!$D$5:$D$150,MATCH(C3614,Akaun!$A$5:$A$150,0)))</f>
        <v/>
      </c>
    </row>
    <row r="3615" customFormat="false" ht="15" hidden="false" customHeight="true" outlineLevel="0" collapsed="false">
      <c r="G3615" s="1" t="str">
        <f aca="false">IF(C3615="","",INDEX(Akaun!$F$5:$F$150,MATCH(C3615,Akaun!$A$5:$A$150,0)))</f>
        <v/>
      </c>
      <c r="H3615" s="1" t="str">
        <f aca="false">IF(C3615="","",INDEX(Akaun!$D$5:$D$150,MATCH(C3615,Akaun!$A$5:$A$150,0)))</f>
        <v/>
      </c>
    </row>
    <row r="3616" customFormat="false" ht="15" hidden="false" customHeight="true" outlineLevel="0" collapsed="false">
      <c r="G3616" s="1" t="str">
        <f aca="false">IF(C3616="","",INDEX(Akaun!$F$5:$F$150,MATCH(C3616,Akaun!$A$5:$A$150,0)))</f>
        <v/>
      </c>
      <c r="H3616" s="1" t="str">
        <f aca="false">IF(C3616="","",INDEX(Akaun!$D$5:$D$150,MATCH(C3616,Akaun!$A$5:$A$150,0)))</f>
        <v/>
      </c>
    </row>
    <row r="3617" customFormat="false" ht="15" hidden="false" customHeight="true" outlineLevel="0" collapsed="false">
      <c r="G3617" s="1" t="str">
        <f aca="false">IF(C3617="","",INDEX(Akaun!$F$5:$F$150,MATCH(C3617,Akaun!$A$5:$A$150,0)))</f>
        <v/>
      </c>
      <c r="H3617" s="1" t="str">
        <f aca="false">IF(C3617="","",INDEX(Akaun!$D$5:$D$150,MATCH(C3617,Akaun!$A$5:$A$150,0)))</f>
        <v/>
      </c>
    </row>
    <row r="3618" customFormat="false" ht="15" hidden="false" customHeight="true" outlineLevel="0" collapsed="false">
      <c r="G3618" s="1" t="str">
        <f aca="false">IF(C3618="","",INDEX(Akaun!$F$5:$F$150,MATCH(C3618,Akaun!$A$5:$A$150,0)))</f>
        <v/>
      </c>
      <c r="H3618" s="1" t="str">
        <f aca="false">IF(C3618="","",INDEX(Akaun!$D$5:$D$150,MATCH(C3618,Akaun!$A$5:$A$150,0)))</f>
        <v/>
      </c>
    </row>
    <row r="3619" customFormat="false" ht="15" hidden="false" customHeight="true" outlineLevel="0" collapsed="false">
      <c r="G3619" s="1" t="str">
        <f aca="false">IF(C3619="","",INDEX(Akaun!$F$5:$F$150,MATCH(C3619,Akaun!$A$5:$A$150,0)))</f>
        <v/>
      </c>
      <c r="H3619" s="1" t="str">
        <f aca="false">IF(C3619="","",INDEX(Akaun!$D$5:$D$150,MATCH(C3619,Akaun!$A$5:$A$150,0)))</f>
        <v/>
      </c>
    </row>
    <row r="3620" customFormat="false" ht="15" hidden="false" customHeight="true" outlineLevel="0" collapsed="false">
      <c r="G3620" s="1" t="str">
        <f aca="false">IF(C3620="","",INDEX(Akaun!$F$5:$F$150,MATCH(C3620,Akaun!$A$5:$A$150,0)))</f>
        <v/>
      </c>
      <c r="H3620" s="1" t="str">
        <f aca="false">IF(C3620="","",INDEX(Akaun!$D$5:$D$150,MATCH(C3620,Akaun!$A$5:$A$150,0)))</f>
        <v/>
      </c>
    </row>
    <row r="3621" customFormat="false" ht="15" hidden="false" customHeight="true" outlineLevel="0" collapsed="false">
      <c r="G3621" s="1" t="str">
        <f aca="false">IF(C3621="","",INDEX(Akaun!$F$5:$F$150,MATCH(C3621,Akaun!$A$5:$A$150,0)))</f>
        <v/>
      </c>
      <c r="H3621" s="1" t="str">
        <f aca="false">IF(C3621="","",INDEX(Akaun!$D$5:$D$150,MATCH(C3621,Akaun!$A$5:$A$150,0)))</f>
        <v/>
      </c>
    </row>
    <row r="3622" customFormat="false" ht="15" hidden="false" customHeight="true" outlineLevel="0" collapsed="false">
      <c r="G3622" s="1" t="str">
        <f aca="false">IF(C3622="","",INDEX(Akaun!$F$5:$F$150,MATCH(C3622,Akaun!$A$5:$A$150,0)))</f>
        <v/>
      </c>
      <c r="H3622" s="1" t="str">
        <f aca="false">IF(C3622="","",INDEX(Akaun!$D$5:$D$150,MATCH(C3622,Akaun!$A$5:$A$150,0)))</f>
        <v/>
      </c>
    </row>
    <row r="3623" customFormat="false" ht="15" hidden="false" customHeight="true" outlineLevel="0" collapsed="false">
      <c r="G3623" s="1" t="str">
        <f aca="false">IF(C3623="","",INDEX(Akaun!$F$5:$F$150,MATCH(C3623,Akaun!$A$5:$A$150,0)))</f>
        <v/>
      </c>
      <c r="H3623" s="1" t="str">
        <f aca="false">IF(C3623="","",INDEX(Akaun!$D$5:$D$150,MATCH(C3623,Akaun!$A$5:$A$150,0)))</f>
        <v/>
      </c>
    </row>
    <row r="3624" customFormat="false" ht="15" hidden="false" customHeight="true" outlineLevel="0" collapsed="false">
      <c r="G3624" s="1" t="str">
        <f aca="false">IF(C3624="","",INDEX(Akaun!$F$5:$F$150,MATCH(C3624,Akaun!$A$5:$A$150,0)))</f>
        <v/>
      </c>
      <c r="H3624" s="1" t="str">
        <f aca="false">IF(C3624="","",INDEX(Akaun!$D$5:$D$150,MATCH(C3624,Akaun!$A$5:$A$150,0)))</f>
        <v/>
      </c>
    </row>
    <row r="3625" customFormat="false" ht="15" hidden="false" customHeight="true" outlineLevel="0" collapsed="false">
      <c r="G3625" s="1" t="str">
        <f aca="false">IF(C3625="","",INDEX(Akaun!$F$5:$F$150,MATCH(C3625,Akaun!$A$5:$A$150,0)))</f>
        <v/>
      </c>
      <c r="H3625" s="1" t="str">
        <f aca="false">IF(C3625="","",INDEX(Akaun!$D$5:$D$150,MATCH(C3625,Akaun!$A$5:$A$150,0)))</f>
        <v/>
      </c>
    </row>
    <row r="3626" customFormat="false" ht="15" hidden="false" customHeight="true" outlineLevel="0" collapsed="false">
      <c r="G3626" s="1" t="str">
        <f aca="false">IF(C3626="","",INDEX(Akaun!$F$5:$F$150,MATCH(C3626,Akaun!$A$5:$A$150,0)))</f>
        <v/>
      </c>
      <c r="H3626" s="1" t="str">
        <f aca="false">IF(C3626="","",INDEX(Akaun!$D$5:$D$150,MATCH(C3626,Akaun!$A$5:$A$150,0)))</f>
        <v/>
      </c>
    </row>
    <row r="3627" customFormat="false" ht="15" hidden="false" customHeight="true" outlineLevel="0" collapsed="false">
      <c r="G3627" s="1" t="str">
        <f aca="false">IF(C3627="","",INDEX(Akaun!$F$5:$F$150,MATCH(C3627,Akaun!$A$5:$A$150,0)))</f>
        <v/>
      </c>
      <c r="H3627" s="1" t="str">
        <f aca="false">IF(C3627="","",INDEX(Akaun!$D$5:$D$150,MATCH(C3627,Akaun!$A$5:$A$150,0)))</f>
        <v/>
      </c>
    </row>
    <row r="3628" customFormat="false" ht="15" hidden="false" customHeight="true" outlineLevel="0" collapsed="false">
      <c r="G3628" s="1" t="str">
        <f aca="false">IF(C3628="","",INDEX(Akaun!$F$5:$F$150,MATCH(C3628,Akaun!$A$5:$A$150,0)))</f>
        <v/>
      </c>
      <c r="H3628" s="1" t="str">
        <f aca="false">IF(C3628="","",INDEX(Akaun!$D$5:$D$150,MATCH(C3628,Akaun!$A$5:$A$150,0)))</f>
        <v/>
      </c>
    </row>
    <row r="3629" customFormat="false" ht="15" hidden="false" customHeight="true" outlineLevel="0" collapsed="false">
      <c r="G3629" s="1" t="str">
        <f aca="false">IF(C3629="","",INDEX(Akaun!$F$5:$F$150,MATCH(C3629,Akaun!$A$5:$A$150,0)))</f>
        <v/>
      </c>
      <c r="H3629" s="1" t="str">
        <f aca="false">IF(C3629="","",INDEX(Akaun!$D$5:$D$150,MATCH(C3629,Akaun!$A$5:$A$150,0)))</f>
        <v/>
      </c>
    </row>
    <row r="3630" customFormat="false" ht="15" hidden="false" customHeight="true" outlineLevel="0" collapsed="false">
      <c r="G3630" s="1" t="str">
        <f aca="false">IF(C3630="","",INDEX(Akaun!$F$5:$F$150,MATCH(C3630,Akaun!$A$5:$A$150,0)))</f>
        <v/>
      </c>
      <c r="H3630" s="1" t="str">
        <f aca="false">IF(C3630="","",INDEX(Akaun!$D$5:$D$150,MATCH(C3630,Akaun!$A$5:$A$150,0)))</f>
        <v/>
      </c>
    </row>
    <row r="3631" customFormat="false" ht="15" hidden="false" customHeight="true" outlineLevel="0" collapsed="false">
      <c r="G3631" s="1" t="str">
        <f aca="false">IF(C3631="","",INDEX(Akaun!$F$5:$F$150,MATCH(C3631,Akaun!$A$5:$A$150,0)))</f>
        <v/>
      </c>
      <c r="H3631" s="1" t="str">
        <f aca="false">IF(C3631="","",INDEX(Akaun!$D$5:$D$150,MATCH(C3631,Akaun!$A$5:$A$150,0)))</f>
        <v/>
      </c>
    </row>
    <row r="3632" customFormat="false" ht="15" hidden="false" customHeight="true" outlineLevel="0" collapsed="false">
      <c r="G3632" s="1" t="str">
        <f aca="false">IF(C3632="","",INDEX(Akaun!$F$5:$F$150,MATCH(C3632,Akaun!$A$5:$A$150,0)))</f>
        <v/>
      </c>
      <c r="H3632" s="1" t="str">
        <f aca="false">IF(C3632="","",INDEX(Akaun!$D$5:$D$150,MATCH(C3632,Akaun!$A$5:$A$150,0)))</f>
        <v/>
      </c>
    </row>
    <row r="3633" customFormat="false" ht="15" hidden="false" customHeight="true" outlineLevel="0" collapsed="false">
      <c r="G3633" s="1" t="str">
        <f aca="false">IF(C3633="","",INDEX(Akaun!$F$5:$F$150,MATCH(C3633,Akaun!$A$5:$A$150,0)))</f>
        <v/>
      </c>
      <c r="H3633" s="1" t="str">
        <f aca="false">IF(C3633="","",INDEX(Akaun!$D$5:$D$150,MATCH(C3633,Akaun!$A$5:$A$150,0)))</f>
        <v/>
      </c>
    </row>
    <row r="3634" customFormat="false" ht="15" hidden="false" customHeight="true" outlineLevel="0" collapsed="false">
      <c r="G3634" s="1" t="str">
        <f aca="false">IF(C3634="","",INDEX(Akaun!$F$5:$F$150,MATCH(C3634,Akaun!$A$5:$A$150,0)))</f>
        <v/>
      </c>
      <c r="H3634" s="1" t="str">
        <f aca="false">IF(C3634="","",INDEX(Akaun!$D$5:$D$150,MATCH(C3634,Akaun!$A$5:$A$150,0)))</f>
        <v/>
      </c>
    </row>
    <row r="3635" customFormat="false" ht="15" hidden="false" customHeight="true" outlineLevel="0" collapsed="false">
      <c r="G3635" s="1" t="str">
        <f aca="false">IF(C3635="","",INDEX(Akaun!$F$5:$F$150,MATCH(C3635,Akaun!$A$5:$A$150,0)))</f>
        <v/>
      </c>
      <c r="H3635" s="1" t="str">
        <f aca="false">IF(C3635="","",INDEX(Akaun!$D$5:$D$150,MATCH(C3635,Akaun!$A$5:$A$150,0)))</f>
        <v/>
      </c>
    </row>
    <row r="3636" customFormat="false" ht="15" hidden="false" customHeight="true" outlineLevel="0" collapsed="false">
      <c r="G3636" s="1" t="str">
        <f aca="false">IF(C3636="","",INDEX(Akaun!$F$5:$F$150,MATCH(C3636,Akaun!$A$5:$A$150,0)))</f>
        <v/>
      </c>
      <c r="H3636" s="1" t="str">
        <f aca="false">IF(C3636="","",INDEX(Akaun!$D$5:$D$150,MATCH(C3636,Akaun!$A$5:$A$150,0)))</f>
        <v/>
      </c>
    </row>
    <row r="3637" customFormat="false" ht="15" hidden="false" customHeight="true" outlineLevel="0" collapsed="false">
      <c r="G3637" s="1" t="str">
        <f aca="false">IF(C3637="","",INDEX(Akaun!$F$5:$F$150,MATCH(C3637,Akaun!$A$5:$A$150,0)))</f>
        <v/>
      </c>
      <c r="H3637" s="1" t="str">
        <f aca="false">IF(C3637="","",INDEX(Akaun!$D$5:$D$150,MATCH(C3637,Akaun!$A$5:$A$150,0)))</f>
        <v/>
      </c>
    </row>
    <row r="3638" customFormat="false" ht="15" hidden="false" customHeight="true" outlineLevel="0" collapsed="false">
      <c r="G3638" s="1" t="str">
        <f aca="false">IF(C3638="","",INDEX(Akaun!$F$5:$F$150,MATCH(C3638,Akaun!$A$5:$A$150,0)))</f>
        <v/>
      </c>
      <c r="H3638" s="1" t="str">
        <f aca="false">IF(C3638="","",INDEX(Akaun!$D$5:$D$150,MATCH(C3638,Akaun!$A$5:$A$150,0)))</f>
        <v/>
      </c>
    </row>
    <row r="3639" customFormat="false" ht="15" hidden="false" customHeight="true" outlineLevel="0" collapsed="false">
      <c r="G3639" s="1" t="str">
        <f aca="false">IF(C3639="","",INDEX(Akaun!$F$5:$F$150,MATCH(C3639,Akaun!$A$5:$A$150,0)))</f>
        <v/>
      </c>
      <c r="H3639" s="1" t="str">
        <f aca="false">IF(C3639="","",INDEX(Akaun!$D$5:$D$150,MATCH(C3639,Akaun!$A$5:$A$150,0)))</f>
        <v/>
      </c>
    </row>
    <row r="3640" customFormat="false" ht="15" hidden="false" customHeight="true" outlineLevel="0" collapsed="false">
      <c r="G3640" s="1" t="str">
        <f aca="false">IF(C3640="","",INDEX(Akaun!$F$5:$F$150,MATCH(C3640,Akaun!$A$5:$A$150,0)))</f>
        <v/>
      </c>
      <c r="H3640" s="1" t="str">
        <f aca="false">IF(C3640="","",INDEX(Akaun!$D$5:$D$150,MATCH(C3640,Akaun!$A$5:$A$150,0)))</f>
        <v/>
      </c>
    </row>
    <row r="3641" customFormat="false" ht="15" hidden="false" customHeight="true" outlineLevel="0" collapsed="false">
      <c r="G3641" s="1" t="str">
        <f aca="false">IF(C3641="","",INDEX(Akaun!$F$5:$F$150,MATCH(C3641,Akaun!$A$5:$A$150,0)))</f>
        <v/>
      </c>
      <c r="H3641" s="1" t="str">
        <f aca="false">IF(C3641="","",INDEX(Akaun!$D$5:$D$150,MATCH(C3641,Akaun!$A$5:$A$150,0)))</f>
        <v/>
      </c>
    </row>
    <row r="3642" customFormat="false" ht="15" hidden="false" customHeight="true" outlineLevel="0" collapsed="false">
      <c r="G3642" s="1" t="str">
        <f aca="false">IF(C3642="","",INDEX(Akaun!$F$5:$F$150,MATCH(C3642,Akaun!$A$5:$A$150,0)))</f>
        <v/>
      </c>
      <c r="H3642" s="1" t="str">
        <f aca="false">IF(C3642="","",INDEX(Akaun!$D$5:$D$150,MATCH(C3642,Akaun!$A$5:$A$150,0)))</f>
        <v/>
      </c>
    </row>
    <row r="3643" customFormat="false" ht="15" hidden="false" customHeight="true" outlineLevel="0" collapsed="false">
      <c r="G3643" s="1" t="str">
        <f aca="false">IF(C3643="","",INDEX(Akaun!$F$5:$F$150,MATCH(C3643,Akaun!$A$5:$A$150,0)))</f>
        <v/>
      </c>
      <c r="H3643" s="1" t="str">
        <f aca="false">IF(C3643="","",INDEX(Akaun!$D$5:$D$150,MATCH(C3643,Akaun!$A$5:$A$150,0)))</f>
        <v/>
      </c>
    </row>
    <row r="3644" customFormat="false" ht="15" hidden="false" customHeight="true" outlineLevel="0" collapsed="false">
      <c r="G3644" s="1" t="str">
        <f aca="false">IF(C3644="","",INDEX(Akaun!$F$5:$F$150,MATCH(C3644,Akaun!$A$5:$A$150,0)))</f>
        <v/>
      </c>
      <c r="H3644" s="1" t="str">
        <f aca="false">IF(C3644="","",INDEX(Akaun!$D$5:$D$150,MATCH(C3644,Akaun!$A$5:$A$150,0)))</f>
        <v/>
      </c>
    </row>
    <row r="3645" customFormat="false" ht="15" hidden="false" customHeight="true" outlineLevel="0" collapsed="false">
      <c r="G3645" s="1" t="str">
        <f aca="false">IF(C3645="","",INDEX(Akaun!$F$5:$F$150,MATCH(C3645,Akaun!$A$5:$A$150,0)))</f>
        <v/>
      </c>
      <c r="H3645" s="1" t="str">
        <f aca="false">IF(C3645="","",INDEX(Akaun!$D$5:$D$150,MATCH(C3645,Akaun!$A$5:$A$150,0)))</f>
        <v/>
      </c>
    </row>
    <row r="3646" customFormat="false" ht="15" hidden="false" customHeight="true" outlineLevel="0" collapsed="false">
      <c r="G3646" s="1" t="str">
        <f aca="false">IF(C3646="","",INDEX(Akaun!$F$5:$F$150,MATCH(C3646,Akaun!$A$5:$A$150,0)))</f>
        <v/>
      </c>
      <c r="H3646" s="1" t="str">
        <f aca="false">IF(C3646="","",INDEX(Akaun!$D$5:$D$150,MATCH(C3646,Akaun!$A$5:$A$150,0)))</f>
        <v/>
      </c>
    </row>
    <row r="3647" customFormat="false" ht="15" hidden="false" customHeight="true" outlineLevel="0" collapsed="false">
      <c r="G3647" s="1" t="str">
        <f aca="false">IF(C3647="","",INDEX(Akaun!$F$5:$F$150,MATCH(C3647,Akaun!$A$5:$A$150,0)))</f>
        <v/>
      </c>
      <c r="H3647" s="1" t="str">
        <f aca="false">IF(C3647="","",INDEX(Akaun!$D$5:$D$150,MATCH(C3647,Akaun!$A$5:$A$150,0)))</f>
        <v/>
      </c>
    </row>
    <row r="3648" customFormat="false" ht="15" hidden="false" customHeight="true" outlineLevel="0" collapsed="false">
      <c r="G3648" s="1" t="str">
        <f aca="false">IF(C3648="","",INDEX(Akaun!$F$5:$F$150,MATCH(C3648,Akaun!$A$5:$A$150,0)))</f>
        <v/>
      </c>
      <c r="H3648" s="1" t="str">
        <f aca="false">IF(C3648="","",INDEX(Akaun!$D$5:$D$150,MATCH(C3648,Akaun!$A$5:$A$150,0)))</f>
        <v/>
      </c>
    </row>
    <row r="3649" customFormat="false" ht="15" hidden="false" customHeight="true" outlineLevel="0" collapsed="false">
      <c r="G3649" s="1" t="str">
        <f aca="false">IF(C3649="","",INDEX(Akaun!$F$5:$F$150,MATCH(C3649,Akaun!$A$5:$A$150,0)))</f>
        <v/>
      </c>
      <c r="H3649" s="1" t="str">
        <f aca="false">IF(C3649="","",INDEX(Akaun!$D$5:$D$150,MATCH(C3649,Akaun!$A$5:$A$150,0)))</f>
        <v/>
      </c>
    </row>
    <row r="3650" customFormat="false" ht="15" hidden="false" customHeight="true" outlineLevel="0" collapsed="false">
      <c r="G3650" s="1" t="str">
        <f aca="false">IF(C3650="","",INDEX(Akaun!$F$5:$F$150,MATCH(C3650,Akaun!$A$5:$A$150,0)))</f>
        <v/>
      </c>
      <c r="H3650" s="1" t="str">
        <f aca="false">IF(C3650="","",INDEX(Akaun!$D$5:$D$150,MATCH(C3650,Akaun!$A$5:$A$150,0)))</f>
        <v/>
      </c>
    </row>
    <row r="3651" customFormat="false" ht="15" hidden="false" customHeight="true" outlineLevel="0" collapsed="false">
      <c r="G3651" s="1" t="str">
        <f aca="false">IF(C3651="","",INDEX(Akaun!$F$5:$F$150,MATCH(C3651,Akaun!$A$5:$A$150,0)))</f>
        <v/>
      </c>
      <c r="H3651" s="1" t="str">
        <f aca="false">IF(C3651="","",INDEX(Akaun!$D$5:$D$150,MATCH(C3651,Akaun!$A$5:$A$150,0)))</f>
        <v/>
      </c>
    </row>
    <row r="3652" customFormat="false" ht="15" hidden="false" customHeight="true" outlineLevel="0" collapsed="false">
      <c r="G3652" s="1" t="str">
        <f aca="false">IF(C3652="","",INDEX(Akaun!$F$5:$F$150,MATCH(C3652,Akaun!$A$5:$A$150,0)))</f>
        <v/>
      </c>
      <c r="H3652" s="1" t="str">
        <f aca="false">IF(C3652="","",INDEX(Akaun!$D$5:$D$150,MATCH(C3652,Akaun!$A$5:$A$150,0)))</f>
        <v/>
      </c>
    </row>
    <row r="3653" customFormat="false" ht="15" hidden="false" customHeight="true" outlineLevel="0" collapsed="false">
      <c r="G3653" s="1" t="str">
        <f aca="false">IF(C3653="","",INDEX(Akaun!$F$5:$F$150,MATCH(C3653,Akaun!$A$5:$A$150,0)))</f>
        <v/>
      </c>
      <c r="H3653" s="1" t="str">
        <f aca="false">IF(C3653="","",INDEX(Akaun!$D$5:$D$150,MATCH(C3653,Akaun!$A$5:$A$150,0)))</f>
        <v/>
      </c>
    </row>
    <row r="3654" customFormat="false" ht="15" hidden="false" customHeight="true" outlineLevel="0" collapsed="false">
      <c r="G3654" s="1" t="str">
        <f aca="false">IF(C3654="","",INDEX(Akaun!$F$5:$F$150,MATCH(C3654,Akaun!$A$5:$A$150,0)))</f>
        <v/>
      </c>
      <c r="H3654" s="1" t="str">
        <f aca="false">IF(C3654="","",INDEX(Akaun!$D$5:$D$150,MATCH(C3654,Akaun!$A$5:$A$150,0)))</f>
        <v/>
      </c>
    </row>
    <row r="3655" customFormat="false" ht="15" hidden="false" customHeight="true" outlineLevel="0" collapsed="false">
      <c r="G3655" s="1" t="str">
        <f aca="false">IF(C3655="","",INDEX(Akaun!$F$5:$F$150,MATCH(C3655,Akaun!$A$5:$A$150,0)))</f>
        <v/>
      </c>
      <c r="H3655" s="1" t="str">
        <f aca="false">IF(C3655="","",INDEX(Akaun!$D$5:$D$150,MATCH(C3655,Akaun!$A$5:$A$150,0)))</f>
        <v/>
      </c>
    </row>
    <row r="3656" customFormat="false" ht="15" hidden="false" customHeight="true" outlineLevel="0" collapsed="false">
      <c r="G3656" s="1" t="str">
        <f aca="false">IF(C3656="","",INDEX(Akaun!$F$5:$F$150,MATCH(C3656,Akaun!$A$5:$A$150,0)))</f>
        <v/>
      </c>
      <c r="H3656" s="1" t="str">
        <f aca="false">IF(C3656="","",INDEX(Akaun!$D$5:$D$150,MATCH(C3656,Akaun!$A$5:$A$150,0)))</f>
        <v/>
      </c>
    </row>
    <row r="3657" customFormat="false" ht="15" hidden="false" customHeight="true" outlineLevel="0" collapsed="false">
      <c r="G3657" s="1" t="str">
        <f aca="false">IF(C3657="","",INDEX(Akaun!$F$5:$F$150,MATCH(C3657,Akaun!$A$5:$A$150,0)))</f>
        <v/>
      </c>
      <c r="H3657" s="1" t="str">
        <f aca="false">IF(C3657="","",INDEX(Akaun!$D$5:$D$150,MATCH(C3657,Akaun!$A$5:$A$150,0)))</f>
        <v/>
      </c>
    </row>
    <row r="3658" customFormat="false" ht="15" hidden="false" customHeight="true" outlineLevel="0" collapsed="false">
      <c r="G3658" s="1" t="str">
        <f aca="false">IF(C3658="","",INDEX(Akaun!$F$5:$F$150,MATCH(C3658,Akaun!$A$5:$A$150,0)))</f>
        <v/>
      </c>
      <c r="H3658" s="1" t="str">
        <f aca="false">IF(C3658="","",INDEX(Akaun!$D$5:$D$150,MATCH(C3658,Akaun!$A$5:$A$150,0)))</f>
        <v/>
      </c>
    </row>
    <row r="3659" customFormat="false" ht="15" hidden="false" customHeight="true" outlineLevel="0" collapsed="false">
      <c r="G3659" s="1" t="str">
        <f aca="false">IF(C3659="","",INDEX(Akaun!$F$5:$F$150,MATCH(C3659,Akaun!$A$5:$A$150,0)))</f>
        <v/>
      </c>
      <c r="H3659" s="1" t="str">
        <f aca="false">IF(C3659="","",INDEX(Akaun!$D$5:$D$150,MATCH(C3659,Akaun!$A$5:$A$150,0)))</f>
        <v/>
      </c>
    </row>
    <row r="3660" customFormat="false" ht="15" hidden="false" customHeight="true" outlineLevel="0" collapsed="false">
      <c r="G3660" s="1" t="str">
        <f aca="false">IF(C3660="","",INDEX(Akaun!$F$5:$F$150,MATCH(C3660,Akaun!$A$5:$A$150,0)))</f>
        <v/>
      </c>
      <c r="H3660" s="1" t="str">
        <f aca="false">IF(C3660="","",INDEX(Akaun!$D$5:$D$150,MATCH(C3660,Akaun!$A$5:$A$150,0)))</f>
        <v/>
      </c>
    </row>
    <row r="3661" customFormat="false" ht="15" hidden="false" customHeight="true" outlineLevel="0" collapsed="false">
      <c r="G3661" s="1" t="str">
        <f aca="false">IF(C3661="","",INDEX(Akaun!$F$5:$F$150,MATCH(C3661,Akaun!$A$5:$A$150,0)))</f>
        <v/>
      </c>
      <c r="H3661" s="1" t="str">
        <f aca="false">IF(C3661="","",INDEX(Akaun!$D$5:$D$150,MATCH(C3661,Akaun!$A$5:$A$150,0)))</f>
        <v/>
      </c>
    </row>
    <row r="3662" customFormat="false" ht="15" hidden="false" customHeight="true" outlineLevel="0" collapsed="false">
      <c r="G3662" s="1" t="str">
        <f aca="false">IF(C3662="","",INDEX(Akaun!$F$5:$F$150,MATCH(C3662,Akaun!$A$5:$A$150,0)))</f>
        <v/>
      </c>
      <c r="H3662" s="1" t="str">
        <f aca="false">IF(C3662="","",INDEX(Akaun!$D$5:$D$150,MATCH(C3662,Akaun!$A$5:$A$150,0)))</f>
        <v/>
      </c>
    </row>
    <row r="3663" customFormat="false" ht="15" hidden="false" customHeight="true" outlineLevel="0" collapsed="false">
      <c r="G3663" s="1" t="str">
        <f aca="false">IF(C3663="","",INDEX(Akaun!$F$5:$F$150,MATCH(C3663,Akaun!$A$5:$A$150,0)))</f>
        <v/>
      </c>
      <c r="H3663" s="1" t="str">
        <f aca="false">IF(C3663="","",INDEX(Akaun!$D$5:$D$150,MATCH(C3663,Akaun!$A$5:$A$150,0)))</f>
        <v/>
      </c>
    </row>
    <row r="3664" customFormat="false" ht="15" hidden="false" customHeight="true" outlineLevel="0" collapsed="false">
      <c r="G3664" s="1" t="str">
        <f aca="false">IF(C3664="","",INDEX(Akaun!$F$5:$F$150,MATCH(C3664,Akaun!$A$5:$A$150,0)))</f>
        <v/>
      </c>
      <c r="H3664" s="1" t="str">
        <f aca="false">IF(C3664="","",INDEX(Akaun!$D$5:$D$150,MATCH(C3664,Akaun!$A$5:$A$150,0)))</f>
        <v/>
      </c>
    </row>
    <row r="3665" customFormat="false" ht="15" hidden="false" customHeight="true" outlineLevel="0" collapsed="false">
      <c r="G3665" s="1" t="str">
        <f aca="false">IF(C3665="","",INDEX(Akaun!$F$5:$F$150,MATCH(C3665,Akaun!$A$5:$A$150,0)))</f>
        <v/>
      </c>
      <c r="H3665" s="1" t="str">
        <f aca="false">IF(C3665="","",INDEX(Akaun!$D$5:$D$150,MATCH(C3665,Akaun!$A$5:$A$150,0)))</f>
        <v/>
      </c>
    </row>
    <row r="3666" customFormat="false" ht="15" hidden="false" customHeight="true" outlineLevel="0" collapsed="false">
      <c r="G3666" s="1" t="str">
        <f aca="false">IF(C3666="","",INDEX(Akaun!$F$5:$F$150,MATCH(C3666,Akaun!$A$5:$A$150,0)))</f>
        <v/>
      </c>
      <c r="H3666" s="1" t="str">
        <f aca="false">IF(C3666="","",INDEX(Akaun!$D$5:$D$150,MATCH(C3666,Akaun!$A$5:$A$150,0)))</f>
        <v/>
      </c>
    </row>
    <row r="3667" customFormat="false" ht="15" hidden="false" customHeight="true" outlineLevel="0" collapsed="false">
      <c r="G3667" s="1" t="str">
        <f aca="false">IF(C3667="","",INDEX(Akaun!$F$5:$F$150,MATCH(C3667,Akaun!$A$5:$A$150,0)))</f>
        <v/>
      </c>
      <c r="H3667" s="1" t="str">
        <f aca="false">IF(C3667="","",INDEX(Akaun!$D$5:$D$150,MATCH(C3667,Akaun!$A$5:$A$150,0)))</f>
        <v/>
      </c>
    </row>
    <row r="3668" customFormat="false" ht="15" hidden="false" customHeight="true" outlineLevel="0" collapsed="false">
      <c r="G3668" s="1" t="str">
        <f aca="false">IF(C3668="","",INDEX(Akaun!$F$5:$F$150,MATCH(C3668,Akaun!$A$5:$A$150,0)))</f>
        <v/>
      </c>
      <c r="H3668" s="1" t="str">
        <f aca="false">IF(C3668="","",INDEX(Akaun!$D$5:$D$150,MATCH(C3668,Akaun!$A$5:$A$150,0)))</f>
        <v/>
      </c>
    </row>
    <row r="3669" customFormat="false" ht="15" hidden="false" customHeight="true" outlineLevel="0" collapsed="false">
      <c r="G3669" s="1" t="str">
        <f aca="false">IF(C3669="","",INDEX(Akaun!$F$5:$F$150,MATCH(C3669,Akaun!$A$5:$A$150,0)))</f>
        <v/>
      </c>
      <c r="H3669" s="1" t="str">
        <f aca="false">IF(C3669="","",INDEX(Akaun!$D$5:$D$150,MATCH(C3669,Akaun!$A$5:$A$150,0)))</f>
        <v/>
      </c>
    </row>
    <row r="3670" customFormat="false" ht="15" hidden="false" customHeight="true" outlineLevel="0" collapsed="false">
      <c r="G3670" s="1" t="str">
        <f aca="false">IF(C3670="","",INDEX(Akaun!$F$5:$F$150,MATCH(C3670,Akaun!$A$5:$A$150,0)))</f>
        <v/>
      </c>
      <c r="H3670" s="1" t="str">
        <f aca="false">IF(C3670="","",INDEX(Akaun!$D$5:$D$150,MATCH(C3670,Akaun!$A$5:$A$150,0)))</f>
        <v/>
      </c>
    </row>
    <row r="3671" customFormat="false" ht="15" hidden="false" customHeight="true" outlineLevel="0" collapsed="false">
      <c r="G3671" s="1" t="str">
        <f aca="false">IF(C3671="","",INDEX(Akaun!$F$5:$F$150,MATCH(C3671,Akaun!$A$5:$A$150,0)))</f>
        <v/>
      </c>
      <c r="H3671" s="1" t="str">
        <f aca="false">IF(C3671="","",INDEX(Akaun!$D$5:$D$150,MATCH(C3671,Akaun!$A$5:$A$150,0)))</f>
        <v/>
      </c>
    </row>
    <row r="3672" customFormat="false" ht="15" hidden="false" customHeight="true" outlineLevel="0" collapsed="false">
      <c r="G3672" s="1" t="str">
        <f aca="false">IF(C3672="","",INDEX(Akaun!$F$5:$F$150,MATCH(C3672,Akaun!$A$5:$A$150,0)))</f>
        <v/>
      </c>
      <c r="H3672" s="1" t="str">
        <f aca="false">IF(C3672="","",INDEX(Akaun!$D$5:$D$150,MATCH(C3672,Akaun!$A$5:$A$150,0)))</f>
        <v/>
      </c>
    </row>
    <row r="3673" customFormat="false" ht="15" hidden="false" customHeight="true" outlineLevel="0" collapsed="false">
      <c r="G3673" s="1" t="str">
        <f aca="false">IF(C3673="","",INDEX(Akaun!$F$5:$F$150,MATCH(C3673,Akaun!$A$5:$A$150,0)))</f>
        <v/>
      </c>
      <c r="H3673" s="1" t="str">
        <f aca="false">IF(C3673="","",INDEX(Akaun!$D$5:$D$150,MATCH(C3673,Akaun!$A$5:$A$150,0)))</f>
        <v/>
      </c>
    </row>
    <row r="3674" customFormat="false" ht="15" hidden="false" customHeight="true" outlineLevel="0" collapsed="false">
      <c r="G3674" s="1" t="str">
        <f aca="false">IF(C3674="","",INDEX(Akaun!$F$5:$F$150,MATCH(C3674,Akaun!$A$5:$A$150,0)))</f>
        <v/>
      </c>
      <c r="H3674" s="1" t="str">
        <f aca="false">IF(C3674="","",INDEX(Akaun!$D$5:$D$150,MATCH(C3674,Akaun!$A$5:$A$150,0)))</f>
        <v/>
      </c>
    </row>
    <row r="3675" customFormat="false" ht="15" hidden="false" customHeight="true" outlineLevel="0" collapsed="false">
      <c r="G3675" s="1" t="str">
        <f aca="false">IF(C3675="","",INDEX(Akaun!$F$5:$F$150,MATCH(C3675,Akaun!$A$5:$A$150,0)))</f>
        <v/>
      </c>
      <c r="H3675" s="1" t="str">
        <f aca="false">IF(C3675="","",INDEX(Akaun!$D$5:$D$150,MATCH(C3675,Akaun!$A$5:$A$150,0)))</f>
        <v/>
      </c>
    </row>
    <row r="3676" customFormat="false" ht="15" hidden="false" customHeight="true" outlineLevel="0" collapsed="false">
      <c r="G3676" s="1" t="str">
        <f aca="false">IF(C3676="","",INDEX(Akaun!$F$5:$F$150,MATCH(C3676,Akaun!$A$5:$A$150,0)))</f>
        <v/>
      </c>
      <c r="H3676" s="1" t="str">
        <f aca="false">IF(C3676="","",INDEX(Akaun!$D$5:$D$150,MATCH(C3676,Akaun!$A$5:$A$150,0)))</f>
        <v/>
      </c>
    </row>
    <row r="3677" customFormat="false" ht="15" hidden="false" customHeight="true" outlineLevel="0" collapsed="false">
      <c r="G3677" s="1" t="str">
        <f aca="false">IF(C3677="","",INDEX(Akaun!$F$5:$F$150,MATCH(C3677,Akaun!$A$5:$A$150,0)))</f>
        <v/>
      </c>
      <c r="H3677" s="1" t="str">
        <f aca="false">IF(C3677="","",INDEX(Akaun!$D$5:$D$150,MATCH(C3677,Akaun!$A$5:$A$150,0)))</f>
        <v/>
      </c>
    </row>
    <row r="3678" customFormat="false" ht="15" hidden="false" customHeight="true" outlineLevel="0" collapsed="false">
      <c r="G3678" s="1" t="str">
        <f aca="false">IF(C3678="","",INDEX(Akaun!$F$5:$F$150,MATCH(C3678,Akaun!$A$5:$A$150,0)))</f>
        <v/>
      </c>
      <c r="H3678" s="1" t="str">
        <f aca="false">IF(C3678="","",INDEX(Akaun!$D$5:$D$150,MATCH(C3678,Akaun!$A$5:$A$150,0)))</f>
        <v/>
      </c>
    </row>
    <row r="3679" customFormat="false" ht="15" hidden="false" customHeight="true" outlineLevel="0" collapsed="false">
      <c r="G3679" s="1" t="str">
        <f aca="false">IF(C3679="","",INDEX(Akaun!$F$5:$F$150,MATCH(C3679,Akaun!$A$5:$A$150,0)))</f>
        <v/>
      </c>
      <c r="H3679" s="1" t="str">
        <f aca="false">IF(C3679="","",INDEX(Akaun!$D$5:$D$150,MATCH(C3679,Akaun!$A$5:$A$150,0)))</f>
        <v/>
      </c>
    </row>
    <row r="3680" customFormat="false" ht="15" hidden="false" customHeight="true" outlineLevel="0" collapsed="false">
      <c r="G3680" s="1" t="str">
        <f aca="false">IF(C3680="","",INDEX(Akaun!$F$5:$F$150,MATCH(C3680,Akaun!$A$5:$A$150,0)))</f>
        <v/>
      </c>
      <c r="H3680" s="1" t="str">
        <f aca="false">IF(C3680="","",INDEX(Akaun!$D$5:$D$150,MATCH(C3680,Akaun!$A$5:$A$150,0)))</f>
        <v/>
      </c>
    </row>
    <row r="3681" customFormat="false" ht="15" hidden="false" customHeight="true" outlineLevel="0" collapsed="false">
      <c r="G3681" s="1" t="str">
        <f aca="false">IF(C3681="","",INDEX(Akaun!$F$5:$F$150,MATCH(C3681,Akaun!$A$5:$A$150,0)))</f>
        <v/>
      </c>
      <c r="H3681" s="1" t="str">
        <f aca="false">IF(C3681="","",INDEX(Akaun!$D$5:$D$150,MATCH(C3681,Akaun!$A$5:$A$150,0)))</f>
        <v/>
      </c>
    </row>
    <row r="3682" customFormat="false" ht="15" hidden="false" customHeight="true" outlineLevel="0" collapsed="false">
      <c r="G3682" s="1" t="str">
        <f aca="false">IF(C3682="","",INDEX(Akaun!$F$5:$F$150,MATCH(C3682,Akaun!$A$5:$A$150,0)))</f>
        <v/>
      </c>
      <c r="H3682" s="1" t="str">
        <f aca="false">IF(C3682="","",INDEX(Akaun!$D$5:$D$150,MATCH(C3682,Akaun!$A$5:$A$150,0)))</f>
        <v/>
      </c>
    </row>
    <row r="3683" customFormat="false" ht="15" hidden="false" customHeight="true" outlineLevel="0" collapsed="false">
      <c r="G3683" s="1" t="str">
        <f aca="false">IF(C3683="","",INDEX(Akaun!$F$5:$F$150,MATCH(C3683,Akaun!$A$5:$A$150,0)))</f>
        <v/>
      </c>
      <c r="H3683" s="1" t="str">
        <f aca="false">IF(C3683="","",INDEX(Akaun!$D$5:$D$150,MATCH(C3683,Akaun!$A$5:$A$150,0)))</f>
        <v/>
      </c>
    </row>
    <row r="3684" customFormat="false" ht="15" hidden="false" customHeight="true" outlineLevel="0" collapsed="false">
      <c r="G3684" s="1" t="str">
        <f aca="false">IF(C3684="","",INDEX(Akaun!$F$5:$F$150,MATCH(C3684,Akaun!$A$5:$A$150,0)))</f>
        <v/>
      </c>
      <c r="H3684" s="1" t="str">
        <f aca="false">IF(C3684="","",INDEX(Akaun!$D$5:$D$150,MATCH(C3684,Akaun!$A$5:$A$150,0)))</f>
        <v/>
      </c>
    </row>
    <row r="3685" customFormat="false" ht="15" hidden="false" customHeight="true" outlineLevel="0" collapsed="false">
      <c r="G3685" s="1" t="str">
        <f aca="false">IF(C3685="","",INDEX(Akaun!$F$5:$F$150,MATCH(C3685,Akaun!$A$5:$A$150,0)))</f>
        <v/>
      </c>
      <c r="H3685" s="1" t="str">
        <f aca="false">IF(C3685="","",INDEX(Akaun!$D$5:$D$150,MATCH(C3685,Akaun!$A$5:$A$150,0)))</f>
        <v/>
      </c>
    </row>
    <row r="3686" customFormat="false" ht="15" hidden="false" customHeight="true" outlineLevel="0" collapsed="false">
      <c r="G3686" s="1" t="str">
        <f aca="false">IF(C3686="","",INDEX(Akaun!$F$5:$F$150,MATCH(C3686,Akaun!$A$5:$A$150,0)))</f>
        <v/>
      </c>
      <c r="H3686" s="1" t="str">
        <f aca="false">IF(C3686="","",INDEX(Akaun!$D$5:$D$150,MATCH(C3686,Akaun!$A$5:$A$150,0)))</f>
        <v/>
      </c>
    </row>
    <row r="3687" customFormat="false" ht="15" hidden="false" customHeight="true" outlineLevel="0" collapsed="false">
      <c r="G3687" s="1" t="str">
        <f aca="false">IF(C3687="","",INDEX(Akaun!$F$5:$F$150,MATCH(C3687,Akaun!$A$5:$A$150,0)))</f>
        <v/>
      </c>
      <c r="H3687" s="1" t="str">
        <f aca="false">IF(C3687="","",INDEX(Akaun!$D$5:$D$150,MATCH(C3687,Akaun!$A$5:$A$150,0)))</f>
        <v/>
      </c>
    </row>
    <row r="3688" customFormat="false" ht="15" hidden="false" customHeight="true" outlineLevel="0" collapsed="false">
      <c r="G3688" s="1" t="str">
        <f aca="false">IF(C3688="","",INDEX(Akaun!$F$5:$F$150,MATCH(C3688,Akaun!$A$5:$A$150,0)))</f>
        <v/>
      </c>
      <c r="H3688" s="1" t="str">
        <f aca="false">IF(C3688="","",INDEX(Akaun!$D$5:$D$150,MATCH(C3688,Akaun!$A$5:$A$150,0)))</f>
        <v/>
      </c>
    </row>
    <row r="3689" customFormat="false" ht="15" hidden="false" customHeight="true" outlineLevel="0" collapsed="false">
      <c r="G3689" s="1" t="str">
        <f aca="false">IF(C3689="","",INDEX(Akaun!$F$5:$F$150,MATCH(C3689,Akaun!$A$5:$A$150,0)))</f>
        <v/>
      </c>
      <c r="H3689" s="1" t="str">
        <f aca="false">IF(C3689="","",INDEX(Akaun!$D$5:$D$150,MATCH(C3689,Akaun!$A$5:$A$150,0)))</f>
        <v/>
      </c>
    </row>
    <row r="3690" customFormat="false" ht="15" hidden="false" customHeight="true" outlineLevel="0" collapsed="false">
      <c r="G3690" s="1" t="str">
        <f aca="false">IF(C3690="","",INDEX(Akaun!$F$5:$F$150,MATCH(C3690,Akaun!$A$5:$A$150,0)))</f>
        <v/>
      </c>
      <c r="H3690" s="1" t="str">
        <f aca="false">IF(C3690="","",INDEX(Akaun!$D$5:$D$150,MATCH(C3690,Akaun!$A$5:$A$150,0)))</f>
        <v/>
      </c>
    </row>
    <row r="3691" customFormat="false" ht="15" hidden="false" customHeight="true" outlineLevel="0" collapsed="false">
      <c r="G3691" s="1" t="str">
        <f aca="false">IF(C3691="","",INDEX(Akaun!$F$5:$F$150,MATCH(C3691,Akaun!$A$5:$A$150,0)))</f>
        <v/>
      </c>
      <c r="H3691" s="1" t="str">
        <f aca="false">IF(C3691="","",INDEX(Akaun!$D$5:$D$150,MATCH(C3691,Akaun!$A$5:$A$150,0)))</f>
        <v/>
      </c>
    </row>
    <row r="3692" customFormat="false" ht="15" hidden="false" customHeight="true" outlineLevel="0" collapsed="false">
      <c r="G3692" s="1" t="str">
        <f aca="false">IF(C3692="","",INDEX(Akaun!$F$5:$F$150,MATCH(C3692,Akaun!$A$5:$A$150,0)))</f>
        <v/>
      </c>
      <c r="H3692" s="1" t="str">
        <f aca="false">IF(C3692="","",INDEX(Akaun!$D$5:$D$150,MATCH(C3692,Akaun!$A$5:$A$150,0)))</f>
        <v/>
      </c>
    </row>
    <row r="3693" customFormat="false" ht="15" hidden="false" customHeight="true" outlineLevel="0" collapsed="false">
      <c r="G3693" s="1" t="str">
        <f aca="false">IF(C3693="","",INDEX(Akaun!$F$5:$F$150,MATCH(C3693,Akaun!$A$5:$A$150,0)))</f>
        <v/>
      </c>
      <c r="H3693" s="1" t="str">
        <f aca="false">IF(C3693="","",INDEX(Akaun!$D$5:$D$150,MATCH(C3693,Akaun!$A$5:$A$150,0)))</f>
        <v/>
      </c>
    </row>
    <row r="3694" customFormat="false" ht="15" hidden="false" customHeight="true" outlineLevel="0" collapsed="false">
      <c r="G3694" s="1" t="str">
        <f aca="false">IF(C3694="","",INDEX(Akaun!$F$5:$F$150,MATCH(C3694,Akaun!$A$5:$A$150,0)))</f>
        <v/>
      </c>
      <c r="H3694" s="1" t="str">
        <f aca="false">IF(C3694="","",INDEX(Akaun!$D$5:$D$150,MATCH(C3694,Akaun!$A$5:$A$150,0)))</f>
        <v/>
      </c>
    </row>
    <row r="3695" customFormat="false" ht="15" hidden="false" customHeight="true" outlineLevel="0" collapsed="false">
      <c r="G3695" s="1" t="str">
        <f aca="false">IF(C3695="","",INDEX(Akaun!$F$5:$F$150,MATCH(C3695,Akaun!$A$5:$A$150,0)))</f>
        <v/>
      </c>
      <c r="H3695" s="1" t="str">
        <f aca="false">IF(C3695="","",INDEX(Akaun!$D$5:$D$150,MATCH(C3695,Akaun!$A$5:$A$150,0)))</f>
        <v/>
      </c>
    </row>
    <row r="3696" customFormat="false" ht="15" hidden="false" customHeight="true" outlineLevel="0" collapsed="false">
      <c r="G3696" s="1" t="str">
        <f aca="false">IF(C3696="","",INDEX(Akaun!$F$5:$F$150,MATCH(C3696,Akaun!$A$5:$A$150,0)))</f>
        <v/>
      </c>
      <c r="H3696" s="1" t="str">
        <f aca="false">IF(C3696="","",INDEX(Akaun!$D$5:$D$150,MATCH(C3696,Akaun!$A$5:$A$150,0)))</f>
        <v/>
      </c>
    </row>
    <row r="3697" customFormat="false" ht="15" hidden="false" customHeight="true" outlineLevel="0" collapsed="false">
      <c r="G3697" s="1" t="str">
        <f aca="false">IF(C3697="","",INDEX(Akaun!$F$5:$F$150,MATCH(C3697,Akaun!$A$5:$A$150,0)))</f>
        <v/>
      </c>
      <c r="H3697" s="1" t="str">
        <f aca="false">IF(C3697="","",INDEX(Akaun!$D$5:$D$150,MATCH(C3697,Akaun!$A$5:$A$150,0)))</f>
        <v/>
      </c>
    </row>
    <row r="3698" customFormat="false" ht="15" hidden="false" customHeight="true" outlineLevel="0" collapsed="false">
      <c r="G3698" s="1" t="str">
        <f aca="false">IF(C3698="","",INDEX(Akaun!$F$5:$F$150,MATCH(C3698,Akaun!$A$5:$A$150,0)))</f>
        <v/>
      </c>
      <c r="H3698" s="1" t="str">
        <f aca="false">IF(C3698="","",INDEX(Akaun!$D$5:$D$150,MATCH(C3698,Akaun!$A$5:$A$150,0)))</f>
        <v/>
      </c>
    </row>
    <row r="3699" customFormat="false" ht="15" hidden="false" customHeight="true" outlineLevel="0" collapsed="false">
      <c r="G3699" s="1" t="str">
        <f aca="false">IF(C3699="","",INDEX(Akaun!$F$5:$F$150,MATCH(C3699,Akaun!$A$5:$A$150,0)))</f>
        <v/>
      </c>
      <c r="H3699" s="1" t="str">
        <f aca="false">IF(C3699="","",INDEX(Akaun!$D$5:$D$150,MATCH(C3699,Akaun!$A$5:$A$150,0)))</f>
        <v/>
      </c>
    </row>
    <row r="3700" customFormat="false" ht="15" hidden="false" customHeight="true" outlineLevel="0" collapsed="false">
      <c r="G3700" s="1" t="str">
        <f aca="false">IF(C3700="","",INDEX(Akaun!$F$5:$F$150,MATCH(C3700,Akaun!$A$5:$A$150,0)))</f>
        <v/>
      </c>
      <c r="H3700" s="1" t="str">
        <f aca="false">IF(C3700="","",INDEX(Akaun!$D$5:$D$150,MATCH(C3700,Akaun!$A$5:$A$150,0)))</f>
        <v/>
      </c>
    </row>
    <row r="3701" customFormat="false" ht="15" hidden="false" customHeight="true" outlineLevel="0" collapsed="false">
      <c r="G3701" s="1" t="str">
        <f aca="false">IF(C3701="","",INDEX(Akaun!$F$5:$F$150,MATCH(C3701,Akaun!$A$5:$A$150,0)))</f>
        <v/>
      </c>
      <c r="H3701" s="1" t="str">
        <f aca="false">IF(C3701="","",INDEX(Akaun!$D$5:$D$150,MATCH(C3701,Akaun!$A$5:$A$150,0)))</f>
        <v/>
      </c>
    </row>
    <row r="3702" customFormat="false" ht="15" hidden="false" customHeight="true" outlineLevel="0" collapsed="false">
      <c r="G3702" s="1" t="str">
        <f aca="false">IF(C3702="","",INDEX(Akaun!$F$5:$F$150,MATCH(C3702,Akaun!$A$5:$A$150,0)))</f>
        <v/>
      </c>
      <c r="H3702" s="1" t="str">
        <f aca="false">IF(C3702="","",INDEX(Akaun!$D$5:$D$150,MATCH(C3702,Akaun!$A$5:$A$150,0)))</f>
        <v/>
      </c>
    </row>
    <row r="3703" customFormat="false" ht="15" hidden="false" customHeight="true" outlineLevel="0" collapsed="false">
      <c r="G3703" s="1" t="str">
        <f aca="false">IF(C3703="","",INDEX(Akaun!$F$5:$F$150,MATCH(C3703,Akaun!$A$5:$A$150,0)))</f>
        <v/>
      </c>
      <c r="H3703" s="1" t="str">
        <f aca="false">IF(C3703="","",INDEX(Akaun!$D$5:$D$150,MATCH(C3703,Akaun!$A$5:$A$150,0)))</f>
        <v/>
      </c>
    </row>
    <row r="3704" customFormat="false" ht="15" hidden="false" customHeight="true" outlineLevel="0" collapsed="false">
      <c r="G3704" s="1" t="str">
        <f aca="false">IF(C3704="","",INDEX(Akaun!$F$5:$F$150,MATCH(C3704,Akaun!$A$5:$A$150,0)))</f>
        <v/>
      </c>
      <c r="H3704" s="1" t="str">
        <f aca="false">IF(C3704="","",INDEX(Akaun!$D$5:$D$150,MATCH(C3704,Akaun!$A$5:$A$150,0)))</f>
        <v/>
      </c>
    </row>
    <row r="3705" customFormat="false" ht="15" hidden="false" customHeight="true" outlineLevel="0" collapsed="false">
      <c r="G3705" s="1" t="str">
        <f aca="false">IF(C3705="","",INDEX(Akaun!$F$5:$F$150,MATCH(C3705,Akaun!$A$5:$A$150,0)))</f>
        <v/>
      </c>
      <c r="H3705" s="1" t="str">
        <f aca="false">IF(C3705="","",INDEX(Akaun!$D$5:$D$150,MATCH(C3705,Akaun!$A$5:$A$150,0)))</f>
        <v/>
      </c>
    </row>
    <row r="3706" customFormat="false" ht="15" hidden="false" customHeight="true" outlineLevel="0" collapsed="false">
      <c r="G3706" s="1" t="str">
        <f aca="false">IF(C3706="","",INDEX(Akaun!$F$5:$F$150,MATCH(C3706,Akaun!$A$5:$A$150,0)))</f>
        <v/>
      </c>
      <c r="H3706" s="1" t="str">
        <f aca="false">IF(C3706="","",INDEX(Akaun!$D$5:$D$150,MATCH(C3706,Akaun!$A$5:$A$150,0)))</f>
        <v/>
      </c>
    </row>
    <row r="3707" customFormat="false" ht="15" hidden="false" customHeight="true" outlineLevel="0" collapsed="false">
      <c r="G3707" s="1" t="str">
        <f aca="false">IF(C3707="","",INDEX(Akaun!$F$5:$F$150,MATCH(C3707,Akaun!$A$5:$A$150,0)))</f>
        <v/>
      </c>
      <c r="H3707" s="1" t="str">
        <f aca="false">IF(C3707="","",INDEX(Akaun!$D$5:$D$150,MATCH(C3707,Akaun!$A$5:$A$150,0)))</f>
        <v/>
      </c>
    </row>
    <row r="3708" customFormat="false" ht="15" hidden="false" customHeight="true" outlineLevel="0" collapsed="false">
      <c r="G3708" s="1" t="str">
        <f aca="false">IF(C3708="","",INDEX(Akaun!$F$5:$F$150,MATCH(C3708,Akaun!$A$5:$A$150,0)))</f>
        <v/>
      </c>
      <c r="H3708" s="1" t="str">
        <f aca="false">IF(C3708="","",INDEX(Akaun!$D$5:$D$150,MATCH(C3708,Akaun!$A$5:$A$150,0)))</f>
        <v/>
      </c>
    </row>
    <row r="3709" customFormat="false" ht="15" hidden="false" customHeight="true" outlineLevel="0" collapsed="false">
      <c r="G3709" s="1" t="str">
        <f aca="false">IF(C3709="","",INDEX(Akaun!$F$5:$F$150,MATCH(C3709,Akaun!$A$5:$A$150,0)))</f>
        <v/>
      </c>
      <c r="H3709" s="1" t="str">
        <f aca="false">IF(C3709="","",INDEX(Akaun!$D$5:$D$150,MATCH(C3709,Akaun!$A$5:$A$150,0)))</f>
        <v/>
      </c>
    </row>
    <row r="3710" customFormat="false" ht="15" hidden="false" customHeight="true" outlineLevel="0" collapsed="false">
      <c r="G3710" s="1" t="str">
        <f aca="false">IF(C3710="","",INDEX(Akaun!$F$5:$F$150,MATCH(C3710,Akaun!$A$5:$A$150,0)))</f>
        <v/>
      </c>
      <c r="H3710" s="1" t="str">
        <f aca="false">IF(C3710="","",INDEX(Akaun!$D$5:$D$150,MATCH(C3710,Akaun!$A$5:$A$150,0)))</f>
        <v/>
      </c>
    </row>
    <row r="3711" customFormat="false" ht="15" hidden="false" customHeight="true" outlineLevel="0" collapsed="false">
      <c r="G3711" s="1" t="str">
        <f aca="false">IF(C3711="","",INDEX(Akaun!$F$5:$F$150,MATCH(C3711,Akaun!$A$5:$A$150,0)))</f>
        <v/>
      </c>
      <c r="H3711" s="1" t="str">
        <f aca="false">IF(C3711="","",INDEX(Akaun!$D$5:$D$150,MATCH(C3711,Akaun!$A$5:$A$150,0)))</f>
        <v/>
      </c>
    </row>
    <row r="3712" customFormat="false" ht="15" hidden="false" customHeight="true" outlineLevel="0" collapsed="false">
      <c r="G3712" s="1" t="str">
        <f aca="false">IF(C3712="","",INDEX(Akaun!$F$5:$F$150,MATCH(C3712,Akaun!$A$5:$A$150,0)))</f>
        <v/>
      </c>
      <c r="H3712" s="1" t="str">
        <f aca="false">IF(C3712="","",INDEX(Akaun!$D$5:$D$150,MATCH(C3712,Akaun!$A$5:$A$150,0)))</f>
        <v/>
      </c>
    </row>
    <row r="3713" customFormat="false" ht="15" hidden="false" customHeight="true" outlineLevel="0" collapsed="false">
      <c r="G3713" s="1" t="str">
        <f aca="false">IF(C3713="","",INDEX(Akaun!$F$5:$F$150,MATCH(C3713,Akaun!$A$5:$A$150,0)))</f>
        <v/>
      </c>
      <c r="H3713" s="1" t="str">
        <f aca="false">IF(C3713="","",INDEX(Akaun!$D$5:$D$150,MATCH(C3713,Akaun!$A$5:$A$150,0)))</f>
        <v/>
      </c>
    </row>
    <row r="3714" customFormat="false" ht="15" hidden="false" customHeight="true" outlineLevel="0" collapsed="false">
      <c r="G3714" s="1" t="str">
        <f aca="false">IF(C3714="","",INDEX(Akaun!$F$5:$F$150,MATCH(C3714,Akaun!$A$5:$A$150,0)))</f>
        <v/>
      </c>
      <c r="H3714" s="1" t="str">
        <f aca="false">IF(C3714="","",INDEX(Akaun!$D$5:$D$150,MATCH(C3714,Akaun!$A$5:$A$150,0)))</f>
        <v/>
      </c>
    </row>
    <row r="3715" customFormat="false" ht="15" hidden="false" customHeight="true" outlineLevel="0" collapsed="false">
      <c r="G3715" s="1" t="str">
        <f aca="false">IF(C3715="","",INDEX(Akaun!$F$5:$F$150,MATCH(C3715,Akaun!$A$5:$A$150,0)))</f>
        <v/>
      </c>
      <c r="H3715" s="1" t="str">
        <f aca="false">IF(C3715="","",INDEX(Akaun!$D$5:$D$150,MATCH(C3715,Akaun!$A$5:$A$150,0)))</f>
        <v/>
      </c>
    </row>
    <row r="3716" customFormat="false" ht="15" hidden="false" customHeight="true" outlineLevel="0" collapsed="false">
      <c r="G3716" s="1" t="str">
        <f aca="false">IF(C3716="","",INDEX(Akaun!$F$5:$F$150,MATCH(C3716,Akaun!$A$5:$A$150,0)))</f>
        <v/>
      </c>
      <c r="H3716" s="1" t="str">
        <f aca="false">IF(C3716="","",INDEX(Akaun!$D$5:$D$150,MATCH(C3716,Akaun!$A$5:$A$150,0)))</f>
        <v/>
      </c>
    </row>
    <row r="3717" customFormat="false" ht="15" hidden="false" customHeight="true" outlineLevel="0" collapsed="false">
      <c r="G3717" s="1" t="str">
        <f aca="false">IF(C3717="","",INDEX(Akaun!$F$5:$F$150,MATCH(C3717,Akaun!$A$5:$A$150,0)))</f>
        <v/>
      </c>
      <c r="H3717" s="1" t="str">
        <f aca="false">IF(C3717="","",INDEX(Akaun!$D$5:$D$150,MATCH(C3717,Akaun!$A$5:$A$150,0)))</f>
        <v/>
      </c>
    </row>
    <row r="3718" customFormat="false" ht="15" hidden="false" customHeight="true" outlineLevel="0" collapsed="false">
      <c r="G3718" s="1" t="str">
        <f aca="false">IF(C3718="","",INDEX(Akaun!$F$5:$F$150,MATCH(C3718,Akaun!$A$5:$A$150,0)))</f>
        <v/>
      </c>
      <c r="H3718" s="1" t="str">
        <f aca="false">IF(C3718="","",INDEX(Akaun!$D$5:$D$150,MATCH(C3718,Akaun!$A$5:$A$150,0)))</f>
        <v/>
      </c>
    </row>
    <row r="3719" customFormat="false" ht="15" hidden="false" customHeight="true" outlineLevel="0" collapsed="false">
      <c r="G3719" s="1" t="str">
        <f aca="false">IF(C3719="","",INDEX(Akaun!$F$5:$F$150,MATCH(C3719,Akaun!$A$5:$A$150,0)))</f>
        <v/>
      </c>
      <c r="H3719" s="1" t="str">
        <f aca="false">IF(C3719="","",INDEX(Akaun!$D$5:$D$150,MATCH(C3719,Akaun!$A$5:$A$150,0)))</f>
        <v/>
      </c>
    </row>
    <row r="3720" customFormat="false" ht="15" hidden="false" customHeight="true" outlineLevel="0" collapsed="false">
      <c r="G3720" s="1" t="str">
        <f aca="false">IF(C3720="","",INDEX(Akaun!$F$5:$F$150,MATCH(C3720,Akaun!$A$5:$A$150,0)))</f>
        <v/>
      </c>
      <c r="H3720" s="1" t="str">
        <f aca="false">IF(C3720="","",INDEX(Akaun!$D$5:$D$150,MATCH(C3720,Akaun!$A$5:$A$150,0)))</f>
        <v/>
      </c>
    </row>
    <row r="3721" customFormat="false" ht="15" hidden="false" customHeight="true" outlineLevel="0" collapsed="false">
      <c r="G3721" s="1" t="str">
        <f aca="false">IF(C3721="","",INDEX(Akaun!$F$5:$F$150,MATCH(C3721,Akaun!$A$5:$A$150,0)))</f>
        <v/>
      </c>
      <c r="H3721" s="1" t="str">
        <f aca="false">IF(C3721="","",INDEX(Akaun!$D$5:$D$150,MATCH(C3721,Akaun!$A$5:$A$150,0)))</f>
        <v/>
      </c>
    </row>
    <row r="3722" customFormat="false" ht="15" hidden="false" customHeight="true" outlineLevel="0" collapsed="false">
      <c r="G3722" s="1" t="str">
        <f aca="false">IF(C3722="","",INDEX(Akaun!$F$5:$F$150,MATCH(C3722,Akaun!$A$5:$A$150,0)))</f>
        <v/>
      </c>
      <c r="H3722" s="1" t="str">
        <f aca="false">IF(C3722="","",INDEX(Akaun!$D$5:$D$150,MATCH(C3722,Akaun!$A$5:$A$150,0)))</f>
        <v/>
      </c>
    </row>
    <row r="3723" customFormat="false" ht="15" hidden="false" customHeight="true" outlineLevel="0" collapsed="false">
      <c r="G3723" s="1" t="str">
        <f aca="false">IF(C3723="","",INDEX(Akaun!$F$5:$F$150,MATCH(C3723,Akaun!$A$5:$A$150,0)))</f>
        <v/>
      </c>
      <c r="H3723" s="1" t="str">
        <f aca="false">IF(C3723="","",INDEX(Akaun!$D$5:$D$150,MATCH(C3723,Akaun!$A$5:$A$150,0)))</f>
        <v/>
      </c>
    </row>
    <row r="3724" customFormat="false" ht="15" hidden="false" customHeight="true" outlineLevel="0" collapsed="false">
      <c r="G3724" s="1" t="str">
        <f aca="false">IF(C3724="","",INDEX(Akaun!$F$5:$F$150,MATCH(C3724,Akaun!$A$5:$A$150,0)))</f>
        <v/>
      </c>
      <c r="H3724" s="1" t="str">
        <f aca="false">IF(C3724="","",INDEX(Akaun!$D$5:$D$150,MATCH(C3724,Akaun!$A$5:$A$150,0)))</f>
        <v/>
      </c>
    </row>
    <row r="3725" customFormat="false" ht="15" hidden="false" customHeight="true" outlineLevel="0" collapsed="false">
      <c r="G3725" s="1" t="str">
        <f aca="false">IF(C3725="","",INDEX(Akaun!$F$5:$F$150,MATCH(C3725,Akaun!$A$5:$A$150,0)))</f>
        <v/>
      </c>
      <c r="H3725" s="1" t="str">
        <f aca="false">IF(C3725="","",INDEX(Akaun!$D$5:$D$150,MATCH(C3725,Akaun!$A$5:$A$150,0)))</f>
        <v/>
      </c>
    </row>
    <row r="3726" customFormat="false" ht="15" hidden="false" customHeight="true" outlineLevel="0" collapsed="false">
      <c r="G3726" s="1" t="str">
        <f aca="false">IF(C3726="","",INDEX(Akaun!$F$5:$F$150,MATCH(C3726,Akaun!$A$5:$A$150,0)))</f>
        <v/>
      </c>
      <c r="H3726" s="1" t="str">
        <f aca="false">IF(C3726="","",INDEX(Akaun!$D$5:$D$150,MATCH(C3726,Akaun!$A$5:$A$150,0)))</f>
        <v/>
      </c>
    </row>
    <row r="3727" customFormat="false" ht="15" hidden="false" customHeight="true" outlineLevel="0" collapsed="false">
      <c r="G3727" s="1" t="str">
        <f aca="false">IF(C3727="","",INDEX(Akaun!$F$5:$F$150,MATCH(C3727,Akaun!$A$5:$A$150,0)))</f>
        <v/>
      </c>
      <c r="H3727" s="1" t="str">
        <f aca="false">IF(C3727="","",INDEX(Akaun!$D$5:$D$150,MATCH(C3727,Akaun!$A$5:$A$150,0)))</f>
        <v/>
      </c>
    </row>
    <row r="3728" customFormat="false" ht="15" hidden="false" customHeight="true" outlineLevel="0" collapsed="false">
      <c r="G3728" s="1" t="str">
        <f aca="false">IF(C3728="","",INDEX(Akaun!$F$5:$F$150,MATCH(C3728,Akaun!$A$5:$A$150,0)))</f>
        <v/>
      </c>
      <c r="H3728" s="1" t="str">
        <f aca="false">IF(C3728="","",INDEX(Akaun!$D$5:$D$150,MATCH(C3728,Akaun!$A$5:$A$150,0)))</f>
        <v/>
      </c>
    </row>
    <row r="3729" customFormat="false" ht="15" hidden="false" customHeight="true" outlineLevel="0" collapsed="false">
      <c r="G3729" s="1" t="str">
        <f aca="false">IF(C3729="","",INDEX(Akaun!$F$5:$F$150,MATCH(C3729,Akaun!$A$5:$A$150,0)))</f>
        <v/>
      </c>
      <c r="H3729" s="1" t="str">
        <f aca="false">IF(C3729="","",INDEX(Akaun!$D$5:$D$150,MATCH(C3729,Akaun!$A$5:$A$150,0)))</f>
        <v/>
      </c>
    </row>
    <row r="3730" customFormat="false" ht="15" hidden="false" customHeight="true" outlineLevel="0" collapsed="false">
      <c r="G3730" s="1" t="str">
        <f aca="false">IF(C3730="","",INDEX(Akaun!$F$5:$F$150,MATCH(C3730,Akaun!$A$5:$A$150,0)))</f>
        <v/>
      </c>
      <c r="H3730" s="1" t="str">
        <f aca="false">IF(C3730="","",INDEX(Akaun!$D$5:$D$150,MATCH(C3730,Akaun!$A$5:$A$150,0)))</f>
        <v/>
      </c>
    </row>
    <row r="3731" customFormat="false" ht="15" hidden="false" customHeight="true" outlineLevel="0" collapsed="false">
      <c r="G3731" s="1" t="str">
        <f aca="false">IF(C3731="","",INDEX(Akaun!$F$5:$F$150,MATCH(C3731,Akaun!$A$5:$A$150,0)))</f>
        <v/>
      </c>
      <c r="H3731" s="1" t="str">
        <f aca="false">IF(C3731="","",INDEX(Akaun!$D$5:$D$150,MATCH(C3731,Akaun!$A$5:$A$150,0)))</f>
        <v/>
      </c>
    </row>
    <row r="3732" customFormat="false" ht="15" hidden="false" customHeight="true" outlineLevel="0" collapsed="false">
      <c r="G3732" s="1" t="str">
        <f aca="false">IF(C3732="","",INDEX(Akaun!$F$5:$F$150,MATCH(C3732,Akaun!$A$5:$A$150,0)))</f>
        <v/>
      </c>
      <c r="H3732" s="1" t="str">
        <f aca="false">IF(C3732="","",INDEX(Akaun!$D$5:$D$150,MATCH(C3732,Akaun!$A$5:$A$150,0)))</f>
        <v/>
      </c>
    </row>
    <row r="3733" customFormat="false" ht="15" hidden="false" customHeight="true" outlineLevel="0" collapsed="false">
      <c r="G3733" s="1" t="str">
        <f aca="false">IF(C3733="","",INDEX(Akaun!$F$5:$F$150,MATCH(C3733,Akaun!$A$5:$A$150,0)))</f>
        <v/>
      </c>
      <c r="H3733" s="1" t="str">
        <f aca="false">IF(C3733="","",INDEX(Akaun!$D$5:$D$150,MATCH(C3733,Akaun!$A$5:$A$150,0)))</f>
        <v/>
      </c>
    </row>
    <row r="3734" customFormat="false" ht="15" hidden="false" customHeight="true" outlineLevel="0" collapsed="false">
      <c r="G3734" s="1" t="str">
        <f aca="false">IF(C3734="","",INDEX(Akaun!$F$5:$F$150,MATCH(C3734,Akaun!$A$5:$A$150,0)))</f>
        <v/>
      </c>
      <c r="H3734" s="1" t="str">
        <f aca="false">IF(C3734="","",INDEX(Akaun!$D$5:$D$150,MATCH(C3734,Akaun!$A$5:$A$150,0)))</f>
        <v/>
      </c>
    </row>
    <row r="3735" customFormat="false" ht="15" hidden="false" customHeight="true" outlineLevel="0" collapsed="false">
      <c r="G3735" s="1" t="str">
        <f aca="false">IF(C3735="","",INDEX(Akaun!$F$5:$F$150,MATCH(C3735,Akaun!$A$5:$A$150,0)))</f>
        <v/>
      </c>
      <c r="H3735" s="1" t="str">
        <f aca="false">IF(C3735="","",INDEX(Akaun!$D$5:$D$150,MATCH(C3735,Akaun!$A$5:$A$150,0)))</f>
        <v/>
      </c>
    </row>
    <row r="3736" customFormat="false" ht="15" hidden="false" customHeight="true" outlineLevel="0" collapsed="false">
      <c r="G3736" s="1" t="str">
        <f aca="false">IF(C3736="","",INDEX(Akaun!$F$5:$F$150,MATCH(C3736,Akaun!$A$5:$A$150,0)))</f>
        <v/>
      </c>
      <c r="H3736" s="1" t="str">
        <f aca="false">IF(C3736="","",INDEX(Akaun!$D$5:$D$150,MATCH(C3736,Akaun!$A$5:$A$150,0)))</f>
        <v/>
      </c>
    </row>
    <row r="3737" customFormat="false" ht="15" hidden="false" customHeight="true" outlineLevel="0" collapsed="false">
      <c r="G3737" s="1" t="str">
        <f aca="false">IF(C3737="","",INDEX(Akaun!$F$5:$F$150,MATCH(C3737,Akaun!$A$5:$A$150,0)))</f>
        <v/>
      </c>
      <c r="H3737" s="1" t="str">
        <f aca="false">IF(C3737="","",INDEX(Akaun!$D$5:$D$150,MATCH(C3737,Akaun!$A$5:$A$150,0)))</f>
        <v/>
      </c>
    </row>
    <row r="3738" customFormat="false" ht="15" hidden="false" customHeight="true" outlineLevel="0" collapsed="false">
      <c r="G3738" s="1" t="str">
        <f aca="false">IF(C3738="","",INDEX(Akaun!$F$5:$F$150,MATCH(C3738,Akaun!$A$5:$A$150,0)))</f>
        <v/>
      </c>
      <c r="H3738" s="1" t="str">
        <f aca="false">IF(C3738="","",INDEX(Akaun!$D$5:$D$150,MATCH(C3738,Akaun!$A$5:$A$150,0)))</f>
        <v/>
      </c>
    </row>
    <row r="3739" customFormat="false" ht="15" hidden="false" customHeight="true" outlineLevel="0" collapsed="false">
      <c r="G3739" s="1" t="str">
        <f aca="false">IF(C3739="","",INDEX(Akaun!$F$5:$F$150,MATCH(C3739,Akaun!$A$5:$A$150,0)))</f>
        <v/>
      </c>
      <c r="H3739" s="1" t="str">
        <f aca="false">IF(C3739="","",INDEX(Akaun!$D$5:$D$150,MATCH(C3739,Akaun!$A$5:$A$150,0)))</f>
        <v/>
      </c>
    </row>
    <row r="3740" customFormat="false" ht="15" hidden="false" customHeight="true" outlineLevel="0" collapsed="false">
      <c r="G3740" s="1" t="str">
        <f aca="false">IF(C3740="","",INDEX(Akaun!$F$5:$F$150,MATCH(C3740,Akaun!$A$5:$A$150,0)))</f>
        <v/>
      </c>
      <c r="H3740" s="1" t="str">
        <f aca="false">IF(C3740="","",INDEX(Akaun!$D$5:$D$150,MATCH(C3740,Akaun!$A$5:$A$150,0)))</f>
        <v/>
      </c>
    </row>
    <row r="3741" customFormat="false" ht="15" hidden="false" customHeight="true" outlineLevel="0" collapsed="false">
      <c r="G3741" s="1" t="str">
        <f aca="false">IF(C3741="","",INDEX(Akaun!$F$5:$F$150,MATCH(C3741,Akaun!$A$5:$A$150,0)))</f>
        <v/>
      </c>
      <c r="H3741" s="1" t="str">
        <f aca="false">IF(C3741="","",INDEX(Akaun!$D$5:$D$150,MATCH(C3741,Akaun!$A$5:$A$150,0)))</f>
        <v/>
      </c>
    </row>
    <row r="3742" customFormat="false" ht="15" hidden="false" customHeight="true" outlineLevel="0" collapsed="false">
      <c r="G3742" s="1" t="str">
        <f aca="false">IF(C3742="","",INDEX(Akaun!$F$5:$F$150,MATCH(C3742,Akaun!$A$5:$A$150,0)))</f>
        <v/>
      </c>
      <c r="H3742" s="1" t="str">
        <f aca="false">IF(C3742="","",INDEX(Akaun!$D$5:$D$150,MATCH(C3742,Akaun!$A$5:$A$150,0)))</f>
        <v/>
      </c>
    </row>
    <row r="3743" customFormat="false" ht="15" hidden="false" customHeight="true" outlineLevel="0" collapsed="false">
      <c r="G3743" s="1" t="str">
        <f aca="false">IF(C3743="","",INDEX(Akaun!$F$5:$F$150,MATCH(C3743,Akaun!$A$5:$A$150,0)))</f>
        <v/>
      </c>
      <c r="H3743" s="1" t="str">
        <f aca="false">IF(C3743="","",INDEX(Akaun!$D$5:$D$150,MATCH(C3743,Akaun!$A$5:$A$150,0)))</f>
        <v/>
      </c>
    </row>
    <row r="3744" customFormat="false" ht="15" hidden="false" customHeight="true" outlineLevel="0" collapsed="false">
      <c r="G3744" s="1" t="str">
        <f aca="false">IF(C3744="","",INDEX(Akaun!$F$5:$F$150,MATCH(C3744,Akaun!$A$5:$A$150,0)))</f>
        <v/>
      </c>
      <c r="H3744" s="1" t="str">
        <f aca="false">IF(C3744="","",INDEX(Akaun!$D$5:$D$150,MATCH(C3744,Akaun!$A$5:$A$150,0)))</f>
        <v/>
      </c>
    </row>
    <row r="3745" customFormat="false" ht="15" hidden="false" customHeight="true" outlineLevel="0" collapsed="false">
      <c r="G3745" s="1" t="str">
        <f aca="false">IF(C3745="","",INDEX(Akaun!$F$5:$F$150,MATCH(C3745,Akaun!$A$5:$A$150,0)))</f>
        <v/>
      </c>
      <c r="H3745" s="1" t="str">
        <f aca="false">IF(C3745="","",INDEX(Akaun!$D$5:$D$150,MATCH(C3745,Akaun!$A$5:$A$150,0)))</f>
        <v/>
      </c>
    </row>
    <row r="3746" customFormat="false" ht="15" hidden="false" customHeight="true" outlineLevel="0" collapsed="false">
      <c r="G3746" s="1" t="str">
        <f aca="false">IF(C3746="","",INDEX(Akaun!$F$5:$F$150,MATCH(C3746,Akaun!$A$5:$A$150,0)))</f>
        <v/>
      </c>
      <c r="H3746" s="1" t="str">
        <f aca="false">IF(C3746="","",INDEX(Akaun!$D$5:$D$150,MATCH(C3746,Akaun!$A$5:$A$150,0)))</f>
        <v/>
      </c>
    </row>
    <row r="3747" customFormat="false" ht="15" hidden="false" customHeight="true" outlineLevel="0" collapsed="false">
      <c r="G3747" s="1" t="str">
        <f aca="false">IF(C3747="","",INDEX(Akaun!$F$5:$F$150,MATCH(C3747,Akaun!$A$5:$A$150,0)))</f>
        <v/>
      </c>
      <c r="H3747" s="1" t="str">
        <f aca="false">IF(C3747="","",INDEX(Akaun!$D$5:$D$150,MATCH(C3747,Akaun!$A$5:$A$150,0)))</f>
        <v/>
      </c>
    </row>
    <row r="3748" customFormat="false" ht="15" hidden="false" customHeight="true" outlineLevel="0" collapsed="false">
      <c r="G3748" s="1" t="str">
        <f aca="false">IF(C3748="","",INDEX(Akaun!$F$5:$F$150,MATCH(C3748,Akaun!$A$5:$A$150,0)))</f>
        <v/>
      </c>
      <c r="H3748" s="1" t="str">
        <f aca="false">IF(C3748="","",INDEX(Akaun!$D$5:$D$150,MATCH(C3748,Akaun!$A$5:$A$150,0)))</f>
        <v/>
      </c>
    </row>
    <row r="3749" customFormat="false" ht="15" hidden="false" customHeight="true" outlineLevel="0" collapsed="false">
      <c r="G3749" s="1" t="str">
        <f aca="false">IF(C3749="","",INDEX(Akaun!$F$5:$F$150,MATCH(C3749,Akaun!$A$5:$A$150,0)))</f>
        <v/>
      </c>
      <c r="H3749" s="1" t="str">
        <f aca="false">IF(C3749="","",INDEX(Akaun!$D$5:$D$150,MATCH(C3749,Akaun!$A$5:$A$150,0)))</f>
        <v/>
      </c>
    </row>
    <row r="3750" customFormat="false" ht="15" hidden="false" customHeight="true" outlineLevel="0" collapsed="false">
      <c r="G3750" s="1" t="str">
        <f aca="false">IF(C3750="","",INDEX(Akaun!$F$5:$F$150,MATCH(C3750,Akaun!$A$5:$A$150,0)))</f>
        <v/>
      </c>
      <c r="H3750" s="1" t="str">
        <f aca="false">IF(C3750="","",INDEX(Akaun!$D$5:$D$150,MATCH(C3750,Akaun!$A$5:$A$150,0)))</f>
        <v/>
      </c>
    </row>
    <row r="3751" customFormat="false" ht="15" hidden="false" customHeight="true" outlineLevel="0" collapsed="false">
      <c r="G3751" s="1" t="str">
        <f aca="false">IF(C3751="","",INDEX(Akaun!$F$5:$F$150,MATCH(C3751,Akaun!$A$5:$A$150,0)))</f>
        <v/>
      </c>
      <c r="H3751" s="1" t="str">
        <f aca="false">IF(C3751="","",INDEX(Akaun!$D$5:$D$150,MATCH(C3751,Akaun!$A$5:$A$150,0)))</f>
        <v/>
      </c>
    </row>
    <row r="3752" customFormat="false" ht="15" hidden="false" customHeight="true" outlineLevel="0" collapsed="false">
      <c r="G3752" s="1" t="str">
        <f aca="false">IF(C3752="","",INDEX(Akaun!$F$5:$F$150,MATCH(C3752,Akaun!$A$5:$A$150,0)))</f>
        <v/>
      </c>
      <c r="H3752" s="1" t="str">
        <f aca="false">IF(C3752="","",INDEX(Akaun!$D$5:$D$150,MATCH(C3752,Akaun!$A$5:$A$150,0)))</f>
        <v/>
      </c>
    </row>
    <row r="3753" customFormat="false" ht="15" hidden="false" customHeight="true" outlineLevel="0" collapsed="false">
      <c r="G3753" s="1" t="str">
        <f aca="false">IF(C3753="","",INDEX(Akaun!$F$5:$F$150,MATCH(C3753,Akaun!$A$5:$A$150,0)))</f>
        <v/>
      </c>
      <c r="H3753" s="1" t="str">
        <f aca="false">IF(C3753="","",INDEX(Akaun!$D$5:$D$150,MATCH(C3753,Akaun!$A$5:$A$150,0)))</f>
        <v/>
      </c>
    </row>
    <row r="3754" customFormat="false" ht="15" hidden="false" customHeight="true" outlineLevel="0" collapsed="false">
      <c r="G3754" s="1" t="str">
        <f aca="false">IF(C3754="","",INDEX(Akaun!$F$5:$F$150,MATCH(C3754,Akaun!$A$5:$A$150,0)))</f>
        <v/>
      </c>
      <c r="H3754" s="1" t="str">
        <f aca="false">IF(C3754="","",INDEX(Akaun!$D$5:$D$150,MATCH(C3754,Akaun!$A$5:$A$150,0)))</f>
        <v/>
      </c>
    </row>
    <row r="3755" customFormat="false" ht="15" hidden="false" customHeight="true" outlineLevel="0" collapsed="false">
      <c r="G3755" s="1" t="str">
        <f aca="false">IF(C3755="","",INDEX(Akaun!$F$5:$F$150,MATCH(C3755,Akaun!$A$5:$A$150,0)))</f>
        <v/>
      </c>
      <c r="H3755" s="1" t="str">
        <f aca="false">IF(C3755="","",INDEX(Akaun!$D$5:$D$150,MATCH(C3755,Akaun!$A$5:$A$150,0)))</f>
        <v/>
      </c>
    </row>
    <row r="3756" customFormat="false" ht="15" hidden="false" customHeight="true" outlineLevel="0" collapsed="false">
      <c r="G3756" s="1" t="str">
        <f aca="false">IF(C3756="","",INDEX(Akaun!$F$5:$F$150,MATCH(C3756,Akaun!$A$5:$A$150,0)))</f>
        <v/>
      </c>
      <c r="H3756" s="1" t="str">
        <f aca="false">IF(C3756="","",INDEX(Akaun!$D$5:$D$150,MATCH(C3756,Akaun!$A$5:$A$150,0)))</f>
        <v/>
      </c>
    </row>
    <row r="3757" customFormat="false" ht="15" hidden="false" customHeight="true" outlineLevel="0" collapsed="false">
      <c r="G3757" s="1" t="str">
        <f aca="false">IF(C3757="","",INDEX(Akaun!$F$5:$F$150,MATCH(C3757,Akaun!$A$5:$A$150,0)))</f>
        <v/>
      </c>
      <c r="H3757" s="1" t="str">
        <f aca="false">IF(C3757="","",INDEX(Akaun!$D$5:$D$150,MATCH(C3757,Akaun!$A$5:$A$150,0)))</f>
        <v/>
      </c>
    </row>
    <row r="3758" customFormat="false" ht="15" hidden="false" customHeight="true" outlineLevel="0" collapsed="false">
      <c r="G3758" s="1" t="str">
        <f aca="false">IF(C3758="","",INDEX(Akaun!$F$5:$F$150,MATCH(C3758,Akaun!$A$5:$A$150,0)))</f>
        <v/>
      </c>
      <c r="H3758" s="1" t="str">
        <f aca="false">IF(C3758="","",INDEX(Akaun!$D$5:$D$150,MATCH(C3758,Akaun!$A$5:$A$150,0)))</f>
        <v/>
      </c>
    </row>
    <row r="3759" customFormat="false" ht="15" hidden="false" customHeight="true" outlineLevel="0" collapsed="false">
      <c r="G3759" s="1" t="str">
        <f aca="false">IF(C3759="","",INDEX(Akaun!$F$5:$F$150,MATCH(C3759,Akaun!$A$5:$A$150,0)))</f>
        <v/>
      </c>
      <c r="H3759" s="1" t="str">
        <f aca="false">IF(C3759="","",INDEX(Akaun!$D$5:$D$150,MATCH(C3759,Akaun!$A$5:$A$150,0)))</f>
        <v/>
      </c>
    </row>
    <row r="3760" customFormat="false" ht="15" hidden="false" customHeight="true" outlineLevel="0" collapsed="false">
      <c r="G3760" s="1" t="str">
        <f aca="false">IF(C3760="","",INDEX(Akaun!$F$5:$F$150,MATCH(C3760,Akaun!$A$5:$A$150,0)))</f>
        <v/>
      </c>
      <c r="H3760" s="1" t="str">
        <f aca="false">IF(C3760="","",INDEX(Akaun!$D$5:$D$150,MATCH(C3760,Akaun!$A$5:$A$150,0)))</f>
        <v/>
      </c>
    </row>
    <row r="3761" customFormat="false" ht="15" hidden="false" customHeight="true" outlineLevel="0" collapsed="false">
      <c r="G3761" s="1" t="str">
        <f aca="false">IF(C3761="","",INDEX(Akaun!$F$5:$F$150,MATCH(C3761,Akaun!$A$5:$A$150,0)))</f>
        <v/>
      </c>
      <c r="H3761" s="1" t="str">
        <f aca="false">IF(C3761="","",INDEX(Akaun!$D$5:$D$150,MATCH(C3761,Akaun!$A$5:$A$150,0)))</f>
        <v/>
      </c>
    </row>
    <row r="3762" customFormat="false" ht="15" hidden="false" customHeight="true" outlineLevel="0" collapsed="false">
      <c r="G3762" s="1" t="str">
        <f aca="false">IF(C3762="","",INDEX(Akaun!$F$5:$F$150,MATCH(C3762,Akaun!$A$5:$A$150,0)))</f>
        <v/>
      </c>
      <c r="H3762" s="1" t="str">
        <f aca="false">IF(C3762="","",INDEX(Akaun!$D$5:$D$150,MATCH(C3762,Akaun!$A$5:$A$150,0)))</f>
        <v/>
      </c>
    </row>
    <row r="3763" customFormat="false" ht="15" hidden="false" customHeight="true" outlineLevel="0" collapsed="false">
      <c r="G3763" s="1" t="str">
        <f aca="false">IF(C3763="","",INDEX(Akaun!$F$5:$F$150,MATCH(C3763,Akaun!$A$5:$A$150,0)))</f>
        <v/>
      </c>
      <c r="H3763" s="1" t="str">
        <f aca="false">IF(C3763="","",INDEX(Akaun!$D$5:$D$150,MATCH(C3763,Akaun!$A$5:$A$150,0)))</f>
        <v/>
      </c>
    </row>
    <row r="3764" customFormat="false" ht="15" hidden="false" customHeight="true" outlineLevel="0" collapsed="false">
      <c r="G3764" s="1" t="str">
        <f aca="false">IF(C3764="","",INDEX(Akaun!$F$5:$F$150,MATCH(C3764,Akaun!$A$5:$A$150,0)))</f>
        <v/>
      </c>
      <c r="H3764" s="1" t="str">
        <f aca="false">IF(C3764="","",INDEX(Akaun!$D$5:$D$150,MATCH(C3764,Akaun!$A$5:$A$150,0)))</f>
        <v/>
      </c>
    </row>
    <row r="3765" customFormat="false" ht="15" hidden="false" customHeight="true" outlineLevel="0" collapsed="false">
      <c r="G3765" s="1" t="str">
        <f aca="false">IF(C3765="","",INDEX(Akaun!$F$5:$F$150,MATCH(C3765,Akaun!$A$5:$A$150,0)))</f>
        <v/>
      </c>
      <c r="H3765" s="1" t="str">
        <f aca="false">IF(C3765="","",INDEX(Akaun!$D$5:$D$150,MATCH(C3765,Akaun!$A$5:$A$150,0)))</f>
        <v/>
      </c>
    </row>
    <row r="3766" customFormat="false" ht="15" hidden="false" customHeight="true" outlineLevel="0" collapsed="false">
      <c r="G3766" s="1" t="str">
        <f aca="false">IF(C3766="","",INDEX(Akaun!$F$5:$F$150,MATCH(C3766,Akaun!$A$5:$A$150,0)))</f>
        <v/>
      </c>
      <c r="H3766" s="1" t="str">
        <f aca="false">IF(C3766="","",INDEX(Akaun!$D$5:$D$150,MATCH(C3766,Akaun!$A$5:$A$150,0)))</f>
        <v/>
      </c>
    </row>
    <row r="3767" customFormat="false" ht="15" hidden="false" customHeight="true" outlineLevel="0" collapsed="false">
      <c r="G3767" s="1" t="str">
        <f aca="false">IF(C3767="","",INDEX(Akaun!$F$5:$F$150,MATCH(C3767,Akaun!$A$5:$A$150,0)))</f>
        <v/>
      </c>
      <c r="H3767" s="1" t="str">
        <f aca="false">IF(C3767="","",INDEX(Akaun!$D$5:$D$150,MATCH(C3767,Akaun!$A$5:$A$150,0)))</f>
        <v/>
      </c>
    </row>
    <row r="3768" customFormat="false" ht="15" hidden="false" customHeight="true" outlineLevel="0" collapsed="false">
      <c r="G3768" s="1" t="str">
        <f aca="false">IF(C3768="","",INDEX(Akaun!$F$5:$F$150,MATCH(C3768,Akaun!$A$5:$A$150,0)))</f>
        <v/>
      </c>
      <c r="H3768" s="1" t="str">
        <f aca="false">IF(C3768="","",INDEX(Akaun!$D$5:$D$150,MATCH(C3768,Akaun!$A$5:$A$150,0)))</f>
        <v/>
      </c>
    </row>
    <row r="3769" customFormat="false" ht="15" hidden="false" customHeight="true" outlineLevel="0" collapsed="false">
      <c r="G3769" s="1" t="str">
        <f aca="false">IF(C3769="","",INDEX(Akaun!$F$5:$F$150,MATCH(C3769,Akaun!$A$5:$A$150,0)))</f>
        <v/>
      </c>
      <c r="H3769" s="1" t="str">
        <f aca="false">IF(C3769="","",INDEX(Akaun!$D$5:$D$150,MATCH(C3769,Akaun!$A$5:$A$150,0)))</f>
        <v/>
      </c>
    </row>
    <row r="3770" customFormat="false" ht="15" hidden="false" customHeight="true" outlineLevel="0" collapsed="false">
      <c r="G3770" s="1" t="str">
        <f aca="false">IF(C3770="","",INDEX(Akaun!$F$5:$F$150,MATCH(C3770,Akaun!$A$5:$A$150,0)))</f>
        <v/>
      </c>
      <c r="H3770" s="1" t="str">
        <f aca="false">IF(C3770="","",INDEX(Akaun!$D$5:$D$150,MATCH(C3770,Akaun!$A$5:$A$150,0)))</f>
        <v/>
      </c>
    </row>
    <row r="3771" customFormat="false" ht="15" hidden="false" customHeight="true" outlineLevel="0" collapsed="false">
      <c r="G3771" s="1" t="str">
        <f aca="false">IF(C3771="","",INDEX(Akaun!$F$5:$F$150,MATCH(C3771,Akaun!$A$5:$A$150,0)))</f>
        <v/>
      </c>
      <c r="H3771" s="1" t="str">
        <f aca="false">IF(C3771="","",INDEX(Akaun!$D$5:$D$150,MATCH(C3771,Akaun!$A$5:$A$150,0)))</f>
        <v/>
      </c>
    </row>
    <row r="3772" customFormat="false" ht="15" hidden="false" customHeight="true" outlineLevel="0" collapsed="false">
      <c r="G3772" s="1" t="str">
        <f aca="false">IF(C3772="","",INDEX(Akaun!$F$5:$F$150,MATCH(C3772,Akaun!$A$5:$A$150,0)))</f>
        <v/>
      </c>
      <c r="H3772" s="1" t="str">
        <f aca="false">IF(C3772="","",INDEX(Akaun!$D$5:$D$150,MATCH(C3772,Akaun!$A$5:$A$150,0)))</f>
        <v/>
      </c>
    </row>
    <row r="3773" customFormat="false" ht="15" hidden="false" customHeight="true" outlineLevel="0" collapsed="false">
      <c r="G3773" s="1" t="str">
        <f aca="false">IF(C3773="","",INDEX(Akaun!$F$5:$F$150,MATCH(C3773,Akaun!$A$5:$A$150,0)))</f>
        <v/>
      </c>
      <c r="H3773" s="1" t="str">
        <f aca="false">IF(C3773="","",INDEX(Akaun!$D$5:$D$150,MATCH(C3773,Akaun!$A$5:$A$150,0)))</f>
        <v/>
      </c>
    </row>
    <row r="3774" customFormat="false" ht="15" hidden="false" customHeight="true" outlineLevel="0" collapsed="false">
      <c r="G3774" s="1" t="str">
        <f aca="false">IF(C3774="","",INDEX(Akaun!$F$5:$F$150,MATCH(C3774,Akaun!$A$5:$A$150,0)))</f>
        <v/>
      </c>
      <c r="H3774" s="1" t="str">
        <f aca="false">IF(C3774="","",INDEX(Akaun!$D$5:$D$150,MATCH(C3774,Akaun!$A$5:$A$150,0)))</f>
        <v/>
      </c>
    </row>
    <row r="3775" customFormat="false" ht="15" hidden="false" customHeight="true" outlineLevel="0" collapsed="false">
      <c r="G3775" s="1" t="str">
        <f aca="false">IF(C3775="","",INDEX(Akaun!$F$5:$F$150,MATCH(C3775,Akaun!$A$5:$A$150,0)))</f>
        <v/>
      </c>
      <c r="H3775" s="1" t="str">
        <f aca="false">IF(C3775="","",INDEX(Akaun!$D$5:$D$150,MATCH(C3775,Akaun!$A$5:$A$150,0)))</f>
        <v/>
      </c>
    </row>
    <row r="3776" customFormat="false" ht="15" hidden="false" customHeight="true" outlineLevel="0" collapsed="false">
      <c r="G3776" s="1" t="str">
        <f aca="false">IF(C3776="","",INDEX(Akaun!$F$5:$F$150,MATCH(C3776,Akaun!$A$5:$A$150,0)))</f>
        <v/>
      </c>
      <c r="H3776" s="1" t="str">
        <f aca="false">IF(C3776="","",INDEX(Akaun!$D$5:$D$150,MATCH(C3776,Akaun!$A$5:$A$150,0)))</f>
        <v/>
      </c>
    </row>
    <row r="3777" customFormat="false" ht="15" hidden="false" customHeight="true" outlineLevel="0" collapsed="false">
      <c r="G3777" s="1" t="str">
        <f aca="false">IF(C3777="","",INDEX(Akaun!$F$5:$F$150,MATCH(C3777,Akaun!$A$5:$A$150,0)))</f>
        <v/>
      </c>
      <c r="H3777" s="1" t="str">
        <f aca="false">IF(C3777="","",INDEX(Akaun!$D$5:$D$150,MATCH(C3777,Akaun!$A$5:$A$150,0)))</f>
        <v/>
      </c>
    </row>
    <row r="3778" customFormat="false" ht="15" hidden="false" customHeight="true" outlineLevel="0" collapsed="false">
      <c r="G3778" s="1" t="str">
        <f aca="false">IF(C3778="","",INDEX(Akaun!$F$5:$F$150,MATCH(C3778,Akaun!$A$5:$A$150,0)))</f>
        <v/>
      </c>
      <c r="H3778" s="1" t="str">
        <f aca="false">IF(C3778="","",INDEX(Akaun!$D$5:$D$150,MATCH(C3778,Akaun!$A$5:$A$150,0)))</f>
        <v/>
      </c>
    </row>
    <row r="3779" customFormat="false" ht="15" hidden="false" customHeight="true" outlineLevel="0" collapsed="false">
      <c r="G3779" s="1" t="str">
        <f aca="false">IF(C3779="","",INDEX(Akaun!$F$5:$F$150,MATCH(C3779,Akaun!$A$5:$A$150,0)))</f>
        <v/>
      </c>
      <c r="H3779" s="1" t="str">
        <f aca="false">IF(C3779="","",INDEX(Akaun!$D$5:$D$150,MATCH(C3779,Akaun!$A$5:$A$150,0)))</f>
        <v/>
      </c>
    </row>
    <row r="3780" customFormat="false" ht="15" hidden="false" customHeight="true" outlineLevel="0" collapsed="false">
      <c r="G3780" s="1" t="str">
        <f aca="false">IF(C3780="","",INDEX(Akaun!$F$5:$F$150,MATCH(C3780,Akaun!$A$5:$A$150,0)))</f>
        <v/>
      </c>
      <c r="H3780" s="1" t="str">
        <f aca="false">IF(C3780="","",INDEX(Akaun!$D$5:$D$150,MATCH(C3780,Akaun!$A$5:$A$150,0)))</f>
        <v/>
      </c>
    </row>
    <row r="3781" customFormat="false" ht="15" hidden="false" customHeight="true" outlineLevel="0" collapsed="false">
      <c r="G3781" s="1" t="str">
        <f aca="false">IF(C3781="","",INDEX(Akaun!$F$5:$F$150,MATCH(C3781,Akaun!$A$5:$A$150,0)))</f>
        <v/>
      </c>
      <c r="H3781" s="1" t="str">
        <f aca="false">IF(C3781="","",INDEX(Akaun!$D$5:$D$150,MATCH(C3781,Akaun!$A$5:$A$150,0)))</f>
        <v/>
      </c>
    </row>
    <row r="3782" customFormat="false" ht="15" hidden="false" customHeight="true" outlineLevel="0" collapsed="false">
      <c r="G3782" s="1" t="str">
        <f aca="false">IF(C3782="","",INDEX(Akaun!$F$5:$F$150,MATCH(C3782,Akaun!$A$5:$A$150,0)))</f>
        <v/>
      </c>
      <c r="H3782" s="1" t="str">
        <f aca="false">IF(C3782="","",INDEX(Akaun!$D$5:$D$150,MATCH(C3782,Akaun!$A$5:$A$150,0)))</f>
        <v/>
      </c>
    </row>
    <row r="3783" customFormat="false" ht="15" hidden="false" customHeight="true" outlineLevel="0" collapsed="false">
      <c r="G3783" s="1" t="str">
        <f aca="false">IF(C3783="","",INDEX(Akaun!$F$5:$F$150,MATCH(C3783,Akaun!$A$5:$A$150,0)))</f>
        <v/>
      </c>
      <c r="H3783" s="1" t="str">
        <f aca="false">IF(C3783="","",INDEX(Akaun!$D$5:$D$150,MATCH(C3783,Akaun!$A$5:$A$150,0)))</f>
        <v/>
      </c>
    </row>
    <row r="3784" customFormat="false" ht="15" hidden="false" customHeight="true" outlineLevel="0" collapsed="false">
      <c r="G3784" s="1" t="str">
        <f aca="false">IF(C3784="","",INDEX(Akaun!$F$5:$F$150,MATCH(C3784,Akaun!$A$5:$A$150,0)))</f>
        <v/>
      </c>
      <c r="H3784" s="1" t="str">
        <f aca="false">IF(C3784="","",INDEX(Akaun!$D$5:$D$150,MATCH(C3784,Akaun!$A$5:$A$150,0)))</f>
        <v/>
      </c>
    </row>
    <row r="3785" customFormat="false" ht="15" hidden="false" customHeight="true" outlineLevel="0" collapsed="false">
      <c r="G3785" s="1" t="str">
        <f aca="false">IF(C3785="","",INDEX(Akaun!$F$5:$F$150,MATCH(C3785,Akaun!$A$5:$A$150,0)))</f>
        <v/>
      </c>
      <c r="H3785" s="1" t="str">
        <f aca="false">IF(C3785="","",INDEX(Akaun!$D$5:$D$150,MATCH(C3785,Akaun!$A$5:$A$150,0)))</f>
        <v/>
      </c>
    </row>
    <row r="3786" customFormat="false" ht="15" hidden="false" customHeight="true" outlineLevel="0" collapsed="false">
      <c r="G3786" s="1" t="str">
        <f aca="false">IF(C3786="","",INDEX(Akaun!$F$5:$F$150,MATCH(C3786,Akaun!$A$5:$A$150,0)))</f>
        <v/>
      </c>
      <c r="H3786" s="1" t="str">
        <f aca="false">IF(C3786="","",INDEX(Akaun!$D$5:$D$150,MATCH(C3786,Akaun!$A$5:$A$150,0)))</f>
        <v/>
      </c>
    </row>
    <row r="3787" customFormat="false" ht="15" hidden="false" customHeight="true" outlineLevel="0" collapsed="false">
      <c r="G3787" s="1" t="str">
        <f aca="false">IF(C3787="","",INDEX(Akaun!$F$5:$F$150,MATCH(C3787,Akaun!$A$5:$A$150,0)))</f>
        <v/>
      </c>
      <c r="H3787" s="1" t="str">
        <f aca="false">IF(C3787="","",INDEX(Akaun!$D$5:$D$150,MATCH(C3787,Akaun!$A$5:$A$150,0)))</f>
        <v/>
      </c>
    </row>
    <row r="3788" customFormat="false" ht="15" hidden="false" customHeight="true" outlineLevel="0" collapsed="false">
      <c r="G3788" s="1" t="str">
        <f aca="false">IF(C3788="","",INDEX(Akaun!$F$5:$F$150,MATCH(C3788,Akaun!$A$5:$A$150,0)))</f>
        <v/>
      </c>
      <c r="H3788" s="1" t="str">
        <f aca="false">IF(C3788="","",INDEX(Akaun!$D$5:$D$150,MATCH(C3788,Akaun!$A$5:$A$150,0)))</f>
        <v/>
      </c>
    </row>
    <row r="3789" customFormat="false" ht="15" hidden="false" customHeight="true" outlineLevel="0" collapsed="false">
      <c r="G3789" s="1" t="str">
        <f aca="false">IF(C3789="","",INDEX(Akaun!$F$5:$F$150,MATCH(C3789,Akaun!$A$5:$A$150,0)))</f>
        <v/>
      </c>
      <c r="H3789" s="1" t="str">
        <f aca="false">IF(C3789="","",INDEX(Akaun!$D$5:$D$150,MATCH(C3789,Akaun!$A$5:$A$150,0)))</f>
        <v/>
      </c>
    </row>
    <row r="3790" customFormat="false" ht="15" hidden="false" customHeight="true" outlineLevel="0" collapsed="false">
      <c r="G3790" s="1" t="str">
        <f aca="false">IF(C3790="","",INDEX(Akaun!$F$5:$F$150,MATCH(C3790,Akaun!$A$5:$A$150,0)))</f>
        <v/>
      </c>
      <c r="H3790" s="1" t="str">
        <f aca="false">IF(C3790="","",INDEX(Akaun!$D$5:$D$150,MATCH(C3790,Akaun!$A$5:$A$150,0)))</f>
        <v/>
      </c>
    </row>
    <row r="3791" customFormat="false" ht="15" hidden="false" customHeight="true" outlineLevel="0" collapsed="false">
      <c r="G3791" s="1" t="str">
        <f aca="false">IF(C3791="","",INDEX(Akaun!$F$5:$F$150,MATCH(C3791,Akaun!$A$5:$A$150,0)))</f>
        <v/>
      </c>
      <c r="H3791" s="1" t="str">
        <f aca="false">IF(C3791="","",INDEX(Akaun!$D$5:$D$150,MATCH(C3791,Akaun!$A$5:$A$150,0)))</f>
        <v/>
      </c>
    </row>
    <row r="3792" customFormat="false" ht="15" hidden="false" customHeight="true" outlineLevel="0" collapsed="false">
      <c r="G3792" s="1" t="str">
        <f aca="false">IF(C3792="","",INDEX(Akaun!$F$5:$F$150,MATCH(C3792,Akaun!$A$5:$A$150,0)))</f>
        <v/>
      </c>
      <c r="H3792" s="1" t="str">
        <f aca="false">IF(C3792="","",INDEX(Akaun!$D$5:$D$150,MATCH(C3792,Akaun!$A$5:$A$150,0)))</f>
        <v/>
      </c>
    </row>
    <row r="3793" customFormat="false" ht="15" hidden="false" customHeight="true" outlineLevel="0" collapsed="false">
      <c r="G3793" s="1" t="str">
        <f aca="false">IF(C3793="","",INDEX(Akaun!$F$5:$F$150,MATCH(C3793,Akaun!$A$5:$A$150,0)))</f>
        <v/>
      </c>
      <c r="H3793" s="1" t="str">
        <f aca="false">IF(C3793="","",INDEX(Akaun!$D$5:$D$150,MATCH(C3793,Akaun!$A$5:$A$150,0)))</f>
        <v/>
      </c>
    </row>
    <row r="3794" customFormat="false" ht="15" hidden="false" customHeight="true" outlineLevel="0" collapsed="false">
      <c r="G3794" s="1" t="str">
        <f aca="false">IF(C3794="","",INDEX(Akaun!$F$5:$F$150,MATCH(C3794,Akaun!$A$5:$A$150,0)))</f>
        <v/>
      </c>
      <c r="H3794" s="1" t="str">
        <f aca="false">IF(C3794="","",INDEX(Akaun!$D$5:$D$150,MATCH(C3794,Akaun!$A$5:$A$150,0)))</f>
        <v/>
      </c>
    </row>
    <row r="3795" customFormat="false" ht="15" hidden="false" customHeight="true" outlineLevel="0" collapsed="false">
      <c r="G3795" s="1" t="str">
        <f aca="false">IF(C3795="","",INDEX(Akaun!$F$5:$F$150,MATCH(C3795,Akaun!$A$5:$A$150,0)))</f>
        <v/>
      </c>
      <c r="H3795" s="1" t="str">
        <f aca="false">IF(C3795="","",INDEX(Akaun!$D$5:$D$150,MATCH(C3795,Akaun!$A$5:$A$150,0)))</f>
        <v/>
      </c>
    </row>
    <row r="3796" customFormat="false" ht="15" hidden="false" customHeight="true" outlineLevel="0" collapsed="false">
      <c r="G3796" s="1" t="str">
        <f aca="false">IF(C3796="","",INDEX(Akaun!$F$5:$F$150,MATCH(C3796,Akaun!$A$5:$A$150,0)))</f>
        <v/>
      </c>
      <c r="H3796" s="1" t="str">
        <f aca="false">IF(C3796="","",INDEX(Akaun!$D$5:$D$150,MATCH(C3796,Akaun!$A$5:$A$150,0)))</f>
        <v/>
      </c>
    </row>
    <row r="3797" customFormat="false" ht="15" hidden="false" customHeight="true" outlineLevel="0" collapsed="false">
      <c r="G3797" s="1" t="str">
        <f aca="false">IF(C3797="","",INDEX(Akaun!$F$5:$F$150,MATCH(C3797,Akaun!$A$5:$A$150,0)))</f>
        <v/>
      </c>
      <c r="H3797" s="1" t="str">
        <f aca="false">IF(C3797="","",INDEX(Akaun!$D$5:$D$150,MATCH(C3797,Akaun!$A$5:$A$150,0)))</f>
        <v/>
      </c>
    </row>
    <row r="3798" customFormat="false" ht="15" hidden="false" customHeight="true" outlineLevel="0" collapsed="false">
      <c r="G3798" s="1" t="str">
        <f aca="false">IF(C3798="","",INDEX(Akaun!$F$5:$F$150,MATCH(C3798,Akaun!$A$5:$A$150,0)))</f>
        <v/>
      </c>
      <c r="H3798" s="1" t="str">
        <f aca="false">IF(C3798="","",INDEX(Akaun!$D$5:$D$150,MATCH(C3798,Akaun!$A$5:$A$150,0)))</f>
        <v/>
      </c>
    </row>
    <row r="3799" customFormat="false" ht="15" hidden="false" customHeight="true" outlineLevel="0" collapsed="false">
      <c r="G3799" s="1" t="str">
        <f aca="false">IF(C3799="","",INDEX(Akaun!$F$5:$F$150,MATCH(C3799,Akaun!$A$5:$A$150,0)))</f>
        <v/>
      </c>
      <c r="H3799" s="1" t="str">
        <f aca="false">IF(C3799="","",INDEX(Akaun!$D$5:$D$150,MATCH(C3799,Akaun!$A$5:$A$150,0)))</f>
        <v/>
      </c>
    </row>
    <row r="3800" customFormat="false" ht="15" hidden="false" customHeight="true" outlineLevel="0" collapsed="false">
      <c r="G3800" s="1" t="str">
        <f aca="false">IF(C3800="","",INDEX(Akaun!$F$5:$F$150,MATCH(C3800,Akaun!$A$5:$A$150,0)))</f>
        <v/>
      </c>
      <c r="H3800" s="1" t="str">
        <f aca="false">IF(C3800="","",INDEX(Akaun!$D$5:$D$150,MATCH(C3800,Akaun!$A$5:$A$150,0)))</f>
        <v/>
      </c>
    </row>
    <row r="3801" customFormat="false" ht="15" hidden="false" customHeight="true" outlineLevel="0" collapsed="false">
      <c r="G3801" s="1" t="str">
        <f aca="false">IF(C3801="","",INDEX(Akaun!$F$5:$F$150,MATCH(C3801,Akaun!$A$5:$A$150,0)))</f>
        <v/>
      </c>
      <c r="H3801" s="1" t="str">
        <f aca="false">IF(C3801="","",INDEX(Akaun!$D$5:$D$150,MATCH(C3801,Akaun!$A$5:$A$150,0)))</f>
        <v/>
      </c>
    </row>
    <row r="3802" customFormat="false" ht="15" hidden="false" customHeight="true" outlineLevel="0" collapsed="false">
      <c r="G3802" s="1" t="str">
        <f aca="false">IF(C3802="","",INDEX(Akaun!$F$5:$F$150,MATCH(C3802,Akaun!$A$5:$A$150,0)))</f>
        <v/>
      </c>
      <c r="H3802" s="1" t="str">
        <f aca="false">IF(C3802="","",INDEX(Akaun!$D$5:$D$150,MATCH(C3802,Akaun!$A$5:$A$150,0)))</f>
        <v/>
      </c>
    </row>
    <row r="3803" customFormat="false" ht="15" hidden="false" customHeight="true" outlineLevel="0" collapsed="false">
      <c r="G3803" s="1" t="str">
        <f aca="false">IF(C3803="","",INDEX(Akaun!$F$5:$F$150,MATCH(C3803,Akaun!$A$5:$A$150,0)))</f>
        <v/>
      </c>
      <c r="H3803" s="1" t="str">
        <f aca="false">IF(C3803="","",INDEX(Akaun!$D$5:$D$150,MATCH(C3803,Akaun!$A$5:$A$150,0)))</f>
        <v/>
      </c>
    </row>
    <row r="3804" customFormat="false" ht="15" hidden="false" customHeight="true" outlineLevel="0" collapsed="false">
      <c r="G3804" s="1" t="str">
        <f aca="false">IF(C3804="","",INDEX(Akaun!$F$5:$F$150,MATCH(C3804,Akaun!$A$5:$A$150,0)))</f>
        <v/>
      </c>
      <c r="H3804" s="1" t="str">
        <f aca="false">IF(C3804="","",INDEX(Akaun!$D$5:$D$150,MATCH(C3804,Akaun!$A$5:$A$150,0)))</f>
        <v/>
      </c>
    </row>
    <row r="3805" customFormat="false" ht="15" hidden="false" customHeight="true" outlineLevel="0" collapsed="false">
      <c r="G3805" s="1" t="str">
        <f aca="false">IF(C3805="","",INDEX(Akaun!$F$5:$F$150,MATCH(C3805,Akaun!$A$5:$A$150,0)))</f>
        <v/>
      </c>
      <c r="H3805" s="1" t="str">
        <f aca="false">IF(C3805="","",INDEX(Akaun!$D$5:$D$150,MATCH(C3805,Akaun!$A$5:$A$150,0)))</f>
        <v/>
      </c>
    </row>
    <row r="3806" customFormat="false" ht="15" hidden="false" customHeight="true" outlineLevel="0" collapsed="false">
      <c r="G3806" s="1" t="str">
        <f aca="false">IF(C3806="","",INDEX(Akaun!$F$5:$F$150,MATCH(C3806,Akaun!$A$5:$A$150,0)))</f>
        <v/>
      </c>
      <c r="H3806" s="1" t="str">
        <f aca="false">IF(C3806="","",INDEX(Akaun!$D$5:$D$150,MATCH(C3806,Akaun!$A$5:$A$150,0)))</f>
        <v/>
      </c>
    </row>
    <row r="3807" customFormat="false" ht="15" hidden="false" customHeight="true" outlineLevel="0" collapsed="false">
      <c r="G3807" s="1" t="str">
        <f aca="false">IF(C3807="","",INDEX(Akaun!$F$5:$F$150,MATCH(C3807,Akaun!$A$5:$A$150,0)))</f>
        <v/>
      </c>
      <c r="H3807" s="1" t="str">
        <f aca="false">IF(C3807="","",INDEX(Akaun!$D$5:$D$150,MATCH(C3807,Akaun!$A$5:$A$150,0)))</f>
        <v/>
      </c>
    </row>
    <row r="3808" customFormat="false" ht="15" hidden="false" customHeight="true" outlineLevel="0" collapsed="false">
      <c r="G3808" s="1" t="str">
        <f aca="false">IF(C3808="","",INDEX(Akaun!$F$5:$F$150,MATCH(C3808,Akaun!$A$5:$A$150,0)))</f>
        <v/>
      </c>
      <c r="H3808" s="1" t="str">
        <f aca="false">IF(C3808="","",INDEX(Akaun!$D$5:$D$150,MATCH(C3808,Akaun!$A$5:$A$150,0)))</f>
        <v/>
      </c>
    </row>
    <row r="3809" customFormat="false" ht="15" hidden="false" customHeight="true" outlineLevel="0" collapsed="false">
      <c r="G3809" s="1" t="str">
        <f aca="false">IF(C3809="","",INDEX(Akaun!$F$5:$F$150,MATCH(C3809,Akaun!$A$5:$A$150,0)))</f>
        <v/>
      </c>
      <c r="H3809" s="1" t="str">
        <f aca="false">IF(C3809="","",INDEX(Akaun!$D$5:$D$150,MATCH(C3809,Akaun!$A$5:$A$150,0)))</f>
        <v/>
      </c>
    </row>
    <row r="3810" customFormat="false" ht="15" hidden="false" customHeight="true" outlineLevel="0" collapsed="false">
      <c r="G3810" s="1" t="str">
        <f aca="false">IF(C3810="","",INDEX(Akaun!$F$5:$F$150,MATCH(C3810,Akaun!$A$5:$A$150,0)))</f>
        <v/>
      </c>
      <c r="H3810" s="1" t="str">
        <f aca="false">IF(C3810="","",INDEX(Akaun!$D$5:$D$150,MATCH(C3810,Akaun!$A$5:$A$150,0)))</f>
        <v/>
      </c>
    </row>
    <row r="3811" customFormat="false" ht="15" hidden="false" customHeight="true" outlineLevel="0" collapsed="false">
      <c r="G3811" s="1" t="str">
        <f aca="false">IF(C3811="","",INDEX(Akaun!$F$5:$F$150,MATCH(C3811,Akaun!$A$5:$A$150,0)))</f>
        <v/>
      </c>
      <c r="H3811" s="1" t="str">
        <f aca="false">IF(C3811="","",INDEX(Akaun!$D$5:$D$150,MATCH(C3811,Akaun!$A$5:$A$150,0)))</f>
        <v/>
      </c>
    </row>
    <row r="3812" customFormat="false" ht="15" hidden="false" customHeight="true" outlineLevel="0" collapsed="false">
      <c r="G3812" s="1" t="str">
        <f aca="false">IF(C3812="","",INDEX(Akaun!$F$5:$F$150,MATCH(C3812,Akaun!$A$5:$A$150,0)))</f>
        <v/>
      </c>
      <c r="H3812" s="1" t="str">
        <f aca="false">IF(C3812="","",INDEX(Akaun!$D$5:$D$150,MATCH(C3812,Akaun!$A$5:$A$150,0)))</f>
        <v/>
      </c>
    </row>
    <row r="3813" customFormat="false" ht="15" hidden="false" customHeight="true" outlineLevel="0" collapsed="false">
      <c r="G3813" s="1" t="str">
        <f aca="false">IF(C3813="","",INDEX(Akaun!$F$5:$F$150,MATCH(C3813,Akaun!$A$5:$A$150,0)))</f>
        <v/>
      </c>
      <c r="H3813" s="1" t="str">
        <f aca="false">IF(C3813="","",INDEX(Akaun!$D$5:$D$150,MATCH(C3813,Akaun!$A$5:$A$150,0)))</f>
        <v/>
      </c>
    </row>
    <row r="3814" customFormat="false" ht="15" hidden="false" customHeight="true" outlineLevel="0" collapsed="false">
      <c r="G3814" s="1" t="str">
        <f aca="false">IF(C3814="","",INDEX(Akaun!$F$5:$F$150,MATCH(C3814,Akaun!$A$5:$A$150,0)))</f>
        <v/>
      </c>
      <c r="H3814" s="1" t="str">
        <f aca="false">IF(C3814="","",INDEX(Akaun!$D$5:$D$150,MATCH(C3814,Akaun!$A$5:$A$150,0)))</f>
        <v/>
      </c>
    </row>
    <row r="3815" customFormat="false" ht="15" hidden="false" customHeight="true" outlineLevel="0" collapsed="false">
      <c r="G3815" s="1" t="str">
        <f aca="false">IF(C3815="","",INDEX(Akaun!$F$5:$F$150,MATCH(C3815,Akaun!$A$5:$A$150,0)))</f>
        <v/>
      </c>
      <c r="H3815" s="1" t="str">
        <f aca="false">IF(C3815="","",INDEX(Akaun!$D$5:$D$150,MATCH(C3815,Akaun!$A$5:$A$150,0)))</f>
        <v/>
      </c>
    </row>
    <row r="3816" customFormat="false" ht="15" hidden="false" customHeight="true" outlineLevel="0" collapsed="false">
      <c r="G3816" s="1" t="str">
        <f aca="false">IF(C3816="","",INDEX(Akaun!$F$5:$F$150,MATCH(C3816,Akaun!$A$5:$A$150,0)))</f>
        <v/>
      </c>
      <c r="H3816" s="1" t="str">
        <f aca="false">IF(C3816="","",INDEX(Akaun!$D$5:$D$150,MATCH(C3816,Akaun!$A$5:$A$150,0)))</f>
        <v/>
      </c>
    </row>
    <row r="3817" customFormat="false" ht="15" hidden="false" customHeight="true" outlineLevel="0" collapsed="false">
      <c r="G3817" s="1" t="str">
        <f aca="false">IF(C3817="","",INDEX(Akaun!$F$5:$F$150,MATCH(C3817,Akaun!$A$5:$A$150,0)))</f>
        <v/>
      </c>
      <c r="H3817" s="1" t="str">
        <f aca="false">IF(C3817="","",INDEX(Akaun!$D$5:$D$150,MATCH(C3817,Akaun!$A$5:$A$150,0)))</f>
        <v/>
      </c>
    </row>
    <row r="3818" customFormat="false" ht="15" hidden="false" customHeight="true" outlineLevel="0" collapsed="false">
      <c r="G3818" s="1" t="str">
        <f aca="false">IF(C3818="","",INDEX(Akaun!$F$5:$F$150,MATCH(C3818,Akaun!$A$5:$A$150,0)))</f>
        <v/>
      </c>
      <c r="H3818" s="1" t="str">
        <f aca="false">IF(C3818="","",INDEX(Akaun!$D$5:$D$150,MATCH(C3818,Akaun!$A$5:$A$150,0)))</f>
        <v/>
      </c>
    </row>
    <row r="3819" customFormat="false" ht="15" hidden="false" customHeight="true" outlineLevel="0" collapsed="false">
      <c r="G3819" s="1" t="str">
        <f aca="false">IF(C3819="","",INDEX(Akaun!$F$5:$F$150,MATCH(C3819,Akaun!$A$5:$A$150,0)))</f>
        <v/>
      </c>
      <c r="H3819" s="1" t="str">
        <f aca="false">IF(C3819="","",INDEX(Akaun!$D$5:$D$150,MATCH(C3819,Akaun!$A$5:$A$150,0)))</f>
        <v/>
      </c>
    </row>
    <row r="3820" customFormat="false" ht="15" hidden="false" customHeight="true" outlineLevel="0" collapsed="false">
      <c r="G3820" s="1" t="str">
        <f aca="false">IF(C3820="","",INDEX(Akaun!$F$5:$F$150,MATCH(C3820,Akaun!$A$5:$A$150,0)))</f>
        <v/>
      </c>
      <c r="H3820" s="1" t="str">
        <f aca="false">IF(C3820="","",INDEX(Akaun!$D$5:$D$150,MATCH(C3820,Akaun!$A$5:$A$150,0)))</f>
        <v/>
      </c>
    </row>
    <row r="3821" customFormat="false" ht="15" hidden="false" customHeight="true" outlineLevel="0" collapsed="false">
      <c r="G3821" s="1" t="str">
        <f aca="false">IF(C3821="","",INDEX(Akaun!$F$5:$F$150,MATCH(C3821,Akaun!$A$5:$A$150,0)))</f>
        <v/>
      </c>
      <c r="H3821" s="1" t="str">
        <f aca="false">IF(C3821="","",INDEX(Akaun!$D$5:$D$150,MATCH(C3821,Akaun!$A$5:$A$150,0)))</f>
        <v/>
      </c>
    </row>
    <row r="3822" customFormat="false" ht="15" hidden="false" customHeight="true" outlineLevel="0" collapsed="false">
      <c r="G3822" s="1" t="str">
        <f aca="false">IF(C3822="","",INDEX(Akaun!$F$5:$F$150,MATCH(C3822,Akaun!$A$5:$A$150,0)))</f>
        <v/>
      </c>
      <c r="H3822" s="1" t="str">
        <f aca="false">IF(C3822="","",INDEX(Akaun!$D$5:$D$150,MATCH(C3822,Akaun!$A$5:$A$150,0)))</f>
        <v/>
      </c>
    </row>
    <row r="3823" customFormat="false" ht="15" hidden="false" customHeight="true" outlineLevel="0" collapsed="false">
      <c r="G3823" s="1" t="str">
        <f aca="false">IF(C3823="","",INDEX(Akaun!$F$5:$F$150,MATCH(C3823,Akaun!$A$5:$A$150,0)))</f>
        <v/>
      </c>
      <c r="H3823" s="1" t="str">
        <f aca="false">IF(C3823="","",INDEX(Akaun!$D$5:$D$150,MATCH(C3823,Akaun!$A$5:$A$150,0)))</f>
        <v/>
      </c>
    </row>
    <row r="3824" customFormat="false" ht="15" hidden="false" customHeight="true" outlineLevel="0" collapsed="false">
      <c r="G3824" s="1" t="str">
        <f aca="false">IF(C3824="","",INDEX(Akaun!$F$5:$F$150,MATCH(C3824,Akaun!$A$5:$A$150,0)))</f>
        <v/>
      </c>
      <c r="H3824" s="1" t="str">
        <f aca="false">IF(C3824="","",INDEX(Akaun!$D$5:$D$150,MATCH(C3824,Akaun!$A$5:$A$150,0)))</f>
        <v/>
      </c>
    </row>
    <row r="3825" customFormat="false" ht="15" hidden="false" customHeight="true" outlineLevel="0" collapsed="false">
      <c r="G3825" s="1" t="str">
        <f aca="false">IF(C3825="","",INDEX(Akaun!$F$5:$F$150,MATCH(C3825,Akaun!$A$5:$A$150,0)))</f>
        <v/>
      </c>
      <c r="H3825" s="1" t="str">
        <f aca="false">IF(C3825="","",INDEX(Akaun!$D$5:$D$150,MATCH(C3825,Akaun!$A$5:$A$150,0)))</f>
        <v/>
      </c>
    </row>
    <row r="3826" customFormat="false" ht="15" hidden="false" customHeight="true" outlineLevel="0" collapsed="false">
      <c r="G3826" s="1" t="str">
        <f aca="false">IF(C3826="","",INDEX(Akaun!$F$5:$F$150,MATCH(C3826,Akaun!$A$5:$A$150,0)))</f>
        <v/>
      </c>
      <c r="H3826" s="1" t="str">
        <f aca="false">IF(C3826="","",INDEX(Akaun!$D$5:$D$150,MATCH(C3826,Akaun!$A$5:$A$150,0)))</f>
        <v/>
      </c>
    </row>
    <row r="3827" customFormat="false" ht="15" hidden="false" customHeight="true" outlineLevel="0" collapsed="false">
      <c r="G3827" s="1" t="str">
        <f aca="false">IF(C3827="","",INDEX(Akaun!$F$5:$F$150,MATCH(C3827,Akaun!$A$5:$A$150,0)))</f>
        <v/>
      </c>
      <c r="H3827" s="1" t="str">
        <f aca="false">IF(C3827="","",INDEX(Akaun!$D$5:$D$150,MATCH(C3827,Akaun!$A$5:$A$150,0)))</f>
        <v/>
      </c>
    </row>
    <row r="3828" customFormat="false" ht="15" hidden="false" customHeight="true" outlineLevel="0" collapsed="false">
      <c r="G3828" s="1" t="str">
        <f aca="false">IF(C3828="","",INDEX(Akaun!$F$5:$F$150,MATCH(C3828,Akaun!$A$5:$A$150,0)))</f>
        <v/>
      </c>
      <c r="H3828" s="1" t="str">
        <f aca="false">IF(C3828="","",INDEX(Akaun!$D$5:$D$150,MATCH(C3828,Akaun!$A$5:$A$150,0)))</f>
        <v/>
      </c>
    </row>
    <row r="3829" customFormat="false" ht="15" hidden="false" customHeight="true" outlineLevel="0" collapsed="false">
      <c r="G3829" s="1" t="str">
        <f aca="false">IF(C3829="","",INDEX(Akaun!$F$5:$F$150,MATCH(C3829,Akaun!$A$5:$A$150,0)))</f>
        <v/>
      </c>
      <c r="H3829" s="1" t="str">
        <f aca="false">IF(C3829="","",INDEX(Akaun!$D$5:$D$150,MATCH(C3829,Akaun!$A$5:$A$150,0)))</f>
        <v/>
      </c>
    </row>
    <row r="3830" customFormat="false" ht="15" hidden="false" customHeight="true" outlineLevel="0" collapsed="false">
      <c r="G3830" s="1" t="str">
        <f aca="false">IF(C3830="","",INDEX(Akaun!$F$5:$F$150,MATCH(C3830,Akaun!$A$5:$A$150,0)))</f>
        <v/>
      </c>
      <c r="H3830" s="1" t="str">
        <f aca="false">IF(C3830="","",INDEX(Akaun!$D$5:$D$150,MATCH(C3830,Akaun!$A$5:$A$150,0)))</f>
        <v/>
      </c>
    </row>
    <row r="3831" customFormat="false" ht="15" hidden="false" customHeight="true" outlineLevel="0" collapsed="false">
      <c r="G3831" s="1" t="str">
        <f aca="false">IF(C3831="","",INDEX(Akaun!$F$5:$F$150,MATCH(C3831,Akaun!$A$5:$A$150,0)))</f>
        <v/>
      </c>
      <c r="H3831" s="1" t="str">
        <f aca="false">IF(C3831="","",INDEX(Akaun!$D$5:$D$150,MATCH(C3831,Akaun!$A$5:$A$150,0)))</f>
        <v/>
      </c>
    </row>
    <row r="3832" customFormat="false" ht="15" hidden="false" customHeight="true" outlineLevel="0" collapsed="false">
      <c r="G3832" s="1" t="str">
        <f aca="false">IF(C3832="","",INDEX(Akaun!$F$5:$F$150,MATCH(C3832,Akaun!$A$5:$A$150,0)))</f>
        <v/>
      </c>
      <c r="H3832" s="1" t="str">
        <f aca="false">IF(C3832="","",INDEX(Akaun!$D$5:$D$150,MATCH(C3832,Akaun!$A$5:$A$150,0)))</f>
        <v/>
      </c>
    </row>
    <row r="3833" customFormat="false" ht="15" hidden="false" customHeight="true" outlineLevel="0" collapsed="false">
      <c r="G3833" s="1" t="str">
        <f aca="false">IF(C3833="","",INDEX(Akaun!$F$5:$F$150,MATCH(C3833,Akaun!$A$5:$A$150,0)))</f>
        <v/>
      </c>
      <c r="H3833" s="1" t="str">
        <f aca="false">IF(C3833="","",INDEX(Akaun!$D$5:$D$150,MATCH(C3833,Akaun!$A$5:$A$150,0)))</f>
        <v/>
      </c>
    </row>
    <row r="3834" customFormat="false" ht="15" hidden="false" customHeight="true" outlineLevel="0" collapsed="false">
      <c r="G3834" s="1" t="str">
        <f aca="false">IF(C3834="","",INDEX(Akaun!$F$5:$F$150,MATCH(C3834,Akaun!$A$5:$A$150,0)))</f>
        <v/>
      </c>
      <c r="H3834" s="1" t="str">
        <f aca="false">IF(C3834="","",INDEX(Akaun!$D$5:$D$150,MATCH(C3834,Akaun!$A$5:$A$150,0)))</f>
        <v/>
      </c>
    </row>
    <row r="3835" customFormat="false" ht="15" hidden="false" customHeight="true" outlineLevel="0" collapsed="false">
      <c r="G3835" s="1" t="str">
        <f aca="false">IF(C3835="","",INDEX(Akaun!$F$5:$F$150,MATCH(C3835,Akaun!$A$5:$A$150,0)))</f>
        <v/>
      </c>
      <c r="H3835" s="1" t="str">
        <f aca="false">IF(C3835="","",INDEX(Akaun!$D$5:$D$150,MATCH(C3835,Akaun!$A$5:$A$150,0)))</f>
        <v/>
      </c>
    </row>
    <row r="3836" customFormat="false" ht="15" hidden="false" customHeight="true" outlineLevel="0" collapsed="false">
      <c r="G3836" s="1" t="str">
        <f aca="false">IF(C3836="","",INDEX(Akaun!$F$5:$F$150,MATCH(C3836,Akaun!$A$5:$A$150,0)))</f>
        <v/>
      </c>
      <c r="H3836" s="1" t="str">
        <f aca="false">IF(C3836="","",INDEX(Akaun!$D$5:$D$150,MATCH(C3836,Akaun!$A$5:$A$150,0)))</f>
        <v/>
      </c>
    </row>
    <row r="3837" customFormat="false" ht="15" hidden="false" customHeight="true" outlineLevel="0" collapsed="false">
      <c r="G3837" s="1" t="str">
        <f aca="false">IF(C3837="","",INDEX(Akaun!$F$5:$F$150,MATCH(C3837,Akaun!$A$5:$A$150,0)))</f>
        <v/>
      </c>
      <c r="H3837" s="1" t="str">
        <f aca="false">IF(C3837="","",INDEX(Akaun!$D$5:$D$150,MATCH(C3837,Akaun!$A$5:$A$150,0)))</f>
        <v/>
      </c>
    </row>
    <row r="3838" customFormat="false" ht="15" hidden="false" customHeight="true" outlineLevel="0" collapsed="false">
      <c r="G3838" s="1" t="str">
        <f aca="false">IF(C3838="","",INDEX(Akaun!$F$5:$F$150,MATCH(C3838,Akaun!$A$5:$A$150,0)))</f>
        <v/>
      </c>
      <c r="H3838" s="1" t="str">
        <f aca="false">IF(C3838="","",INDEX(Akaun!$D$5:$D$150,MATCH(C3838,Akaun!$A$5:$A$150,0)))</f>
        <v/>
      </c>
    </row>
    <row r="3839" customFormat="false" ht="15" hidden="false" customHeight="true" outlineLevel="0" collapsed="false">
      <c r="G3839" s="1" t="str">
        <f aca="false">IF(C3839="","",INDEX(Akaun!$F$5:$F$150,MATCH(C3839,Akaun!$A$5:$A$150,0)))</f>
        <v/>
      </c>
      <c r="H3839" s="1" t="str">
        <f aca="false">IF(C3839="","",INDEX(Akaun!$D$5:$D$150,MATCH(C3839,Akaun!$A$5:$A$150,0)))</f>
        <v/>
      </c>
    </row>
    <row r="3840" customFormat="false" ht="15" hidden="false" customHeight="true" outlineLevel="0" collapsed="false">
      <c r="G3840" s="1" t="str">
        <f aca="false">IF(C3840="","",INDEX(Akaun!$F$5:$F$150,MATCH(C3840,Akaun!$A$5:$A$150,0)))</f>
        <v/>
      </c>
      <c r="H3840" s="1" t="str">
        <f aca="false">IF(C3840="","",INDEX(Akaun!$D$5:$D$150,MATCH(C3840,Akaun!$A$5:$A$150,0)))</f>
        <v/>
      </c>
    </row>
    <row r="3841" customFormat="false" ht="15" hidden="false" customHeight="true" outlineLevel="0" collapsed="false">
      <c r="G3841" s="1" t="str">
        <f aca="false">IF(C3841="","",INDEX(Akaun!$F$5:$F$150,MATCH(C3841,Akaun!$A$5:$A$150,0)))</f>
        <v/>
      </c>
      <c r="H3841" s="1" t="str">
        <f aca="false">IF(C3841="","",INDEX(Akaun!$D$5:$D$150,MATCH(C3841,Akaun!$A$5:$A$150,0)))</f>
        <v/>
      </c>
    </row>
    <row r="3842" customFormat="false" ht="15" hidden="false" customHeight="true" outlineLevel="0" collapsed="false">
      <c r="G3842" s="1" t="str">
        <f aca="false">IF(C3842="","",INDEX(Akaun!$F$5:$F$150,MATCH(C3842,Akaun!$A$5:$A$150,0)))</f>
        <v/>
      </c>
      <c r="H3842" s="1" t="str">
        <f aca="false">IF(C3842="","",INDEX(Akaun!$D$5:$D$150,MATCH(C3842,Akaun!$A$5:$A$150,0)))</f>
        <v/>
      </c>
    </row>
    <row r="3843" customFormat="false" ht="15" hidden="false" customHeight="true" outlineLevel="0" collapsed="false">
      <c r="G3843" s="1" t="str">
        <f aca="false">IF(C3843="","",INDEX(Akaun!$F$5:$F$150,MATCH(C3843,Akaun!$A$5:$A$150,0)))</f>
        <v/>
      </c>
      <c r="H3843" s="1" t="str">
        <f aca="false">IF(C3843="","",INDEX(Akaun!$D$5:$D$150,MATCH(C3843,Akaun!$A$5:$A$150,0)))</f>
        <v/>
      </c>
    </row>
    <row r="3844" customFormat="false" ht="15" hidden="false" customHeight="true" outlineLevel="0" collapsed="false">
      <c r="G3844" s="1" t="str">
        <f aca="false">IF(C3844="","",INDEX(Akaun!$F$5:$F$150,MATCH(C3844,Akaun!$A$5:$A$150,0)))</f>
        <v/>
      </c>
      <c r="H3844" s="1" t="str">
        <f aca="false">IF(C3844="","",INDEX(Akaun!$D$5:$D$150,MATCH(C3844,Akaun!$A$5:$A$150,0)))</f>
        <v/>
      </c>
    </row>
    <row r="3845" customFormat="false" ht="15" hidden="false" customHeight="true" outlineLevel="0" collapsed="false">
      <c r="G3845" s="1" t="str">
        <f aca="false">IF(C3845="","",INDEX(Akaun!$F$5:$F$150,MATCH(C3845,Akaun!$A$5:$A$150,0)))</f>
        <v/>
      </c>
      <c r="H3845" s="1" t="str">
        <f aca="false">IF(C3845="","",INDEX(Akaun!$D$5:$D$150,MATCH(C3845,Akaun!$A$5:$A$150,0)))</f>
        <v/>
      </c>
    </row>
    <row r="3846" customFormat="false" ht="15" hidden="false" customHeight="true" outlineLevel="0" collapsed="false">
      <c r="G3846" s="1" t="str">
        <f aca="false">IF(C3846="","",INDEX(Akaun!$F$5:$F$150,MATCH(C3846,Akaun!$A$5:$A$150,0)))</f>
        <v/>
      </c>
      <c r="H3846" s="1" t="str">
        <f aca="false">IF(C3846="","",INDEX(Akaun!$D$5:$D$150,MATCH(C3846,Akaun!$A$5:$A$150,0)))</f>
        <v/>
      </c>
    </row>
    <row r="3847" customFormat="false" ht="15" hidden="false" customHeight="true" outlineLevel="0" collapsed="false">
      <c r="G3847" s="1" t="str">
        <f aca="false">IF(C3847="","",INDEX(Akaun!$F$5:$F$150,MATCH(C3847,Akaun!$A$5:$A$150,0)))</f>
        <v/>
      </c>
      <c r="H3847" s="1" t="str">
        <f aca="false">IF(C3847="","",INDEX(Akaun!$D$5:$D$150,MATCH(C3847,Akaun!$A$5:$A$150,0)))</f>
        <v/>
      </c>
    </row>
    <row r="3848" customFormat="false" ht="15" hidden="false" customHeight="true" outlineLevel="0" collapsed="false">
      <c r="G3848" s="1" t="str">
        <f aca="false">IF(C3848="","",INDEX(Akaun!$F$5:$F$150,MATCH(C3848,Akaun!$A$5:$A$150,0)))</f>
        <v/>
      </c>
      <c r="H3848" s="1" t="str">
        <f aca="false">IF(C3848="","",INDEX(Akaun!$D$5:$D$150,MATCH(C3848,Akaun!$A$5:$A$150,0)))</f>
        <v/>
      </c>
    </row>
    <row r="3849" customFormat="false" ht="15" hidden="false" customHeight="true" outlineLevel="0" collapsed="false">
      <c r="G3849" s="1" t="str">
        <f aca="false">IF(C3849="","",INDEX(Akaun!$F$5:$F$150,MATCH(C3849,Akaun!$A$5:$A$150,0)))</f>
        <v/>
      </c>
      <c r="H3849" s="1" t="str">
        <f aca="false">IF(C3849="","",INDEX(Akaun!$D$5:$D$150,MATCH(C3849,Akaun!$A$5:$A$150,0)))</f>
        <v/>
      </c>
    </row>
    <row r="3850" customFormat="false" ht="15" hidden="false" customHeight="true" outlineLevel="0" collapsed="false">
      <c r="G3850" s="1" t="str">
        <f aca="false">IF(C3850="","",INDEX(Akaun!$F$5:$F$150,MATCH(C3850,Akaun!$A$5:$A$150,0)))</f>
        <v/>
      </c>
      <c r="H3850" s="1" t="str">
        <f aca="false">IF(C3850="","",INDEX(Akaun!$D$5:$D$150,MATCH(C3850,Akaun!$A$5:$A$150,0)))</f>
        <v/>
      </c>
    </row>
    <row r="3851" customFormat="false" ht="15" hidden="false" customHeight="true" outlineLevel="0" collapsed="false">
      <c r="G3851" s="1" t="str">
        <f aca="false">IF(C3851="","",INDEX(Akaun!$F$5:$F$150,MATCH(C3851,Akaun!$A$5:$A$150,0)))</f>
        <v/>
      </c>
      <c r="H3851" s="1" t="str">
        <f aca="false">IF(C3851="","",INDEX(Akaun!$D$5:$D$150,MATCH(C3851,Akaun!$A$5:$A$150,0)))</f>
        <v/>
      </c>
    </row>
    <row r="3852" customFormat="false" ht="15" hidden="false" customHeight="true" outlineLevel="0" collapsed="false">
      <c r="G3852" s="1" t="str">
        <f aca="false">IF(C3852="","",INDEX(Akaun!$F$5:$F$150,MATCH(C3852,Akaun!$A$5:$A$150,0)))</f>
        <v/>
      </c>
      <c r="H3852" s="1" t="str">
        <f aca="false">IF(C3852="","",INDEX(Akaun!$D$5:$D$150,MATCH(C3852,Akaun!$A$5:$A$150,0)))</f>
        <v/>
      </c>
    </row>
    <row r="3853" customFormat="false" ht="15" hidden="false" customHeight="true" outlineLevel="0" collapsed="false">
      <c r="G3853" s="1" t="str">
        <f aca="false">IF(C3853="","",INDEX(Akaun!$F$5:$F$150,MATCH(C3853,Akaun!$A$5:$A$150,0)))</f>
        <v/>
      </c>
      <c r="H3853" s="1" t="str">
        <f aca="false">IF(C3853="","",INDEX(Akaun!$D$5:$D$150,MATCH(C3853,Akaun!$A$5:$A$150,0)))</f>
        <v/>
      </c>
    </row>
    <row r="3854" customFormat="false" ht="15" hidden="false" customHeight="true" outlineLevel="0" collapsed="false">
      <c r="G3854" s="1" t="str">
        <f aca="false">IF(C3854="","",INDEX(Akaun!$F$5:$F$150,MATCH(C3854,Akaun!$A$5:$A$150,0)))</f>
        <v/>
      </c>
      <c r="H3854" s="1" t="str">
        <f aca="false">IF(C3854="","",INDEX(Akaun!$D$5:$D$150,MATCH(C3854,Akaun!$A$5:$A$150,0)))</f>
        <v/>
      </c>
    </row>
    <row r="3855" customFormat="false" ht="15" hidden="false" customHeight="true" outlineLevel="0" collapsed="false">
      <c r="G3855" s="1" t="str">
        <f aca="false">IF(C3855="","",INDEX(Akaun!$F$5:$F$150,MATCH(C3855,Akaun!$A$5:$A$150,0)))</f>
        <v/>
      </c>
      <c r="H3855" s="1" t="str">
        <f aca="false">IF(C3855="","",INDEX(Akaun!$D$5:$D$150,MATCH(C3855,Akaun!$A$5:$A$150,0)))</f>
        <v/>
      </c>
    </row>
    <row r="3856" customFormat="false" ht="15" hidden="false" customHeight="true" outlineLevel="0" collapsed="false">
      <c r="G3856" s="1" t="str">
        <f aca="false">IF(C3856="","",INDEX(Akaun!$F$5:$F$150,MATCH(C3856,Akaun!$A$5:$A$150,0)))</f>
        <v/>
      </c>
      <c r="H3856" s="1" t="str">
        <f aca="false">IF(C3856="","",INDEX(Akaun!$D$5:$D$150,MATCH(C3856,Akaun!$A$5:$A$150,0)))</f>
        <v/>
      </c>
    </row>
    <row r="3857" customFormat="false" ht="15" hidden="false" customHeight="true" outlineLevel="0" collapsed="false">
      <c r="G3857" s="1" t="str">
        <f aca="false">IF(C3857="","",INDEX(Akaun!$F$5:$F$150,MATCH(C3857,Akaun!$A$5:$A$150,0)))</f>
        <v/>
      </c>
      <c r="H3857" s="1" t="str">
        <f aca="false">IF(C3857="","",INDEX(Akaun!$D$5:$D$150,MATCH(C3857,Akaun!$A$5:$A$150,0)))</f>
        <v/>
      </c>
    </row>
    <row r="3858" customFormat="false" ht="15" hidden="false" customHeight="true" outlineLevel="0" collapsed="false">
      <c r="G3858" s="1" t="str">
        <f aca="false">IF(C3858="","",INDEX(Akaun!$F$5:$F$150,MATCH(C3858,Akaun!$A$5:$A$150,0)))</f>
        <v/>
      </c>
      <c r="H3858" s="1" t="str">
        <f aca="false">IF(C3858="","",INDEX(Akaun!$D$5:$D$150,MATCH(C3858,Akaun!$A$5:$A$150,0)))</f>
        <v/>
      </c>
    </row>
    <row r="3859" customFormat="false" ht="15" hidden="false" customHeight="true" outlineLevel="0" collapsed="false">
      <c r="G3859" s="1" t="str">
        <f aca="false">IF(C3859="","",INDEX(Akaun!$F$5:$F$150,MATCH(C3859,Akaun!$A$5:$A$150,0)))</f>
        <v/>
      </c>
      <c r="H3859" s="1" t="str">
        <f aca="false">IF(C3859="","",INDEX(Akaun!$D$5:$D$150,MATCH(C3859,Akaun!$A$5:$A$150,0)))</f>
        <v/>
      </c>
    </row>
    <row r="3860" customFormat="false" ht="15" hidden="false" customHeight="true" outlineLevel="0" collapsed="false">
      <c r="G3860" s="1" t="str">
        <f aca="false">IF(C3860="","",INDEX(Akaun!$F$5:$F$150,MATCH(C3860,Akaun!$A$5:$A$150,0)))</f>
        <v/>
      </c>
      <c r="H3860" s="1" t="str">
        <f aca="false">IF(C3860="","",INDEX(Akaun!$D$5:$D$150,MATCH(C3860,Akaun!$A$5:$A$150,0)))</f>
        <v/>
      </c>
    </row>
    <row r="3861" customFormat="false" ht="15" hidden="false" customHeight="true" outlineLevel="0" collapsed="false">
      <c r="G3861" s="1" t="str">
        <f aca="false">IF(C3861="","",INDEX(Akaun!$F$5:$F$150,MATCH(C3861,Akaun!$A$5:$A$150,0)))</f>
        <v/>
      </c>
      <c r="H3861" s="1" t="str">
        <f aca="false">IF(C3861="","",INDEX(Akaun!$D$5:$D$150,MATCH(C3861,Akaun!$A$5:$A$150,0)))</f>
        <v/>
      </c>
    </row>
    <row r="3862" customFormat="false" ht="15" hidden="false" customHeight="true" outlineLevel="0" collapsed="false">
      <c r="G3862" s="1" t="str">
        <f aca="false">IF(C3862="","",INDEX(Akaun!$F$5:$F$150,MATCH(C3862,Akaun!$A$5:$A$150,0)))</f>
        <v/>
      </c>
      <c r="H3862" s="1" t="str">
        <f aca="false">IF(C3862="","",INDEX(Akaun!$D$5:$D$150,MATCH(C3862,Akaun!$A$5:$A$150,0)))</f>
        <v/>
      </c>
    </row>
    <row r="3863" customFormat="false" ht="15" hidden="false" customHeight="true" outlineLevel="0" collapsed="false">
      <c r="G3863" s="1" t="str">
        <f aca="false">IF(C3863="","",INDEX(Akaun!$F$5:$F$150,MATCH(C3863,Akaun!$A$5:$A$150,0)))</f>
        <v/>
      </c>
      <c r="H3863" s="1" t="str">
        <f aca="false">IF(C3863="","",INDEX(Akaun!$D$5:$D$150,MATCH(C3863,Akaun!$A$5:$A$150,0)))</f>
        <v/>
      </c>
    </row>
    <row r="3864" customFormat="false" ht="15" hidden="false" customHeight="true" outlineLevel="0" collapsed="false">
      <c r="G3864" s="1" t="str">
        <f aca="false">IF(C3864="","",INDEX(Akaun!$F$5:$F$150,MATCH(C3864,Akaun!$A$5:$A$150,0)))</f>
        <v/>
      </c>
      <c r="H3864" s="1" t="str">
        <f aca="false">IF(C3864="","",INDEX(Akaun!$D$5:$D$150,MATCH(C3864,Akaun!$A$5:$A$150,0)))</f>
        <v/>
      </c>
    </row>
    <row r="3865" customFormat="false" ht="15" hidden="false" customHeight="true" outlineLevel="0" collapsed="false">
      <c r="G3865" s="1" t="str">
        <f aca="false">IF(C3865="","",INDEX(Akaun!$F$5:$F$150,MATCH(C3865,Akaun!$A$5:$A$150,0)))</f>
        <v/>
      </c>
      <c r="H3865" s="1" t="str">
        <f aca="false">IF(C3865="","",INDEX(Akaun!$D$5:$D$150,MATCH(C3865,Akaun!$A$5:$A$150,0)))</f>
        <v/>
      </c>
    </row>
    <row r="3866" customFormat="false" ht="15" hidden="false" customHeight="true" outlineLevel="0" collapsed="false">
      <c r="G3866" s="1" t="str">
        <f aca="false">IF(C3866="","",INDEX(Akaun!$F$5:$F$150,MATCH(C3866,Akaun!$A$5:$A$150,0)))</f>
        <v/>
      </c>
      <c r="H3866" s="1" t="str">
        <f aca="false">IF(C3866="","",INDEX(Akaun!$D$5:$D$150,MATCH(C3866,Akaun!$A$5:$A$150,0)))</f>
        <v/>
      </c>
    </row>
    <row r="3867" customFormat="false" ht="15" hidden="false" customHeight="true" outlineLevel="0" collapsed="false">
      <c r="G3867" s="1" t="str">
        <f aca="false">IF(C3867="","",INDEX(Akaun!$F$5:$F$150,MATCH(C3867,Akaun!$A$5:$A$150,0)))</f>
        <v/>
      </c>
      <c r="H3867" s="1" t="str">
        <f aca="false">IF(C3867="","",INDEX(Akaun!$D$5:$D$150,MATCH(C3867,Akaun!$A$5:$A$150,0)))</f>
        <v/>
      </c>
    </row>
    <row r="3868" customFormat="false" ht="15" hidden="false" customHeight="true" outlineLevel="0" collapsed="false">
      <c r="G3868" s="1" t="str">
        <f aca="false">IF(C3868="","",INDEX(Akaun!$F$5:$F$150,MATCH(C3868,Akaun!$A$5:$A$150,0)))</f>
        <v/>
      </c>
      <c r="H3868" s="1" t="str">
        <f aca="false">IF(C3868="","",INDEX(Akaun!$D$5:$D$150,MATCH(C3868,Akaun!$A$5:$A$150,0)))</f>
        <v/>
      </c>
    </row>
    <row r="3869" customFormat="false" ht="15" hidden="false" customHeight="true" outlineLevel="0" collapsed="false">
      <c r="G3869" s="1" t="str">
        <f aca="false">IF(C3869="","",INDEX(Akaun!$F$5:$F$150,MATCH(C3869,Akaun!$A$5:$A$150,0)))</f>
        <v/>
      </c>
      <c r="H3869" s="1" t="str">
        <f aca="false">IF(C3869="","",INDEX(Akaun!$D$5:$D$150,MATCH(C3869,Akaun!$A$5:$A$150,0)))</f>
        <v/>
      </c>
    </row>
    <row r="3870" customFormat="false" ht="15" hidden="false" customHeight="true" outlineLevel="0" collapsed="false">
      <c r="G3870" s="1" t="str">
        <f aca="false">IF(C3870="","",INDEX(Akaun!$F$5:$F$150,MATCH(C3870,Akaun!$A$5:$A$150,0)))</f>
        <v/>
      </c>
      <c r="H3870" s="1" t="str">
        <f aca="false">IF(C3870="","",INDEX(Akaun!$D$5:$D$150,MATCH(C3870,Akaun!$A$5:$A$150,0)))</f>
        <v/>
      </c>
    </row>
    <row r="3871" customFormat="false" ht="15" hidden="false" customHeight="true" outlineLevel="0" collapsed="false">
      <c r="G3871" s="1" t="str">
        <f aca="false">IF(C3871="","",INDEX(Akaun!$F$5:$F$150,MATCH(C3871,Akaun!$A$5:$A$150,0)))</f>
        <v/>
      </c>
      <c r="H3871" s="1" t="str">
        <f aca="false">IF(C3871="","",INDEX(Akaun!$D$5:$D$150,MATCH(C3871,Akaun!$A$5:$A$150,0)))</f>
        <v/>
      </c>
    </row>
    <row r="3872" customFormat="false" ht="15" hidden="false" customHeight="true" outlineLevel="0" collapsed="false">
      <c r="G3872" s="1" t="str">
        <f aca="false">IF(C3872="","",INDEX(Akaun!$F$5:$F$150,MATCH(C3872,Akaun!$A$5:$A$150,0)))</f>
        <v/>
      </c>
      <c r="H3872" s="1" t="str">
        <f aca="false">IF(C3872="","",INDEX(Akaun!$D$5:$D$150,MATCH(C3872,Akaun!$A$5:$A$150,0)))</f>
        <v/>
      </c>
    </row>
    <row r="3873" customFormat="false" ht="15" hidden="false" customHeight="true" outlineLevel="0" collapsed="false">
      <c r="G3873" s="1" t="str">
        <f aca="false">IF(C3873="","",INDEX(Akaun!$F$5:$F$150,MATCH(C3873,Akaun!$A$5:$A$150,0)))</f>
        <v/>
      </c>
      <c r="H3873" s="1" t="str">
        <f aca="false">IF(C3873="","",INDEX(Akaun!$D$5:$D$150,MATCH(C3873,Akaun!$A$5:$A$150,0)))</f>
        <v/>
      </c>
    </row>
    <row r="3874" customFormat="false" ht="15" hidden="false" customHeight="true" outlineLevel="0" collapsed="false">
      <c r="G3874" s="1" t="str">
        <f aca="false">IF(C3874="","",INDEX(Akaun!$F$5:$F$150,MATCH(C3874,Akaun!$A$5:$A$150,0)))</f>
        <v/>
      </c>
      <c r="H3874" s="1" t="str">
        <f aca="false">IF(C3874="","",INDEX(Akaun!$D$5:$D$150,MATCH(C3874,Akaun!$A$5:$A$150,0)))</f>
        <v/>
      </c>
    </row>
    <row r="3875" customFormat="false" ht="15" hidden="false" customHeight="true" outlineLevel="0" collapsed="false">
      <c r="G3875" s="1" t="str">
        <f aca="false">IF(C3875="","",INDEX(Akaun!$F$5:$F$150,MATCH(C3875,Akaun!$A$5:$A$150,0)))</f>
        <v/>
      </c>
      <c r="H3875" s="1" t="str">
        <f aca="false">IF(C3875="","",INDEX(Akaun!$D$5:$D$150,MATCH(C3875,Akaun!$A$5:$A$150,0)))</f>
        <v/>
      </c>
    </row>
    <row r="3876" customFormat="false" ht="15" hidden="false" customHeight="true" outlineLevel="0" collapsed="false">
      <c r="G3876" s="1" t="str">
        <f aca="false">IF(C3876="","",INDEX(Akaun!$F$5:$F$150,MATCH(C3876,Akaun!$A$5:$A$150,0)))</f>
        <v/>
      </c>
      <c r="H3876" s="1" t="str">
        <f aca="false">IF(C3876="","",INDEX(Akaun!$D$5:$D$150,MATCH(C3876,Akaun!$A$5:$A$150,0)))</f>
        <v/>
      </c>
    </row>
    <row r="3877" customFormat="false" ht="15" hidden="false" customHeight="true" outlineLevel="0" collapsed="false">
      <c r="G3877" s="1" t="str">
        <f aca="false">IF(C3877="","",INDEX(Akaun!$F$5:$F$150,MATCH(C3877,Akaun!$A$5:$A$150,0)))</f>
        <v/>
      </c>
      <c r="H3877" s="1" t="str">
        <f aca="false">IF(C3877="","",INDEX(Akaun!$D$5:$D$150,MATCH(C3877,Akaun!$A$5:$A$150,0)))</f>
        <v/>
      </c>
    </row>
    <row r="3878" customFormat="false" ht="15" hidden="false" customHeight="true" outlineLevel="0" collapsed="false">
      <c r="G3878" s="1" t="str">
        <f aca="false">IF(C3878="","",INDEX(Akaun!$F$5:$F$150,MATCH(C3878,Akaun!$A$5:$A$150,0)))</f>
        <v/>
      </c>
      <c r="H3878" s="1" t="str">
        <f aca="false">IF(C3878="","",INDEX(Akaun!$D$5:$D$150,MATCH(C3878,Akaun!$A$5:$A$150,0)))</f>
        <v/>
      </c>
    </row>
    <row r="3879" customFormat="false" ht="15" hidden="false" customHeight="true" outlineLevel="0" collapsed="false">
      <c r="G3879" s="1" t="str">
        <f aca="false">IF(C3879="","",INDEX(Akaun!$F$5:$F$150,MATCH(C3879,Akaun!$A$5:$A$150,0)))</f>
        <v/>
      </c>
      <c r="H3879" s="1" t="str">
        <f aca="false">IF(C3879="","",INDEX(Akaun!$D$5:$D$150,MATCH(C3879,Akaun!$A$5:$A$150,0)))</f>
        <v/>
      </c>
    </row>
    <row r="3880" customFormat="false" ht="15" hidden="false" customHeight="true" outlineLevel="0" collapsed="false">
      <c r="G3880" s="1" t="str">
        <f aca="false">IF(C3880="","",INDEX(Akaun!$F$5:$F$150,MATCH(C3880,Akaun!$A$5:$A$150,0)))</f>
        <v/>
      </c>
      <c r="H3880" s="1" t="str">
        <f aca="false">IF(C3880="","",INDEX(Akaun!$D$5:$D$150,MATCH(C3880,Akaun!$A$5:$A$150,0)))</f>
        <v/>
      </c>
    </row>
    <row r="3881" customFormat="false" ht="15" hidden="false" customHeight="true" outlineLevel="0" collapsed="false">
      <c r="G3881" s="1" t="str">
        <f aca="false">IF(C3881="","",INDEX(Akaun!$F$5:$F$150,MATCH(C3881,Akaun!$A$5:$A$150,0)))</f>
        <v/>
      </c>
      <c r="H3881" s="1" t="str">
        <f aca="false">IF(C3881="","",INDEX(Akaun!$D$5:$D$150,MATCH(C3881,Akaun!$A$5:$A$150,0)))</f>
        <v/>
      </c>
    </row>
    <row r="3882" customFormat="false" ht="15" hidden="false" customHeight="true" outlineLevel="0" collapsed="false">
      <c r="G3882" s="1" t="str">
        <f aca="false">IF(C3882="","",INDEX(Akaun!$F$5:$F$150,MATCH(C3882,Akaun!$A$5:$A$150,0)))</f>
        <v/>
      </c>
      <c r="H3882" s="1" t="str">
        <f aca="false">IF(C3882="","",INDEX(Akaun!$D$5:$D$150,MATCH(C3882,Akaun!$A$5:$A$150,0)))</f>
        <v/>
      </c>
    </row>
    <row r="3883" customFormat="false" ht="15" hidden="false" customHeight="true" outlineLevel="0" collapsed="false">
      <c r="G3883" s="1" t="str">
        <f aca="false">IF(C3883="","",INDEX(Akaun!$F$5:$F$150,MATCH(C3883,Akaun!$A$5:$A$150,0)))</f>
        <v/>
      </c>
      <c r="H3883" s="1" t="str">
        <f aca="false">IF(C3883="","",INDEX(Akaun!$D$5:$D$150,MATCH(C3883,Akaun!$A$5:$A$150,0)))</f>
        <v/>
      </c>
    </row>
    <row r="3884" customFormat="false" ht="15" hidden="false" customHeight="true" outlineLevel="0" collapsed="false">
      <c r="G3884" s="1" t="str">
        <f aca="false">IF(C3884="","",INDEX(Akaun!$F$5:$F$150,MATCH(C3884,Akaun!$A$5:$A$150,0)))</f>
        <v/>
      </c>
      <c r="H3884" s="1" t="str">
        <f aca="false">IF(C3884="","",INDEX(Akaun!$D$5:$D$150,MATCH(C3884,Akaun!$A$5:$A$150,0)))</f>
        <v/>
      </c>
    </row>
    <row r="3885" customFormat="false" ht="15" hidden="false" customHeight="true" outlineLevel="0" collapsed="false">
      <c r="G3885" s="1" t="str">
        <f aca="false">IF(C3885="","",INDEX(Akaun!$F$5:$F$150,MATCH(C3885,Akaun!$A$5:$A$150,0)))</f>
        <v/>
      </c>
      <c r="H3885" s="1" t="str">
        <f aca="false">IF(C3885="","",INDEX(Akaun!$D$5:$D$150,MATCH(C3885,Akaun!$A$5:$A$150,0)))</f>
        <v/>
      </c>
    </row>
    <row r="3886" customFormat="false" ht="15" hidden="false" customHeight="true" outlineLevel="0" collapsed="false">
      <c r="G3886" s="1" t="str">
        <f aca="false">IF(C3886="","",INDEX(Akaun!$F$5:$F$150,MATCH(C3886,Akaun!$A$5:$A$150,0)))</f>
        <v/>
      </c>
      <c r="H3886" s="1" t="str">
        <f aca="false">IF(C3886="","",INDEX(Akaun!$D$5:$D$150,MATCH(C3886,Akaun!$A$5:$A$150,0)))</f>
        <v/>
      </c>
    </row>
    <row r="3887" customFormat="false" ht="15" hidden="false" customHeight="true" outlineLevel="0" collapsed="false">
      <c r="G3887" s="1" t="str">
        <f aca="false">IF(C3887="","",INDEX(Akaun!$F$5:$F$150,MATCH(C3887,Akaun!$A$5:$A$150,0)))</f>
        <v/>
      </c>
      <c r="H3887" s="1" t="str">
        <f aca="false">IF(C3887="","",INDEX(Akaun!$D$5:$D$150,MATCH(C3887,Akaun!$A$5:$A$150,0)))</f>
        <v/>
      </c>
    </row>
    <row r="3888" customFormat="false" ht="15" hidden="false" customHeight="true" outlineLevel="0" collapsed="false">
      <c r="G3888" s="1" t="str">
        <f aca="false">IF(C3888="","",INDEX(Akaun!$F$5:$F$150,MATCH(C3888,Akaun!$A$5:$A$150,0)))</f>
        <v/>
      </c>
      <c r="H3888" s="1" t="str">
        <f aca="false">IF(C3888="","",INDEX(Akaun!$D$5:$D$150,MATCH(C3888,Akaun!$A$5:$A$150,0)))</f>
        <v/>
      </c>
    </row>
    <row r="3889" customFormat="false" ht="15" hidden="false" customHeight="true" outlineLevel="0" collapsed="false">
      <c r="G3889" s="1" t="str">
        <f aca="false">IF(C3889="","",INDEX(Akaun!$F$5:$F$150,MATCH(C3889,Akaun!$A$5:$A$150,0)))</f>
        <v/>
      </c>
      <c r="H3889" s="1" t="str">
        <f aca="false">IF(C3889="","",INDEX(Akaun!$D$5:$D$150,MATCH(C3889,Akaun!$A$5:$A$150,0)))</f>
        <v/>
      </c>
    </row>
    <row r="3890" customFormat="false" ht="15" hidden="false" customHeight="true" outlineLevel="0" collapsed="false">
      <c r="G3890" s="1" t="str">
        <f aca="false">IF(C3890="","",INDEX(Akaun!$F$5:$F$150,MATCH(C3890,Akaun!$A$5:$A$150,0)))</f>
        <v/>
      </c>
      <c r="H3890" s="1" t="str">
        <f aca="false">IF(C3890="","",INDEX(Akaun!$D$5:$D$150,MATCH(C3890,Akaun!$A$5:$A$150,0)))</f>
        <v/>
      </c>
    </row>
    <row r="3891" customFormat="false" ht="15" hidden="false" customHeight="true" outlineLevel="0" collapsed="false">
      <c r="G3891" s="1" t="str">
        <f aca="false">IF(C3891="","",INDEX(Akaun!$F$5:$F$150,MATCH(C3891,Akaun!$A$5:$A$150,0)))</f>
        <v/>
      </c>
      <c r="H3891" s="1" t="str">
        <f aca="false">IF(C3891="","",INDEX(Akaun!$D$5:$D$150,MATCH(C3891,Akaun!$A$5:$A$150,0)))</f>
        <v/>
      </c>
    </row>
    <row r="3892" customFormat="false" ht="15" hidden="false" customHeight="true" outlineLevel="0" collapsed="false">
      <c r="G3892" s="1" t="str">
        <f aca="false">IF(C3892="","",INDEX(Akaun!$F$5:$F$150,MATCH(C3892,Akaun!$A$5:$A$150,0)))</f>
        <v/>
      </c>
      <c r="H3892" s="1" t="str">
        <f aca="false">IF(C3892="","",INDEX(Akaun!$D$5:$D$150,MATCH(C3892,Akaun!$A$5:$A$150,0)))</f>
        <v/>
      </c>
    </row>
    <row r="3893" customFormat="false" ht="15" hidden="false" customHeight="true" outlineLevel="0" collapsed="false">
      <c r="G3893" s="1" t="str">
        <f aca="false">IF(C3893="","",INDEX(Akaun!$F$5:$F$150,MATCH(C3893,Akaun!$A$5:$A$150,0)))</f>
        <v/>
      </c>
      <c r="H3893" s="1" t="str">
        <f aca="false">IF(C3893="","",INDEX(Akaun!$D$5:$D$150,MATCH(C3893,Akaun!$A$5:$A$150,0)))</f>
        <v/>
      </c>
    </row>
    <row r="3894" customFormat="false" ht="15" hidden="false" customHeight="true" outlineLevel="0" collapsed="false">
      <c r="G3894" s="1" t="str">
        <f aca="false">IF(C3894="","",INDEX(Akaun!$F$5:$F$150,MATCH(C3894,Akaun!$A$5:$A$150,0)))</f>
        <v/>
      </c>
      <c r="H3894" s="1" t="str">
        <f aca="false">IF(C3894="","",INDEX(Akaun!$D$5:$D$150,MATCH(C3894,Akaun!$A$5:$A$150,0)))</f>
        <v/>
      </c>
    </row>
    <row r="3895" customFormat="false" ht="15" hidden="false" customHeight="true" outlineLevel="0" collapsed="false">
      <c r="G3895" s="1" t="str">
        <f aca="false">IF(C3895="","",INDEX(Akaun!$F$5:$F$150,MATCH(C3895,Akaun!$A$5:$A$150,0)))</f>
        <v/>
      </c>
      <c r="H3895" s="1" t="str">
        <f aca="false">IF(C3895="","",INDEX(Akaun!$D$5:$D$150,MATCH(C3895,Akaun!$A$5:$A$150,0)))</f>
        <v/>
      </c>
    </row>
    <row r="3896" customFormat="false" ht="15" hidden="false" customHeight="true" outlineLevel="0" collapsed="false">
      <c r="G3896" s="1" t="str">
        <f aca="false">IF(C3896="","",INDEX(Akaun!$F$5:$F$150,MATCH(C3896,Akaun!$A$5:$A$150,0)))</f>
        <v/>
      </c>
      <c r="H3896" s="1" t="str">
        <f aca="false">IF(C3896="","",INDEX(Akaun!$D$5:$D$150,MATCH(C3896,Akaun!$A$5:$A$150,0)))</f>
        <v/>
      </c>
    </row>
    <row r="3897" customFormat="false" ht="15" hidden="false" customHeight="true" outlineLevel="0" collapsed="false">
      <c r="G3897" s="1" t="str">
        <f aca="false">IF(C3897="","",INDEX(Akaun!$F$5:$F$150,MATCH(C3897,Akaun!$A$5:$A$150,0)))</f>
        <v/>
      </c>
      <c r="H3897" s="1" t="str">
        <f aca="false">IF(C3897="","",INDEX(Akaun!$D$5:$D$150,MATCH(C3897,Akaun!$A$5:$A$150,0)))</f>
        <v/>
      </c>
    </row>
    <row r="3898" customFormat="false" ht="15" hidden="false" customHeight="true" outlineLevel="0" collapsed="false">
      <c r="G3898" s="1" t="str">
        <f aca="false">IF(C3898="","",INDEX(Akaun!$F$5:$F$150,MATCH(C3898,Akaun!$A$5:$A$150,0)))</f>
        <v/>
      </c>
      <c r="H3898" s="1" t="str">
        <f aca="false">IF(C3898="","",INDEX(Akaun!$D$5:$D$150,MATCH(C3898,Akaun!$A$5:$A$150,0)))</f>
        <v/>
      </c>
    </row>
    <row r="3899" customFormat="false" ht="15" hidden="false" customHeight="true" outlineLevel="0" collapsed="false">
      <c r="G3899" s="1" t="str">
        <f aca="false">IF(C3899="","",INDEX(Akaun!$F$5:$F$150,MATCH(C3899,Akaun!$A$5:$A$150,0)))</f>
        <v/>
      </c>
      <c r="H3899" s="1" t="str">
        <f aca="false">IF(C3899="","",INDEX(Akaun!$D$5:$D$150,MATCH(C3899,Akaun!$A$5:$A$150,0)))</f>
        <v/>
      </c>
    </row>
    <row r="3900" customFormat="false" ht="15" hidden="false" customHeight="true" outlineLevel="0" collapsed="false">
      <c r="G3900" s="1" t="str">
        <f aca="false">IF(C3900="","",INDEX(Akaun!$F$5:$F$150,MATCH(C3900,Akaun!$A$5:$A$150,0)))</f>
        <v/>
      </c>
      <c r="H3900" s="1" t="str">
        <f aca="false">IF(C3900="","",INDEX(Akaun!$D$5:$D$150,MATCH(C3900,Akaun!$A$5:$A$150,0)))</f>
        <v/>
      </c>
    </row>
    <row r="3901" customFormat="false" ht="15" hidden="false" customHeight="true" outlineLevel="0" collapsed="false">
      <c r="G3901" s="1" t="str">
        <f aca="false">IF(C3901="","",INDEX(Akaun!$F$5:$F$150,MATCH(C3901,Akaun!$A$5:$A$150,0)))</f>
        <v/>
      </c>
      <c r="H3901" s="1" t="str">
        <f aca="false">IF(C3901="","",INDEX(Akaun!$D$5:$D$150,MATCH(C3901,Akaun!$A$5:$A$150,0)))</f>
        <v/>
      </c>
    </row>
    <row r="3902" customFormat="false" ht="15" hidden="false" customHeight="true" outlineLevel="0" collapsed="false">
      <c r="G3902" s="1" t="str">
        <f aca="false">IF(C3902="","",INDEX(Akaun!$F$5:$F$150,MATCH(C3902,Akaun!$A$5:$A$150,0)))</f>
        <v/>
      </c>
      <c r="H3902" s="1" t="str">
        <f aca="false">IF(C3902="","",INDEX(Akaun!$D$5:$D$150,MATCH(C3902,Akaun!$A$5:$A$150,0)))</f>
        <v/>
      </c>
    </row>
    <row r="3903" customFormat="false" ht="15" hidden="false" customHeight="true" outlineLevel="0" collapsed="false">
      <c r="G3903" s="1" t="str">
        <f aca="false">IF(C3903="","",INDEX(Akaun!$F$5:$F$150,MATCH(C3903,Akaun!$A$5:$A$150,0)))</f>
        <v/>
      </c>
      <c r="H3903" s="1" t="str">
        <f aca="false">IF(C3903="","",INDEX(Akaun!$D$5:$D$150,MATCH(C3903,Akaun!$A$5:$A$150,0)))</f>
        <v/>
      </c>
    </row>
    <row r="3904" customFormat="false" ht="15" hidden="false" customHeight="true" outlineLevel="0" collapsed="false">
      <c r="G3904" s="1" t="str">
        <f aca="false">IF(C3904="","",INDEX(Akaun!$F$5:$F$150,MATCH(C3904,Akaun!$A$5:$A$150,0)))</f>
        <v/>
      </c>
      <c r="H3904" s="1" t="str">
        <f aca="false">IF(C3904="","",INDEX(Akaun!$D$5:$D$150,MATCH(C3904,Akaun!$A$5:$A$150,0)))</f>
        <v/>
      </c>
    </row>
    <row r="3905" customFormat="false" ht="15" hidden="false" customHeight="true" outlineLevel="0" collapsed="false">
      <c r="G3905" s="1" t="str">
        <f aca="false">IF(C3905="","",INDEX(Akaun!$F$5:$F$150,MATCH(C3905,Akaun!$A$5:$A$150,0)))</f>
        <v/>
      </c>
      <c r="H3905" s="1" t="str">
        <f aca="false">IF(C3905="","",INDEX(Akaun!$D$5:$D$150,MATCH(C3905,Akaun!$A$5:$A$150,0)))</f>
        <v/>
      </c>
    </row>
    <row r="3906" customFormat="false" ht="15" hidden="false" customHeight="true" outlineLevel="0" collapsed="false">
      <c r="G3906" s="1" t="str">
        <f aca="false">IF(C3906="","",INDEX(Akaun!$F$5:$F$150,MATCH(C3906,Akaun!$A$5:$A$150,0)))</f>
        <v/>
      </c>
      <c r="H3906" s="1" t="str">
        <f aca="false">IF(C3906="","",INDEX(Akaun!$D$5:$D$150,MATCH(C3906,Akaun!$A$5:$A$150,0)))</f>
        <v/>
      </c>
    </row>
    <row r="3907" customFormat="false" ht="15" hidden="false" customHeight="true" outlineLevel="0" collapsed="false">
      <c r="G3907" s="1" t="str">
        <f aca="false">IF(C3907="","",INDEX(Akaun!$F$5:$F$150,MATCH(C3907,Akaun!$A$5:$A$150,0)))</f>
        <v/>
      </c>
      <c r="H3907" s="1" t="str">
        <f aca="false">IF(C3907="","",INDEX(Akaun!$D$5:$D$150,MATCH(C3907,Akaun!$A$5:$A$150,0)))</f>
        <v/>
      </c>
    </row>
    <row r="3908" customFormat="false" ht="15" hidden="false" customHeight="true" outlineLevel="0" collapsed="false">
      <c r="G3908" s="1" t="str">
        <f aca="false">IF(C3908="","",INDEX(Akaun!$F$5:$F$150,MATCH(C3908,Akaun!$A$5:$A$150,0)))</f>
        <v/>
      </c>
      <c r="H3908" s="1" t="str">
        <f aca="false">IF(C3908="","",INDEX(Akaun!$D$5:$D$150,MATCH(C3908,Akaun!$A$5:$A$150,0)))</f>
        <v/>
      </c>
    </row>
    <row r="3909" customFormat="false" ht="15" hidden="false" customHeight="true" outlineLevel="0" collapsed="false">
      <c r="G3909" s="1" t="str">
        <f aca="false">IF(C3909="","",INDEX(Akaun!$F$5:$F$150,MATCH(C3909,Akaun!$A$5:$A$150,0)))</f>
        <v/>
      </c>
      <c r="H3909" s="1" t="str">
        <f aca="false">IF(C3909="","",INDEX(Akaun!$D$5:$D$150,MATCH(C3909,Akaun!$A$5:$A$150,0)))</f>
        <v/>
      </c>
    </row>
    <row r="3910" customFormat="false" ht="15" hidden="false" customHeight="true" outlineLevel="0" collapsed="false">
      <c r="G3910" s="1" t="str">
        <f aca="false">IF(C3910="","",INDEX(Akaun!$F$5:$F$150,MATCH(C3910,Akaun!$A$5:$A$150,0)))</f>
        <v/>
      </c>
      <c r="H3910" s="1" t="str">
        <f aca="false">IF(C3910="","",INDEX(Akaun!$D$5:$D$150,MATCH(C3910,Akaun!$A$5:$A$150,0)))</f>
        <v/>
      </c>
    </row>
    <row r="3911" customFormat="false" ht="15" hidden="false" customHeight="true" outlineLevel="0" collapsed="false">
      <c r="G3911" s="1" t="str">
        <f aca="false">IF(C3911="","",INDEX(Akaun!$F$5:$F$150,MATCH(C3911,Akaun!$A$5:$A$150,0)))</f>
        <v/>
      </c>
      <c r="H3911" s="1" t="str">
        <f aca="false">IF(C3911="","",INDEX(Akaun!$D$5:$D$150,MATCH(C3911,Akaun!$A$5:$A$150,0)))</f>
        <v/>
      </c>
    </row>
    <row r="3912" customFormat="false" ht="15" hidden="false" customHeight="true" outlineLevel="0" collapsed="false">
      <c r="G3912" s="1" t="str">
        <f aca="false">IF(C3912="","",INDEX(Akaun!$F$5:$F$150,MATCH(C3912,Akaun!$A$5:$A$150,0)))</f>
        <v/>
      </c>
      <c r="H3912" s="1" t="str">
        <f aca="false">IF(C3912="","",INDEX(Akaun!$D$5:$D$150,MATCH(C3912,Akaun!$A$5:$A$150,0)))</f>
        <v/>
      </c>
    </row>
    <row r="3913" customFormat="false" ht="15" hidden="false" customHeight="true" outlineLevel="0" collapsed="false">
      <c r="G3913" s="1" t="str">
        <f aca="false">IF(C3913="","",INDEX(Akaun!$F$5:$F$150,MATCH(C3913,Akaun!$A$5:$A$150,0)))</f>
        <v/>
      </c>
      <c r="H3913" s="1" t="str">
        <f aca="false">IF(C3913="","",INDEX(Akaun!$D$5:$D$150,MATCH(C3913,Akaun!$A$5:$A$150,0)))</f>
        <v/>
      </c>
    </row>
    <row r="3914" customFormat="false" ht="15" hidden="false" customHeight="true" outlineLevel="0" collapsed="false">
      <c r="G3914" s="1" t="str">
        <f aca="false">IF(C3914="","",INDEX(Akaun!$F$5:$F$150,MATCH(C3914,Akaun!$A$5:$A$150,0)))</f>
        <v/>
      </c>
      <c r="H3914" s="1" t="str">
        <f aca="false">IF(C3914="","",INDEX(Akaun!$D$5:$D$150,MATCH(C3914,Akaun!$A$5:$A$150,0)))</f>
        <v/>
      </c>
    </row>
    <row r="3915" customFormat="false" ht="15" hidden="false" customHeight="true" outlineLevel="0" collapsed="false">
      <c r="G3915" s="1" t="str">
        <f aca="false">IF(C3915="","",INDEX(Akaun!$F$5:$F$150,MATCH(C3915,Akaun!$A$5:$A$150,0)))</f>
        <v/>
      </c>
      <c r="H3915" s="1" t="str">
        <f aca="false">IF(C3915="","",INDEX(Akaun!$D$5:$D$150,MATCH(C3915,Akaun!$A$5:$A$150,0)))</f>
        <v/>
      </c>
    </row>
    <row r="3916" customFormat="false" ht="15" hidden="false" customHeight="true" outlineLevel="0" collapsed="false">
      <c r="G3916" s="1" t="str">
        <f aca="false">IF(C3916="","",INDEX(Akaun!$F$5:$F$150,MATCH(C3916,Akaun!$A$5:$A$150,0)))</f>
        <v/>
      </c>
      <c r="H3916" s="1" t="str">
        <f aca="false">IF(C3916="","",INDEX(Akaun!$D$5:$D$150,MATCH(C3916,Akaun!$A$5:$A$150,0)))</f>
        <v/>
      </c>
    </row>
    <row r="3917" customFormat="false" ht="15" hidden="false" customHeight="true" outlineLevel="0" collapsed="false">
      <c r="G3917" s="1" t="str">
        <f aca="false">IF(C3917="","",INDEX(Akaun!$F$5:$F$150,MATCH(C3917,Akaun!$A$5:$A$150,0)))</f>
        <v/>
      </c>
      <c r="H3917" s="1" t="str">
        <f aca="false">IF(C3917="","",INDEX(Akaun!$D$5:$D$150,MATCH(C3917,Akaun!$A$5:$A$150,0)))</f>
        <v/>
      </c>
    </row>
    <row r="3918" customFormat="false" ht="15" hidden="false" customHeight="true" outlineLevel="0" collapsed="false">
      <c r="G3918" s="1" t="str">
        <f aca="false">IF(C3918="","",INDEX(Akaun!$F$5:$F$150,MATCH(C3918,Akaun!$A$5:$A$150,0)))</f>
        <v/>
      </c>
      <c r="H3918" s="1" t="str">
        <f aca="false">IF(C3918="","",INDEX(Akaun!$D$5:$D$150,MATCH(C3918,Akaun!$A$5:$A$150,0)))</f>
        <v/>
      </c>
    </row>
    <row r="3919" customFormat="false" ht="15" hidden="false" customHeight="true" outlineLevel="0" collapsed="false">
      <c r="G3919" s="1" t="str">
        <f aca="false">IF(C3919="","",INDEX(Akaun!$F$5:$F$150,MATCH(C3919,Akaun!$A$5:$A$150,0)))</f>
        <v/>
      </c>
      <c r="H3919" s="1" t="str">
        <f aca="false">IF(C3919="","",INDEX(Akaun!$D$5:$D$150,MATCH(C3919,Akaun!$A$5:$A$150,0)))</f>
        <v/>
      </c>
    </row>
    <row r="3920" customFormat="false" ht="15" hidden="false" customHeight="true" outlineLevel="0" collapsed="false">
      <c r="G3920" s="1" t="str">
        <f aca="false">IF(C3920="","",INDEX(Akaun!$F$5:$F$150,MATCH(C3920,Akaun!$A$5:$A$150,0)))</f>
        <v/>
      </c>
      <c r="H3920" s="1" t="str">
        <f aca="false">IF(C3920="","",INDEX(Akaun!$D$5:$D$150,MATCH(C3920,Akaun!$A$5:$A$150,0)))</f>
        <v/>
      </c>
    </row>
    <row r="3921" customFormat="false" ht="15" hidden="false" customHeight="true" outlineLevel="0" collapsed="false">
      <c r="G3921" s="1" t="str">
        <f aca="false">IF(C3921="","",INDEX(Akaun!$F$5:$F$150,MATCH(C3921,Akaun!$A$5:$A$150,0)))</f>
        <v/>
      </c>
      <c r="H3921" s="1" t="str">
        <f aca="false">IF(C3921="","",INDEX(Akaun!$D$5:$D$150,MATCH(C3921,Akaun!$A$5:$A$150,0)))</f>
        <v/>
      </c>
    </row>
    <row r="3922" customFormat="false" ht="15" hidden="false" customHeight="true" outlineLevel="0" collapsed="false">
      <c r="G3922" s="1" t="str">
        <f aca="false">IF(C3922="","",INDEX(Akaun!$F$5:$F$150,MATCH(C3922,Akaun!$A$5:$A$150,0)))</f>
        <v/>
      </c>
      <c r="H3922" s="1" t="str">
        <f aca="false">IF(C3922="","",INDEX(Akaun!$D$5:$D$150,MATCH(C3922,Akaun!$A$5:$A$150,0)))</f>
        <v/>
      </c>
    </row>
    <row r="3923" customFormat="false" ht="15" hidden="false" customHeight="true" outlineLevel="0" collapsed="false">
      <c r="G3923" s="1" t="str">
        <f aca="false">IF(C3923="","",INDEX(Akaun!$F$5:$F$150,MATCH(C3923,Akaun!$A$5:$A$150,0)))</f>
        <v/>
      </c>
      <c r="H3923" s="1" t="str">
        <f aca="false">IF(C3923="","",INDEX(Akaun!$D$5:$D$150,MATCH(C3923,Akaun!$A$5:$A$150,0)))</f>
        <v/>
      </c>
    </row>
    <row r="3924" customFormat="false" ht="15" hidden="false" customHeight="true" outlineLevel="0" collapsed="false">
      <c r="G3924" s="1" t="str">
        <f aca="false">IF(C3924="","",INDEX(Akaun!$F$5:$F$150,MATCH(C3924,Akaun!$A$5:$A$150,0)))</f>
        <v/>
      </c>
      <c r="H3924" s="1" t="str">
        <f aca="false">IF(C3924="","",INDEX(Akaun!$D$5:$D$150,MATCH(C3924,Akaun!$A$5:$A$150,0)))</f>
        <v/>
      </c>
    </row>
    <row r="3925" customFormat="false" ht="15" hidden="false" customHeight="true" outlineLevel="0" collapsed="false">
      <c r="G3925" s="1" t="str">
        <f aca="false">IF(C3925="","",INDEX(Akaun!$F$5:$F$150,MATCH(C3925,Akaun!$A$5:$A$150,0)))</f>
        <v/>
      </c>
      <c r="H3925" s="1" t="str">
        <f aca="false">IF(C3925="","",INDEX(Akaun!$D$5:$D$150,MATCH(C3925,Akaun!$A$5:$A$150,0)))</f>
        <v/>
      </c>
    </row>
    <row r="3926" customFormat="false" ht="15" hidden="false" customHeight="true" outlineLevel="0" collapsed="false">
      <c r="G3926" s="1" t="str">
        <f aca="false">IF(C3926="","",INDEX(Akaun!$F$5:$F$150,MATCH(C3926,Akaun!$A$5:$A$150,0)))</f>
        <v/>
      </c>
      <c r="H3926" s="1" t="str">
        <f aca="false">IF(C3926="","",INDEX(Akaun!$D$5:$D$150,MATCH(C3926,Akaun!$A$5:$A$150,0)))</f>
        <v/>
      </c>
    </row>
    <row r="3927" customFormat="false" ht="15" hidden="false" customHeight="true" outlineLevel="0" collapsed="false">
      <c r="G3927" s="1" t="str">
        <f aca="false">IF(C3927="","",INDEX(Akaun!$F$5:$F$150,MATCH(C3927,Akaun!$A$5:$A$150,0)))</f>
        <v/>
      </c>
      <c r="H3927" s="1" t="str">
        <f aca="false">IF(C3927="","",INDEX(Akaun!$D$5:$D$150,MATCH(C3927,Akaun!$A$5:$A$150,0)))</f>
        <v/>
      </c>
    </row>
    <row r="3928" customFormat="false" ht="15" hidden="false" customHeight="true" outlineLevel="0" collapsed="false">
      <c r="G3928" s="1" t="str">
        <f aca="false">IF(C3928="","",INDEX(Akaun!$F$5:$F$150,MATCH(C3928,Akaun!$A$5:$A$150,0)))</f>
        <v/>
      </c>
      <c r="H3928" s="1" t="str">
        <f aca="false">IF(C3928="","",INDEX(Akaun!$D$5:$D$150,MATCH(C3928,Akaun!$A$5:$A$150,0)))</f>
        <v/>
      </c>
    </row>
    <row r="3929" customFormat="false" ht="15" hidden="false" customHeight="true" outlineLevel="0" collapsed="false">
      <c r="G3929" s="1" t="str">
        <f aca="false">IF(C3929="","",INDEX(Akaun!$F$5:$F$150,MATCH(C3929,Akaun!$A$5:$A$150,0)))</f>
        <v/>
      </c>
      <c r="H3929" s="1" t="str">
        <f aca="false">IF(C3929="","",INDEX(Akaun!$D$5:$D$150,MATCH(C3929,Akaun!$A$5:$A$150,0)))</f>
        <v/>
      </c>
    </row>
    <row r="3930" customFormat="false" ht="15" hidden="false" customHeight="true" outlineLevel="0" collapsed="false">
      <c r="G3930" s="1" t="str">
        <f aca="false">IF(C3930="","",INDEX(Akaun!$F$5:$F$150,MATCH(C3930,Akaun!$A$5:$A$150,0)))</f>
        <v/>
      </c>
      <c r="H3930" s="1" t="str">
        <f aca="false">IF(C3930="","",INDEX(Akaun!$D$5:$D$150,MATCH(C3930,Akaun!$A$5:$A$150,0)))</f>
        <v/>
      </c>
    </row>
    <row r="3931" customFormat="false" ht="15" hidden="false" customHeight="true" outlineLevel="0" collapsed="false">
      <c r="G3931" s="1" t="str">
        <f aca="false">IF(C3931="","",INDEX(Akaun!$F$5:$F$150,MATCH(C3931,Akaun!$A$5:$A$150,0)))</f>
        <v/>
      </c>
      <c r="H3931" s="1" t="str">
        <f aca="false">IF(C3931="","",INDEX(Akaun!$D$5:$D$150,MATCH(C3931,Akaun!$A$5:$A$150,0)))</f>
        <v/>
      </c>
    </row>
    <row r="3932" customFormat="false" ht="15" hidden="false" customHeight="true" outlineLevel="0" collapsed="false">
      <c r="G3932" s="1" t="str">
        <f aca="false">IF(C3932="","",INDEX(Akaun!$F$5:$F$150,MATCH(C3932,Akaun!$A$5:$A$150,0)))</f>
        <v/>
      </c>
      <c r="H3932" s="1" t="str">
        <f aca="false">IF(C3932="","",INDEX(Akaun!$D$5:$D$150,MATCH(C3932,Akaun!$A$5:$A$150,0)))</f>
        <v/>
      </c>
    </row>
    <row r="3933" customFormat="false" ht="15" hidden="false" customHeight="true" outlineLevel="0" collapsed="false">
      <c r="G3933" s="1" t="str">
        <f aca="false">IF(C3933="","",INDEX(Akaun!$F$5:$F$150,MATCH(C3933,Akaun!$A$5:$A$150,0)))</f>
        <v/>
      </c>
      <c r="H3933" s="1" t="str">
        <f aca="false">IF(C3933="","",INDEX(Akaun!$D$5:$D$150,MATCH(C3933,Akaun!$A$5:$A$150,0)))</f>
        <v/>
      </c>
    </row>
    <row r="3934" customFormat="false" ht="15" hidden="false" customHeight="true" outlineLevel="0" collapsed="false">
      <c r="G3934" s="1" t="str">
        <f aca="false">IF(C3934="","",INDEX(Akaun!$F$5:$F$150,MATCH(C3934,Akaun!$A$5:$A$150,0)))</f>
        <v/>
      </c>
      <c r="H3934" s="1" t="str">
        <f aca="false">IF(C3934="","",INDEX(Akaun!$D$5:$D$150,MATCH(C3934,Akaun!$A$5:$A$150,0)))</f>
        <v/>
      </c>
    </row>
    <row r="3935" customFormat="false" ht="15" hidden="false" customHeight="true" outlineLevel="0" collapsed="false">
      <c r="G3935" s="1" t="str">
        <f aca="false">IF(C3935="","",INDEX(Akaun!$F$5:$F$150,MATCH(C3935,Akaun!$A$5:$A$150,0)))</f>
        <v/>
      </c>
      <c r="H3935" s="1" t="str">
        <f aca="false">IF(C3935="","",INDEX(Akaun!$D$5:$D$150,MATCH(C3935,Akaun!$A$5:$A$150,0)))</f>
        <v/>
      </c>
    </row>
    <row r="3936" customFormat="false" ht="15" hidden="false" customHeight="true" outlineLevel="0" collapsed="false">
      <c r="G3936" s="1" t="str">
        <f aca="false">IF(C3936="","",INDEX(Akaun!$F$5:$F$150,MATCH(C3936,Akaun!$A$5:$A$150,0)))</f>
        <v/>
      </c>
      <c r="H3936" s="1" t="str">
        <f aca="false">IF(C3936="","",INDEX(Akaun!$D$5:$D$150,MATCH(C3936,Akaun!$A$5:$A$150,0)))</f>
        <v/>
      </c>
    </row>
    <row r="3937" customFormat="false" ht="15" hidden="false" customHeight="true" outlineLevel="0" collapsed="false">
      <c r="G3937" s="1" t="str">
        <f aca="false">IF(C3937="","",INDEX(Akaun!$F$5:$F$150,MATCH(C3937,Akaun!$A$5:$A$150,0)))</f>
        <v/>
      </c>
      <c r="H3937" s="1" t="str">
        <f aca="false">IF(C3937="","",INDEX(Akaun!$D$5:$D$150,MATCH(C3937,Akaun!$A$5:$A$150,0)))</f>
        <v/>
      </c>
    </row>
    <row r="3938" customFormat="false" ht="15" hidden="false" customHeight="true" outlineLevel="0" collapsed="false">
      <c r="G3938" s="1" t="str">
        <f aca="false">IF(C3938="","",INDEX(Akaun!$F$5:$F$150,MATCH(C3938,Akaun!$A$5:$A$150,0)))</f>
        <v/>
      </c>
      <c r="H3938" s="1" t="str">
        <f aca="false">IF(C3938="","",INDEX(Akaun!$D$5:$D$150,MATCH(C3938,Akaun!$A$5:$A$150,0)))</f>
        <v/>
      </c>
    </row>
    <row r="3939" customFormat="false" ht="15" hidden="false" customHeight="true" outlineLevel="0" collapsed="false">
      <c r="G3939" s="1" t="str">
        <f aca="false">IF(C3939="","",INDEX(Akaun!$F$5:$F$150,MATCH(C3939,Akaun!$A$5:$A$150,0)))</f>
        <v/>
      </c>
      <c r="H3939" s="1" t="str">
        <f aca="false">IF(C3939="","",INDEX(Akaun!$D$5:$D$150,MATCH(C3939,Akaun!$A$5:$A$150,0)))</f>
        <v/>
      </c>
    </row>
    <row r="3940" customFormat="false" ht="15" hidden="false" customHeight="true" outlineLevel="0" collapsed="false">
      <c r="G3940" s="1" t="str">
        <f aca="false">IF(C3940="","",INDEX(Akaun!$F$5:$F$150,MATCH(C3940,Akaun!$A$5:$A$150,0)))</f>
        <v/>
      </c>
      <c r="H3940" s="1" t="str">
        <f aca="false">IF(C3940="","",INDEX(Akaun!$D$5:$D$150,MATCH(C3940,Akaun!$A$5:$A$150,0)))</f>
        <v/>
      </c>
    </row>
    <row r="3941" customFormat="false" ht="15" hidden="false" customHeight="true" outlineLevel="0" collapsed="false">
      <c r="G3941" s="1" t="str">
        <f aca="false">IF(C3941="","",INDEX(Akaun!$F$5:$F$150,MATCH(C3941,Akaun!$A$5:$A$150,0)))</f>
        <v/>
      </c>
      <c r="H3941" s="1" t="str">
        <f aca="false">IF(C3941="","",INDEX(Akaun!$D$5:$D$150,MATCH(C3941,Akaun!$A$5:$A$150,0)))</f>
        <v/>
      </c>
    </row>
    <row r="3942" customFormat="false" ht="15" hidden="false" customHeight="true" outlineLevel="0" collapsed="false">
      <c r="G3942" s="1" t="str">
        <f aca="false">IF(C3942="","",INDEX(Akaun!$F$5:$F$150,MATCH(C3942,Akaun!$A$5:$A$150,0)))</f>
        <v/>
      </c>
      <c r="H3942" s="1" t="str">
        <f aca="false">IF(C3942="","",INDEX(Akaun!$D$5:$D$150,MATCH(C3942,Akaun!$A$5:$A$150,0)))</f>
        <v/>
      </c>
    </row>
    <row r="3943" customFormat="false" ht="15" hidden="false" customHeight="true" outlineLevel="0" collapsed="false">
      <c r="G3943" s="1" t="str">
        <f aca="false">IF(C3943="","",INDEX(Akaun!$F$5:$F$150,MATCH(C3943,Akaun!$A$5:$A$150,0)))</f>
        <v/>
      </c>
      <c r="H3943" s="1" t="str">
        <f aca="false">IF(C3943="","",INDEX(Akaun!$D$5:$D$150,MATCH(C3943,Akaun!$A$5:$A$150,0)))</f>
        <v/>
      </c>
    </row>
    <row r="3944" customFormat="false" ht="15" hidden="false" customHeight="true" outlineLevel="0" collapsed="false">
      <c r="G3944" s="1" t="str">
        <f aca="false">IF(C3944="","",INDEX(Akaun!$F$5:$F$150,MATCH(C3944,Akaun!$A$5:$A$150,0)))</f>
        <v/>
      </c>
      <c r="H3944" s="1" t="str">
        <f aca="false">IF(C3944="","",INDEX(Akaun!$D$5:$D$150,MATCH(C3944,Akaun!$A$5:$A$150,0)))</f>
        <v/>
      </c>
    </row>
    <row r="3945" customFormat="false" ht="15" hidden="false" customHeight="true" outlineLevel="0" collapsed="false">
      <c r="G3945" s="1" t="str">
        <f aca="false">IF(C3945="","",INDEX(Akaun!$F$5:$F$150,MATCH(C3945,Akaun!$A$5:$A$150,0)))</f>
        <v/>
      </c>
      <c r="H3945" s="1" t="str">
        <f aca="false">IF(C3945="","",INDEX(Akaun!$D$5:$D$150,MATCH(C3945,Akaun!$A$5:$A$150,0)))</f>
        <v/>
      </c>
    </row>
    <row r="3946" customFormat="false" ht="15" hidden="false" customHeight="true" outlineLevel="0" collapsed="false">
      <c r="G3946" s="1" t="str">
        <f aca="false">IF(C3946="","",INDEX(Akaun!$F$5:$F$150,MATCH(C3946,Akaun!$A$5:$A$150,0)))</f>
        <v/>
      </c>
      <c r="H3946" s="1" t="str">
        <f aca="false">IF(C3946="","",INDEX(Akaun!$D$5:$D$150,MATCH(C3946,Akaun!$A$5:$A$150,0)))</f>
        <v/>
      </c>
    </row>
    <row r="3947" customFormat="false" ht="15" hidden="false" customHeight="true" outlineLevel="0" collapsed="false">
      <c r="G3947" s="1" t="str">
        <f aca="false">IF(C3947="","",INDEX(Akaun!$F$5:$F$150,MATCH(C3947,Akaun!$A$5:$A$150,0)))</f>
        <v/>
      </c>
      <c r="H3947" s="1" t="str">
        <f aca="false">IF(C3947="","",INDEX(Akaun!$D$5:$D$150,MATCH(C3947,Akaun!$A$5:$A$150,0)))</f>
        <v/>
      </c>
    </row>
    <row r="3948" customFormat="false" ht="15" hidden="false" customHeight="true" outlineLevel="0" collapsed="false">
      <c r="G3948" s="1" t="str">
        <f aca="false">IF(C3948="","",INDEX(Akaun!$F$5:$F$150,MATCH(C3948,Akaun!$A$5:$A$150,0)))</f>
        <v/>
      </c>
      <c r="H3948" s="1" t="str">
        <f aca="false">IF(C3948="","",INDEX(Akaun!$D$5:$D$150,MATCH(C3948,Akaun!$A$5:$A$150,0)))</f>
        <v/>
      </c>
    </row>
    <row r="3949" customFormat="false" ht="15" hidden="false" customHeight="true" outlineLevel="0" collapsed="false">
      <c r="G3949" s="1" t="str">
        <f aca="false">IF(C3949="","",INDEX(Akaun!$F$5:$F$150,MATCH(C3949,Akaun!$A$5:$A$150,0)))</f>
        <v/>
      </c>
      <c r="H3949" s="1" t="str">
        <f aca="false">IF(C3949="","",INDEX(Akaun!$D$5:$D$150,MATCH(C3949,Akaun!$A$5:$A$150,0)))</f>
        <v/>
      </c>
    </row>
    <row r="3950" customFormat="false" ht="15" hidden="false" customHeight="true" outlineLevel="0" collapsed="false">
      <c r="G3950" s="1" t="str">
        <f aca="false">IF(C3950="","",INDEX(Akaun!$F$5:$F$150,MATCH(C3950,Akaun!$A$5:$A$150,0)))</f>
        <v/>
      </c>
      <c r="H3950" s="1" t="str">
        <f aca="false">IF(C3950="","",INDEX(Akaun!$D$5:$D$150,MATCH(C3950,Akaun!$A$5:$A$150,0)))</f>
        <v/>
      </c>
    </row>
    <row r="3951" customFormat="false" ht="15" hidden="false" customHeight="true" outlineLevel="0" collapsed="false">
      <c r="G3951" s="1" t="str">
        <f aca="false">IF(C3951="","",INDEX(Akaun!$F$5:$F$150,MATCH(C3951,Akaun!$A$5:$A$150,0)))</f>
        <v/>
      </c>
      <c r="H3951" s="1" t="str">
        <f aca="false">IF(C3951="","",INDEX(Akaun!$D$5:$D$150,MATCH(C3951,Akaun!$A$5:$A$150,0)))</f>
        <v/>
      </c>
    </row>
    <row r="3952" customFormat="false" ht="15" hidden="false" customHeight="true" outlineLevel="0" collapsed="false">
      <c r="G3952" s="1" t="str">
        <f aca="false">IF(C3952="","",INDEX(Akaun!$F$5:$F$150,MATCH(C3952,Akaun!$A$5:$A$150,0)))</f>
        <v/>
      </c>
      <c r="H3952" s="1" t="str">
        <f aca="false">IF(C3952="","",INDEX(Akaun!$D$5:$D$150,MATCH(C3952,Akaun!$A$5:$A$150,0)))</f>
        <v/>
      </c>
    </row>
    <row r="3953" customFormat="false" ht="15" hidden="false" customHeight="true" outlineLevel="0" collapsed="false">
      <c r="G3953" s="1" t="str">
        <f aca="false">IF(C3953="","",INDEX(Akaun!$F$5:$F$150,MATCH(C3953,Akaun!$A$5:$A$150,0)))</f>
        <v/>
      </c>
      <c r="H3953" s="1" t="str">
        <f aca="false">IF(C3953="","",INDEX(Akaun!$D$5:$D$150,MATCH(C3953,Akaun!$A$5:$A$150,0)))</f>
        <v/>
      </c>
    </row>
    <row r="3954" customFormat="false" ht="15" hidden="false" customHeight="true" outlineLevel="0" collapsed="false">
      <c r="G3954" s="1" t="str">
        <f aca="false">IF(C3954="","",INDEX(Akaun!$F$5:$F$150,MATCH(C3954,Akaun!$A$5:$A$150,0)))</f>
        <v/>
      </c>
      <c r="H3954" s="1" t="str">
        <f aca="false">IF(C3954="","",INDEX(Akaun!$D$5:$D$150,MATCH(C3954,Akaun!$A$5:$A$150,0)))</f>
        <v/>
      </c>
    </row>
    <row r="3955" customFormat="false" ht="15" hidden="false" customHeight="true" outlineLevel="0" collapsed="false">
      <c r="G3955" s="1" t="str">
        <f aca="false">IF(C3955="","",INDEX(Akaun!$F$5:$F$150,MATCH(C3955,Akaun!$A$5:$A$150,0)))</f>
        <v/>
      </c>
      <c r="H3955" s="1" t="str">
        <f aca="false">IF(C3955="","",INDEX(Akaun!$D$5:$D$150,MATCH(C3955,Akaun!$A$5:$A$150,0)))</f>
        <v/>
      </c>
    </row>
    <row r="3956" customFormat="false" ht="15" hidden="false" customHeight="true" outlineLevel="0" collapsed="false">
      <c r="G3956" s="1" t="str">
        <f aca="false">IF(C3956="","",INDEX(Akaun!$F$5:$F$150,MATCH(C3956,Akaun!$A$5:$A$150,0)))</f>
        <v/>
      </c>
      <c r="H3956" s="1" t="str">
        <f aca="false">IF(C3956="","",INDEX(Akaun!$D$5:$D$150,MATCH(C3956,Akaun!$A$5:$A$150,0)))</f>
        <v/>
      </c>
    </row>
    <row r="3957" customFormat="false" ht="15" hidden="false" customHeight="true" outlineLevel="0" collapsed="false">
      <c r="G3957" s="1" t="str">
        <f aca="false">IF(C3957="","",INDEX(Akaun!$F$5:$F$150,MATCH(C3957,Akaun!$A$5:$A$150,0)))</f>
        <v/>
      </c>
      <c r="H3957" s="1" t="str">
        <f aca="false">IF(C3957="","",INDEX(Akaun!$D$5:$D$150,MATCH(C3957,Akaun!$A$5:$A$150,0)))</f>
        <v/>
      </c>
    </row>
    <row r="3958" customFormat="false" ht="15" hidden="false" customHeight="true" outlineLevel="0" collapsed="false">
      <c r="G3958" s="1" t="str">
        <f aca="false">IF(C3958="","",INDEX(Akaun!$F$5:$F$150,MATCH(C3958,Akaun!$A$5:$A$150,0)))</f>
        <v/>
      </c>
      <c r="H3958" s="1" t="str">
        <f aca="false">IF(C3958="","",INDEX(Akaun!$D$5:$D$150,MATCH(C3958,Akaun!$A$5:$A$150,0)))</f>
        <v/>
      </c>
    </row>
    <row r="3959" customFormat="false" ht="15" hidden="false" customHeight="true" outlineLevel="0" collapsed="false">
      <c r="G3959" s="1" t="str">
        <f aca="false">IF(C3959="","",INDEX(Akaun!$F$5:$F$150,MATCH(C3959,Akaun!$A$5:$A$150,0)))</f>
        <v/>
      </c>
      <c r="H3959" s="1" t="str">
        <f aca="false">IF(C3959="","",INDEX(Akaun!$D$5:$D$150,MATCH(C3959,Akaun!$A$5:$A$150,0)))</f>
        <v/>
      </c>
    </row>
    <row r="3960" customFormat="false" ht="15" hidden="false" customHeight="true" outlineLevel="0" collapsed="false">
      <c r="G3960" s="1" t="str">
        <f aca="false">IF(C3960="","",INDEX(Akaun!$F$5:$F$150,MATCH(C3960,Akaun!$A$5:$A$150,0)))</f>
        <v/>
      </c>
      <c r="H3960" s="1" t="str">
        <f aca="false">IF(C3960="","",INDEX(Akaun!$D$5:$D$150,MATCH(C3960,Akaun!$A$5:$A$150,0)))</f>
        <v/>
      </c>
    </row>
    <row r="3961" customFormat="false" ht="15" hidden="false" customHeight="true" outlineLevel="0" collapsed="false">
      <c r="G3961" s="1" t="str">
        <f aca="false">IF(C3961="","",INDEX(Akaun!$F$5:$F$150,MATCH(C3961,Akaun!$A$5:$A$150,0)))</f>
        <v/>
      </c>
      <c r="H3961" s="1" t="str">
        <f aca="false">IF(C3961="","",INDEX(Akaun!$D$5:$D$150,MATCH(C3961,Akaun!$A$5:$A$150,0)))</f>
        <v/>
      </c>
    </row>
    <row r="3962" customFormat="false" ht="15" hidden="false" customHeight="true" outlineLevel="0" collapsed="false">
      <c r="G3962" s="1" t="str">
        <f aca="false">IF(C3962="","",INDEX(Akaun!$F$5:$F$150,MATCH(C3962,Akaun!$A$5:$A$150,0)))</f>
        <v/>
      </c>
      <c r="H3962" s="1" t="str">
        <f aca="false">IF(C3962="","",INDEX(Akaun!$D$5:$D$150,MATCH(C3962,Akaun!$A$5:$A$150,0)))</f>
        <v/>
      </c>
    </row>
    <row r="3963" customFormat="false" ht="15" hidden="false" customHeight="true" outlineLevel="0" collapsed="false">
      <c r="G3963" s="1" t="str">
        <f aca="false">IF(C3963="","",INDEX(Akaun!$F$5:$F$150,MATCH(C3963,Akaun!$A$5:$A$150,0)))</f>
        <v/>
      </c>
      <c r="H3963" s="1" t="str">
        <f aca="false">IF(C3963="","",INDEX(Akaun!$D$5:$D$150,MATCH(C3963,Akaun!$A$5:$A$150,0)))</f>
        <v/>
      </c>
    </row>
    <row r="3964" customFormat="false" ht="15" hidden="false" customHeight="true" outlineLevel="0" collapsed="false">
      <c r="G3964" s="1" t="str">
        <f aca="false">IF(C3964="","",INDEX(Akaun!$F$5:$F$150,MATCH(C3964,Akaun!$A$5:$A$150,0)))</f>
        <v/>
      </c>
      <c r="H3964" s="1" t="str">
        <f aca="false">IF(C3964="","",INDEX(Akaun!$D$5:$D$150,MATCH(C3964,Akaun!$A$5:$A$150,0)))</f>
        <v/>
      </c>
    </row>
    <row r="3965" customFormat="false" ht="15" hidden="false" customHeight="true" outlineLevel="0" collapsed="false">
      <c r="G3965" s="1" t="str">
        <f aca="false">IF(C3965="","",INDEX(Akaun!$F$5:$F$150,MATCH(C3965,Akaun!$A$5:$A$150,0)))</f>
        <v/>
      </c>
      <c r="H3965" s="1" t="str">
        <f aca="false">IF(C3965="","",INDEX(Akaun!$D$5:$D$150,MATCH(C3965,Akaun!$A$5:$A$150,0)))</f>
        <v/>
      </c>
    </row>
    <row r="3966" customFormat="false" ht="15" hidden="false" customHeight="true" outlineLevel="0" collapsed="false">
      <c r="G3966" s="1" t="str">
        <f aca="false">IF(C3966="","",INDEX(Akaun!$F$5:$F$150,MATCH(C3966,Akaun!$A$5:$A$150,0)))</f>
        <v/>
      </c>
      <c r="H3966" s="1" t="str">
        <f aca="false">IF(C3966="","",INDEX(Akaun!$D$5:$D$150,MATCH(C3966,Akaun!$A$5:$A$150,0)))</f>
        <v/>
      </c>
    </row>
    <row r="3967" customFormat="false" ht="15" hidden="false" customHeight="true" outlineLevel="0" collapsed="false">
      <c r="G3967" s="1" t="str">
        <f aca="false">IF(C3967="","",INDEX(Akaun!$F$5:$F$150,MATCH(C3967,Akaun!$A$5:$A$150,0)))</f>
        <v/>
      </c>
      <c r="H3967" s="1" t="str">
        <f aca="false">IF(C3967="","",INDEX(Akaun!$D$5:$D$150,MATCH(C3967,Akaun!$A$5:$A$150,0)))</f>
        <v/>
      </c>
    </row>
    <row r="3968" customFormat="false" ht="15" hidden="false" customHeight="true" outlineLevel="0" collapsed="false">
      <c r="G3968" s="1" t="str">
        <f aca="false">IF(C3968="","",INDEX(Akaun!$F$5:$F$150,MATCH(C3968,Akaun!$A$5:$A$150,0)))</f>
        <v/>
      </c>
      <c r="H3968" s="1" t="str">
        <f aca="false">IF(C3968="","",INDEX(Akaun!$D$5:$D$150,MATCH(C3968,Akaun!$A$5:$A$150,0)))</f>
        <v/>
      </c>
    </row>
    <row r="3969" customFormat="false" ht="15" hidden="false" customHeight="true" outlineLevel="0" collapsed="false">
      <c r="G3969" s="1" t="str">
        <f aca="false">IF(C3969="","",INDEX(Akaun!$F$5:$F$150,MATCH(C3969,Akaun!$A$5:$A$150,0)))</f>
        <v/>
      </c>
      <c r="H3969" s="1" t="str">
        <f aca="false">IF(C3969="","",INDEX(Akaun!$D$5:$D$150,MATCH(C3969,Akaun!$A$5:$A$150,0)))</f>
        <v/>
      </c>
    </row>
    <row r="3970" customFormat="false" ht="15" hidden="false" customHeight="true" outlineLevel="0" collapsed="false">
      <c r="G3970" s="1" t="str">
        <f aca="false">IF(C3970="","",INDEX(Akaun!$F$5:$F$150,MATCH(C3970,Akaun!$A$5:$A$150,0)))</f>
        <v/>
      </c>
      <c r="H3970" s="1" t="str">
        <f aca="false">IF(C3970="","",INDEX(Akaun!$D$5:$D$150,MATCH(C3970,Akaun!$A$5:$A$150,0)))</f>
        <v/>
      </c>
    </row>
    <row r="3971" customFormat="false" ht="15" hidden="false" customHeight="true" outlineLevel="0" collapsed="false">
      <c r="G3971" s="1" t="str">
        <f aca="false">IF(C3971="","",INDEX(Akaun!$F$5:$F$150,MATCH(C3971,Akaun!$A$5:$A$150,0)))</f>
        <v/>
      </c>
      <c r="H3971" s="1" t="str">
        <f aca="false">IF(C3971="","",INDEX(Akaun!$D$5:$D$150,MATCH(C3971,Akaun!$A$5:$A$150,0)))</f>
        <v/>
      </c>
    </row>
    <row r="3972" customFormat="false" ht="15" hidden="false" customHeight="true" outlineLevel="0" collapsed="false">
      <c r="G3972" s="1" t="str">
        <f aca="false">IF(C3972="","",INDEX(Akaun!$F$5:$F$150,MATCH(C3972,Akaun!$A$5:$A$150,0)))</f>
        <v/>
      </c>
      <c r="H3972" s="1" t="str">
        <f aca="false">IF(C3972="","",INDEX(Akaun!$D$5:$D$150,MATCH(C3972,Akaun!$A$5:$A$150,0)))</f>
        <v/>
      </c>
    </row>
    <row r="3973" customFormat="false" ht="15" hidden="false" customHeight="true" outlineLevel="0" collapsed="false">
      <c r="G3973" s="1" t="str">
        <f aca="false">IF(C3973="","",INDEX(Akaun!$F$5:$F$150,MATCH(C3973,Akaun!$A$5:$A$150,0)))</f>
        <v/>
      </c>
      <c r="H3973" s="1" t="str">
        <f aca="false">IF(C3973="","",INDEX(Akaun!$D$5:$D$150,MATCH(C3973,Akaun!$A$5:$A$150,0)))</f>
        <v/>
      </c>
    </row>
    <row r="3974" customFormat="false" ht="15" hidden="false" customHeight="true" outlineLevel="0" collapsed="false">
      <c r="G3974" s="1" t="str">
        <f aca="false">IF(C3974="","",INDEX(Akaun!$F$5:$F$150,MATCH(C3974,Akaun!$A$5:$A$150,0)))</f>
        <v/>
      </c>
      <c r="H3974" s="1" t="str">
        <f aca="false">IF(C3974="","",INDEX(Akaun!$D$5:$D$150,MATCH(C3974,Akaun!$A$5:$A$150,0)))</f>
        <v/>
      </c>
    </row>
    <row r="3975" customFormat="false" ht="15" hidden="false" customHeight="true" outlineLevel="0" collapsed="false">
      <c r="G3975" s="1" t="str">
        <f aca="false">IF(C3975="","",INDEX(Akaun!$F$5:$F$150,MATCH(C3975,Akaun!$A$5:$A$150,0)))</f>
        <v/>
      </c>
      <c r="H3975" s="1" t="str">
        <f aca="false">IF(C3975="","",INDEX(Akaun!$D$5:$D$150,MATCH(C3975,Akaun!$A$5:$A$150,0)))</f>
        <v/>
      </c>
    </row>
    <row r="3976" customFormat="false" ht="15" hidden="false" customHeight="true" outlineLevel="0" collapsed="false">
      <c r="G3976" s="1" t="str">
        <f aca="false">IF(C3976="","",INDEX(Akaun!$F$5:$F$150,MATCH(C3976,Akaun!$A$5:$A$150,0)))</f>
        <v/>
      </c>
      <c r="H3976" s="1" t="str">
        <f aca="false">IF(C3976="","",INDEX(Akaun!$D$5:$D$150,MATCH(C3976,Akaun!$A$5:$A$150,0)))</f>
        <v/>
      </c>
    </row>
    <row r="3977" customFormat="false" ht="15" hidden="false" customHeight="true" outlineLevel="0" collapsed="false">
      <c r="G3977" s="1" t="str">
        <f aca="false">IF(C3977="","",INDEX(Akaun!$F$5:$F$150,MATCH(C3977,Akaun!$A$5:$A$150,0)))</f>
        <v/>
      </c>
      <c r="H3977" s="1" t="str">
        <f aca="false">IF(C3977="","",INDEX(Akaun!$D$5:$D$150,MATCH(C3977,Akaun!$A$5:$A$150,0)))</f>
        <v/>
      </c>
    </row>
    <row r="3978" customFormat="false" ht="15" hidden="false" customHeight="true" outlineLevel="0" collapsed="false">
      <c r="G3978" s="1" t="str">
        <f aca="false">IF(C3978="","",INDEX(Akaun!$F$5:$F$150,MATCH(C3978,Akaun!$A$5:$A$150,0)))</f>
        <v/>
      </c>
      <c r="H3978" s="1" t="str">
        <f aca="false">IF(C3978="","",INDEX(Akaun!$D$5:$D$150,MATCH(C3978,Akaun!$A$5:$A$150,0)))</f>
        <v/>
      </c>
    </row>
    <row r="3979" customFormat="false" ht="15" hidden="false" customHeight="true" outlineLevel="0" collapsed="false">
      <c r="G3979" s="1" t="str">
        <f aca="false">IF(C3979="","",INDEX(Akaun!$F$5:$F$150,MATCH(C3979,Akaun!$A$5:$A$150,0)))</f>
        <v/>
      </c>
      <c r="H3979" s="1" t="str">
        <f aca="false">IF(C3979="","",INDEX(Akaun!$D$5:$D$150,MATCH(C3979,Akaun!$A$5:$A$150,0)))</f>
        <v/>
      </c>
    </row>
    <row r="3980" customFormat="false" ht="15" hidden="false" customHeight="true" outlineLevel="0" collapsed="false">
      <c r="G3980" s="1" t="str">
        <f aca="false">IF(C3980="","",INDEX(Akaun!$F$5:$F$150,MATCH(C3980,Akaun!$A$5:$A$150,0)))</f>
        <v/>
      </c>
      <c r="H3980" s="1" t="str">
        <f aca="false">IF(C3980="","",INDEX(Akaun!$D$5:$D$150,MATCH(C3980,Akaun!$A$5:$A$150,0)))</f>
        <v/>
      </c>
    </row>
    <row r="3981" customFormat="false" ht="15" hidden="false" customHeight="true" outlineLevel="0" collapsed="false">
      <c r="G3981" s="1" t="str">
        <f aca="false">IF(C3981="","",INDEX(Akaun!$F$5:$F$150,MATCH(C3981,Akaun!$A$5:$A$150,0)))</f>
        <v/>
      </c>
      <c r="H3981" s="1" t="str">
        <f aca="false">IF(C3981="","",INDEX(Akaun!$D$5:$D$150,MATCH(C3981,Akaun!$A$5:$A$150,0)))</f>
        <v/>
      </c>
    </row>
    <row r="3982" customFormat="false" ht="15" hidden="false" customHeight="true" outlineLevel="0" collapsed="false">
      <c r="G3982" s="1" t="str">
        <f aca="false">IF(C3982="","",INDEX(Akaun!$F$5:$F$150,MATCH(C3982,Akaun!$A$5:$A$150,0)))</f>
        <v/>
      </c>
      <c r="H3982" s="1" t="str">
        <f aca="false">IF(C3982="","",INDEX(Akaun!$D$5:$D$150,MATCH(C3982,Akaun!$A$5:$A$150,0)))</f>
        <v/>
      </c>
    </row>
    <row r="3983" customFormat="false" ht="15" hidden="false" customHeight="true" outlineLevel="0" collapsed="false">
      <c r="G3983" s="1" t="str">
        <f aca="false">IF(C3983="","",INDEX(Akaun!$F$5:$F$150,MATCH(C3983,Akaun!$A$5:$A$150,0)))</f>
        <v/>
      </c>
      <c r="H3983" s="1" t="str">
        <f aca="false">IF(C3983="","",INDEX(Akaun!$D$5:$D$150,MATCH(C3983,Akaun!$A$5:$A$150,0)))</f>
        <v/>
      </c>
    </row>
    <row r="3984" customFormat="false" ht="15" hidden="false" customHeight="true" outlineLevel="0" collapsed="false">
      <c r="G3984" s="1" t="str">
        <f aca="false">IF(C3984="","",INDEX(Akaun!$F$5:$F$150,MATCH(C3984,Akaun!$A$5:$A$150,0)))</f>
        <v/>
      </c>
      <c r="H3984" s="1" t="str">
        <f aca="false">IF(C3984="","",INDEX(Akaun!$D$5:$D$150,MATCH(C3984,Akaun!$A$5:$A$150,0)))</f>
        <v/>
      </c>
    </row>
    <row r="3985" customFormat="false" ht="15" hidden="false" customHeight="true" outlineLevel="0" collapsed="false">
      <c r="G3985" s="1" t="str">
        <f aca="false">IF(C3985="","",INDEX(Akaun!$F$5:$F$150,MATCH(C3985,Akaun!$A$5:$A$150,0)))</f>
        <v/>
      </c>
      <c r="H3985" s="1" t="str">
        <f aca="false">IF(C3985="","",INDEX(Akaun!$D$5:$D$150,MATCH(C3985,Akaun!$A$5:$A$150,0)))</f>
        <v/>
      </c>
    </row>
    <row r="3986" customFormat="false" ht="15" hidden="false" customHeight="true" outlineLevel="0" collapsed="false">
      <c r="G3986" s="1" t="str">
        <f aca="false">IF(C3986="","",INDEX(Akaun!$F$5:$F$150,MATCH(C3986,Akaun!$A$5:$A$150,0)))</f>
        <v/>
      </c>
      <c r="H3986" s="1" t="str">
        <f aca="false">IF(C3986="","",INDEX(Akaun!$D$5:$D$150,MATCH(C3986,Akaun!$A$5:$A$150,0)))</f>
        <v/>
      </c>
    </row>
    <row r="3987" customFormat="false" ht="15" hidden="false" customHeight="true" outlineLevel="0" collapsed="false">
      <c r="G3987" s="1" t="str">
        <f aca="false">IF(C3987="","",INDEX(Akaun!$F$5:$F$150,MATCH(C3987,Akaun!$A$5:$A$150,0)))</f>
        <v/>
      </c>
      <c r="H3987" s="1" t="str">
        <f aca="false">IF(C3987="","",INDEX(Akaun!$D$5:$D$150,MATCH(C3987,Akaun!$A$5:$A$150,0)))</f>
        <v/>
      </c>
    </row>
    <row r="3988" customFormat="false" ht="15" hidden="false" customHeight="true" outlineLevel="0" collapsed="false">
      <c r="G3988" s="1" t="str">
        <f aca="false">IF(C3988="","",INDEX(Akaun!$F$5:$F$150,MATCH(C3988,Akaun!$A$5:$A$150,0)))</f>
        <v/>
      </c>
      <c r="H3988" s="1" t="str">
        <f aca="false">IF(C3988="","",INDEX(Akaun!$D$5:$D$150,MATCH(C3988,Akaun!$A$5:$A$150,0)))</f>
        <v/>
      </c>
    </row>
    <row r="3989" customFormat="false" ht="15" hidden="false" customHeight="true" outlineLevel="0" collapsed="false">
      <c r="G3989" s="1" t="str">
        <f aca="false">IF(C3989="","",INDEX(Akaun!$F$5:$F$150,MATCH(C3989,Akaun!$A$5:$A$150,0)))</f>
        <v/>
      </c>
      <c r="H3989" s="1" t="str">
        <f aca="false">IF(C3989="","",INDEX(Akaun!$D$5:$D$150,MATCH(C3989,Akaun!$A$5:$A$150,0)))</f>
        <v/>
      </c>
    </row>
    <row r="3990" customFormat="false" ht="15" hidden="false" customHeight="true" outlineLevel="0" collapsed="false">
      <c r="G3990" s="1" t="str">
        <f aca="false">IF(C3990="","",INDEX(Akaun!$F$5:$F$150,MATCH(C3990,Akaun!$A$5:$A$150,0)))</f>
        <v/>
      </c>
      <c r="H3990" s="1" t="str">
        <f aca="false">IF(C3990="","",INDEX(Akaun!$D$5:$D$150,MATCH(C3990,Akaun!$A$5:$A$150,0)))</f>
        <v/>
      </c>
    </row>
    <row r="3991" customFormat="false" ht="15" hidden="false" customHeight="true" outlineLevel="0" collapsed="false">
      <c r="G3991" s="1" t="str">
        <f aca="false">IF(C3991="","",INDEX(Akaun!$F$5:$F$150,MATCH(C3991,Akaun!$A$5:$A$150,0)))</f>
        <v/>
      </c>
      <c r="H3991" s="1" t="str">
        <f aca="false">IF(C3991="","",INDEX(Akaun!$D$5:$D$150,MATCH(C3991,Akaun!$A$5:$A$150,0)))</f>
        <v/>
      </c>
    </row>
    <row r="3992" customFormat="false" ht="15" hidden="false" customHeight="true" outlineLevel="0" collapsed="false">
      <c r="G3992" s="1" t="str">
        <f aca="false">IF(C3992="","",INDEX(Akaun!$F$5:$F$150,MATCH(C3992,Akaun!$A$5:$A$150,0)))</f>
        <v/>
      </c>
      <c r="H3992" s="1" t="str">
        <f aca="false">IF(C3992="","",INDEX(Akaun!$D$5:$D$150,MATCH(C3992,Akaun!$A$5:$A$150,0)))</f>
        <v/>
      </c>
    </row>
    <row r="3993" customFormat="false" ht="15" hidden="false" customHeight="true" outlineLevel="0" collapsed="false">
      <c r="G3993" s="1" t="str">
        <f aca="false">IF(C3993="","",INDEX(Akaun!$F$5:$F$150,MATCH(C3993,Akaun!$A$5:$A$150,0)))</f>
        <v/>
      </c>
      <c r="H3993" s="1" t="str">
        <f aca="false">IF(C3993="","",INDEX(Akaun!$D$5:$D$150,MATCH(C3993,Akaun!$A$5:$A$150,0)))</f>
        <v/>
      </c>
    </row>
    <row r="3994" customFormat="false" ht="15" hidden="false" customHeight="true" outlineLevel="0" collapsed="false">
      <c r="G3994" s="1" t="str">
        <f aca="false">IF(C3994="","",INDEX(Akaun!$F$5:$F$150,MATCH(C3994,Akaun!$A$5:$A$150,0)))</f>
        <v/>
      </c>
      <c r="H3994" s="1" t="str">
        <f aca="false">IF(C3994="","",INDEX(Akaun!$D$5:$D$150,MATCH(C3994,Akaun!$A$5:$A$150,0)))</f>
        <v/>
      </c>
    </row>
    <row r="3995" customFormat="false" ht="15" hidden="false" customHeight="true" outlineLevel="0" collapsed="false">
      <c r="G3995" s="1" t="str">
        <f aca="false">IF(C3995="","",INDEX(Akaun!$F$5:$F$150,MATCH(C3995,Akaun!$A$5:$A$150,0)))</f>
        <v/>
      </c>
      <c r="H3995" s="1" t="str">
        <f aca="false">IF(C3995="","",INDEX(Akaun!$D$5:$D$150,MATCH(C3995,Akaun!$A$5:$A$150,0)))</f>
        <v/>
      </c>
    </row>
    <row r="3996" customFormat="false" ht="15" hidden="false" customHeight="true" outlineLevel="0" collapsed="false">
      <c r="G3996" s="1" t="str">
        <f aca="false">IF(C3996="","",INDEX(Akaun!$F$5:$F$150,MATCH(C3996,Akaun!$A$5:$A$150,0)))</f>
        <v/>
      </c>
      <c r="H3996" s="1" t="str">
        <f aca="false">IF(C3996="","",INDEX(Akaun!$D$5:$D$150,MATCH(C3996,Akaun!$A$5:$A$150,0)))</f>
        <v/>
      </c>
    </row>
    <row r="3997" customFormat="false" ht="15" hidden="false" customHeight="true" outlineLevel="0" collapsed="false">
      <c r="G3997" s="1" t="str">
        <f aca="false">IF(C3997="","",INDEX(Akaun!$F$5:$F$150,MATCH(C3997,Akaun!$A$5:$A$150,0)))</f>
        <v/>
      </c>
      <c r="H3997" s="1" t="str">
        <f aca="false">IF(C3997="","",INDEX(Akaun!$D$5:$D$150,MATCH(C3997,Akaun!$A$5:$A$150,0)))</f>
        <v/>
      </c>
    </row>
    <row r="3998" customFormat="false" ht="15" hidden="false" customHeight="true" outlineLevel="0" collapsed="false">
      <c r="G3998" s="1" t="str">
        <f aca="false">IF(C3998="","",INDEX(Akaun!$F$5:$F$150,MATCH(C3998,Akaun!$A$5:$A$150,0)))</f>
        <v/>
      </c>
      <c r="H3998" s="1" t="str">
        <f aca="false">IF(C3998="","",INDEX(Akaun!$D$5:$D$150,MATCH(C3998,Akaun!$A$5:$A$150,0)))</f>
        <v/>
      </c>
    </row>
    <row r="3999" customFormat="false" ht="15" hidden="false" customHeight="true" outlineLevel="0" collapsed="false">
      <c r="G3999" s="1" t="str">
        <f aca="false">IF(C3999="","",INDEX(Akaun!$F$5:$F$150,MATCH(C3999,Akaun!$A$5:$A$150,0)))</f>
        <v/>
      </c>
      <c r="H3999" s="1" t="str">
        <f aca="false">IF(C3999="","",INDEX(Akaun!$D$5:$D$150,MATCH(C3999,Akaun!$A$5:$A$150,0)))</f>
        <v/>
      </c>
    </row>
    <row r="4000" customFormat="false" ht="15" hidden="false" customHeight="true" outlineLevel="0" collapsed="false">
      <c r="G4000" s="1" t="str">
        <f aca="false">IF(C4000="","",INDEX(Akaun!$F$5:$F$150,MATCH(C4000,Akaun!$A$5:$A$150,0)))</f>
        <v/>
      </c>
      <c r="H4000" s="1" t="str">
        <f aca="false">IF(C4000="","",INDEX(Akaun!$D$5:$D$150,MATCH(C4000,Akaun!$A$5:$A$150,0)))</f>
        <v/>
      </c>
    </row>
    <row r="4001" customFormat="false" ht="15" hidden="false" customHeight="true" outlineLevel="0" collapsed="false">
      <c r="G4001" s="1" t="str">
        <f aca="false">IF(C4001="","",INDEX(Akaun!$F$5:$F$150,MATCH(C4001,Akaun!$A$5:$A$150,0)))</f>
        <v/>
      </c>
      <c r="H4001" s="1" t="str">
        <f aca="false">IF(C4001="","",INDEX(Akaun!$D$5:$D$150,MATCH(C4001,Akaun!$A$5:$A$150,0)))</f>
        <v/>
      </c>
    </row>
    <row r="4002" customFormat="false" ht="15" hidden="false" customHeight="true" outlineLevel="0" collapsed="false">
      <c r="G4002" s="1" t="str">
        <f aca="false">IF(C4002="","",INDEX(Akaun!$F$5:$F$150,MATCH(C4002,Akaun!$A$5:$A$150,0)))</f>
        <v/>
      </c>
      <c r="H4002" s="1" t="str">
        <f aca="false">IF(C4002="","",INDEX(Akaun!$D$5:$D$150,MATCH(C4002,Akaun!$A$5:$A$150,0)))</f>
        <v/>
      </c>
    </row>
    <row r="4003" customFormat="false" ht="15" hidden="false" customHeight="true" outlineLevel="0" collapsed="false">
      <c r="G4003" s="1" t="str">
        <f aca="false">IF(C4003="","",INDEX(Akaun!$F$5:$F$150,MATCH(C4003,Akaun!$A$5:$A$150,0)))</f>
        <v/>
      </c>
      <c r="H4003" s="1" t="str">
        <f aca="false">IF(C4003="","",INDEX(Akaun!$D$5:$D$150,MATCH(C4003,Akaun!$A$5:$A$150,0)))</f>
        <v/>
      </c>
    </row>
    <row r="4004" customFormat="false" ht="15" hidden="false" customHeight="true" outlineLevel="0" collapsed="false">
      <c r="G4004" s="1" t="str">
        <f aca="false">IF(C4004="","",INDEX(Akaun!$F$5:$F$150,MATCH(C4004,Akaun!$A$5:$A$150,0)))</f>
        <v/>
      </c>
      <c r="H4004" s="1" t="str">
        <f aca="false">IF(C4004="","",INDEX(Akaun!$D$5:$D$150,MATCH(C4004,Akaun!$A$5:$A$150,0)))</f>
        <v/>
      </c>
    </row>
    <row r="4005" customFormat="false" ht="15" hidden="false" customHeight="true" outlineLevel="0" collapsed="false">
      <c r="G4005" s="1" t="str">
        <f aca="false">IF(C4005="","",INDEX(Akaun!$F$5:$F$150,MATCH(C4005,Akaun!$A$5:$A$150,0)))</f>
        <v/>
      </c>
      <c r="H4005" s="1" t="str">
        <f aca="false">IF(C4005="","",INDEX(Akaun!$D$5:$D$150,MATCH(C4005,Akaun!$A$5:$A$150,0)))</f>
        <v/>
      </c>
    </row>
    <row r="4006" customFormat="false" ht="15" hidden="false" customHeight="true" outlineLevel="0" collapsed="false">
      <c r="G4006" s="1" t="str">
        <f aca="false">IF(C4006="","",INDEX(Akaun!$F$5:$F$150,MATCH(C4006,Akaun!$A$5:$A$150,0)))</f>
        <v/>
      </c>
      <c r="H4006" s="1" t="str">
        <f aca="false">IF(C4006="","",INDEX(Akaun!$D$5:$D$150,MATCH(C4006,Akaun!$A$5:$A$150,0)))</f>
        <v/>
      </c>
    </row>
    <row r="4007" customFormat="false" ht="15" hidden="false" customHeight="true" outlineLevel="0" collapsed="false">
      <c r="G4007" s="1" t="str">
        <f aca="false">IF(C4007="","",INDEX(Akaun!$F$5:$F$150,MATCH(C4007,Akaun!$A$5:$A$150,0)))</f>
        <v/>
      </c>
      <c r="H4007" s="1" t="str">
        <f aca="false">IF(C4007="","",INDEX(Akaun!$D$5:$D$150,MATCH(C4007,Akaun!$A$5:$A$150,0)))</f>
        <v/>
      </c>
    </row>
    <row r="4008" customFormat="false" ht="15" hidden="false" customHeight="true" outlineLevel="0" collapsed="false">
      <c r="G4008" s="1" t="str">
        <f aca="false">IF(C4008="","",INDEX(Akaun!$F$5:$F$150,MATCH(C4008,Akaun!$A$5:$A$150,0)))</f>
        <v/>
      </c>
      <c r="H4008" s="1" t="str">
        <f aca="false">IF(C4008="","",INDEX(Akaun!$D$5:$D$150,MATCH(C4008,Akaun!$A$5:$A$150,0)))</f>
        <v/>
      </c>
    </row>
    <row r="4009" customFormat="false" ht="15" hidden="false" customHeight="true" outlineLevel="0" collapsed="false">
      <c r="G4009" s="1" t="str">
        <f aca="false">IF(C4009="","",INDEX(Akaun!$F$5:$F$150,MATCH(C4009,Akaun!$A$5:$A$150,0)))</f>
        <v/>
      </c>
      <c r="H4009" s="1" t="str">
        <f aca="false">IF(C4009="","",INDEX(Akaun!$D$5:$D$150,MATCH(C4009,Akaun!$A$5:$A$150,0)))</f>
        <v/>
      </c>
    </row>
    <row r="4010" customFormat="false" ht="15" hidden="false" customHeight="true" outlineLevel="0" collapsed="false">
      <c r="G4010" s="1" t="str">
        <f aca="false">IF(C4010="","",INDEX(Akaun!$F$5:$F$150,MATCH(C4010,Akaun!$A$5:$A$150,0)))</f>
        <v/>
      </c>
      <c r="H4010" s="1" t="str">
        <f aca="false">IF(C4010="","",INDEX(Akaun!$D$5:$D$150,MATCH(C4010,Akaun!$A$5:$A$150,0)))</f>
        <v/>
      </c>
    </row>
    <row r="4011" customFormat="false" ht="15" hidden="false" customHeight="true" outlineLevel="0" collapsed="false">
      <c r="G4011" s="1" t="str">
        <f aca="false">IF(C4011="","",INDEX(Akaun!$F$5:$F$150,MATCH(C4011,Akaun!$A$5:$A$150,0)))</f>
        <v/>
      </c>
      <c r="H4011" s="1" t="str">
        <f aca="false">IF(C4011="","",INDEX(Akaun!$D$5:$D$150,MATCH(C4011,Akaun!$A$5:$A$150,0)))</f>
        <v/>
      </c>
    </row>
    <row r="4012" customFormat="false" ht="15" hidden="false" customHeight="true" outlineLevel="0" collapsed="false">
      <c r="G4012" s="1" t="str">
        <f aca="false">IF(C4012="","",INDEX(Akaun!$F$5:$F$150,MATCH(C4012,Akaun!$A$5:$A$150,0)))</f>
        <v/>
      </c>
      <c r="H4012" s="1" t="str">
        <f aca="false">IF(C4012="","",INDEX(Akaun!$D$5:$D$150,MATCH(C4012,Akaun!$A$5:$A$150,0)))</f>
        <v/>
      </c>
    </row>
    <row r="4013" customFormat="false" ht="15" hidden="false" customHeight="true" outlineLevel="0" collapsed="false">
      <c r="G4013" s="1" t="str">
        <f aca="false">IF(C4013="","",INDEX(Akaun!$F$5:$F$150,MATCH(C4013,Akaun!$A$5:$A$150,0)))</f>
        <v/>
      </c>
      <c r="H4013" s="1" t="str">
        <f aca="false">IF(C4013="","",INDEX(Akaun!$D$5:$D$150,MATCH(C4013,Akaun!$A$5:$A$150,0)))</f>
        <v/>
      </c>
    </row>
    <row r="4014" customFormat="false" ht="15" hidden="false" customHeight="true" outlineLevel="0" collapsed="false">
      <c r="G4014" s="1" t="str">
        <f aca="false">IF(C4014="","",INDEX(Akaun!$F$5:$F$150,MATCH(C4014,Akaun!$A$5:$A$150,0)))</f>
        <v/>
      </c>
      <c r="H4014" s="1" t="str">
        <f aca="false">IF(C4014="","",INDEX(Akaun!$D$5:$D$150,MATCH(C4014,Akaun!$A$5:$A$150,0)))</f>
        <v/>
      </c>
    </row>
    <row r="4015" customFormat="false" ht="15" hidden="false" customHeight="true" outlineLevel="0" collapsed="false">
      <c r="G4015" s="1" t="str">
        <f aca="false">IF(C4015="","",INDEX(Akaun!$F$5:$F$150,MATCH(C4015,Akaun!$A$5:$A$150,0)))</f>
        <v/>
      </c>
      <c r="H4015" s="1" t="str">
        <f aca="false">IF(C4015="","",INDEX(Akaun!$D$5:$D$150,MATCH(C4015,Akaun!$A$5:$A$150,0)))</f>
        <v/>
      </c>
    </row>
    <row r="4016" customFormat="false" ht="15" hidden="false" customHeight="true" outlineLevel="0" collapsed="false">
      <c r="G4016" s="1" t="str">
        <f aca="false">IF(C4016="","",INDEX(Akaun!$F$5:$F$150,MATCH(C4016,Akaun!$A$5:$A$150,0)))</f>
        <v/>
      </c>
      <c r="H4016" s="1" t="str">
        <f aca="false">IF(C4016="","",INDEX(Akaun!$D$5:$D$150,MATCH(C4016,Akaun!$A$5:$A$150,0)))</f>
        <v/>
      </c>
    </row>
    <row r="4017" customFormat="false" ht="15" hidden="false" customHeight="true" outlineLevel="0" collapsed="false">
      <c r="G4017" s="1" t="str">
        <f aca="false">IF(C4017="","",INDEX(Akaun!$F$5:$F$150,MATCH(C4017,Akaun!$A$5:$A$150,0)))</f>
        <v/>
      </c>
      <c r="H4017" s="1" t="str">
        <f aca="false">IF(C4017="","",INDEX(Akaun!$D$5:$D$150,MATCH(C4017,Akaun!$A$5:$A$150,0)))</f>
        <v/>
      </c>
    </row>
    <row r="4018" customFormat="false" ht="15" hidden="false" customHeight="true" outlineLevel="0" collapsed="false">
      <c r="G4018" s="1" t="str">
        <f aca="false">IF(C4018="","",INDEX(Akaun!$F$5:$F$150,MATCH(C4018,Akaun!$A$5:$A$150,0)))</f>
        <v/>
      </c>
      <c r="H4018" s="1" t="str">
        <f aca="false">IF(C4018="","",INDEX(Akaun!$D$5:$D$150,MATCH(C4018,Akaun!$A$5:$A$150,0)))</f>
        <v/>
      </c>
    </row>
    <row r="4019" customFormat="false" ht="15" hidden="false" customHeight="true" outlineLevel="0" collapsed="false">
      <c r="G4019" s="1" t="str">
        <f aca="false">IF(C4019="","",INDEX(Akaun!$F$5:$F$150,MATCH(C4019,Akaun!$A$5:$A$150,0)))</f>
        <v/>
      </c>
      <c r="H4019" s="1" t="str">
        <f aca="false">IF(C4019="","",INDEX(Akaun!$D$5:$D$150,MATCH(C4019,Akaun!$A$5:$A$150,0)))</f>
        <v/>
      </c>
    </row>
    <row r="4020" customFormat="false" ht="15" hidden="false" customHeight="true" outlineLevel="0" collapsed="false">
      <c r="G4020" s="1" t="str">
        <f aca="false">IF(C4020="","",INDEX(Akaun!$F$5:$F$150,MATCH(C4020,Akaun!$A$5:$A$150,0)))</f>
        <v/>
      </c>
      <c r="H4020" s="1" t="str">
        <f aca="false">IF(C4020="","",INDEX(Akaun!$D$5:$D$150,MATCH(C4020,Akaun!$A$5:$A$150,0)))</f>
        <v/>
      </c>
    </row>
    <row r="4021" customFormat="false" ht="15" hidden="false" customHeight="true" outlineLevel="0" collapsed="false">
      <c r="G4021" s="1" t="str">
        <f aca="false">IF(C4021="","",INDEX(Akaun!$F$5:$F$150,MATCH(C4021,Akaun!$A$5:$A$150,0)))</f>
        <v/>
      </c>
      <c r="H4021" s="1" t="str">
        <f aca="false">IF(C4021="","",INDEX(Akaun!$D$5:$D$150,MATCH(C4021,Akaun!$A$5:$A$150,0)))</f>
        <v/>
      </c>
    </row>
    <row r="4022" customFormat="false" ht="15" hidden="false" customHeight="true" outlineLevel="0" collapsed="false">
      <c r="G4022" s="1" t="str">
        <f aca="false">IF(C4022="","",INDEX(Akaun!$F$5:$F$150,MATCH(C4022,Akaun!$A$5:$A$150,0)))</f>
        <v/>
      </c>
      <c r="H4022" s="1" t="str">
        <f aca="false">IF(C4022="","",INDEX(Akaun!$D$5:$D$150,MATCH(C4022,Akaun!$A$5:$A$150,0)))</f>
        <v/>
      </c>
    </row>
    <row r="4023" customFormat="false" ht="15" hidden="false" customHeight="true" outlineLevel="0" collapsed="false">
      <c r="G4023" s="1" t="str">
        <f aca="false">IF(C4023="","",INDEX(Akaun!$F$5:$F$150,MATCH(C4023,Akaun!$A$5:$A$150,0)))</f>
        <v/>
      </c>
      <c r="H4023" s="1" t="str">
        <f aca="false">IF(C4023="","",INDEX(Akaun!$D$5:$D$150,MATCH(C4023,Akaun!$A$5:$A$150,0)))</f>
        <v/>
      </c>
    </row>
    <row r="4024" customFormat="false" ht="15" hidden="false" customHeight="true" outlineLevel="0" collapsed="false">
      <c r="G4024" s="1" t="str">
        <f aca="false">IF(C4024="","",INDEX(Akaun!$F$5:$F$150,MATCH(C4024,Akaun!$A$5:$A$150,0)))</f>
        <v/>
      </c>
      <c r="H4024" s="1" t="str">
        <f aca="false">IF(C4024="","",INDEX(Akaun!$D$5:$D$150,MATCH(C4024,Akaun!$A$5:$A$150,0)))</f>
        <v/>
      </c>
    </row>
    <row r="4025" customFormat="false" ht="15" hidden="false" customHeight="true" outlineLevel="0" collapsed="false">
      <c r="G4025" s="1" t="str">
        <f aca="false">IF(C4025="","",INDEX(Akaun!$F$5:$F$150,MATCH(C4025,Akaun!$A$5:$A$150,0)))</f>
        <v/>
      </c>
      <c r="H4025" s="1" t="str">
        <f aca="false">IF(C4025="","",INDEX(Akaun!$D$5:$D$150,MATCH(C4025,Akaun!$A$5:$A$150,0)))</f>
        <v/>
      </c>
    </row>
    <row r="4026" customFormat="false" ht="15" hidden="false" customHeight="true" outlineLevel="0" collapsed="false">
      <c r="G4026" s="1" t="str">
        <f aca="false">IF(C4026="","",INDEX(Akaun!$F$5:$F$150,MATCH(C4026,Akaun!$A$5:$A$150,0)))</f>
        <v/>
      </c>
      <c r="H4026" s="1" t="str">
        <f aca="false">IF(C4026="","",INDEX(Akaun!$D$5:$D$150,MATCH(C4026,Akaun!$A$5:$A$150,0)))</f>
        <v/>
      </c>
    </row>
    <row r="4027" customFormat="false" ht="15" hidden="false" customHeight="true" outlineLevel="0" collapsed="false">
      <c r="G4027" s="1" t="str">
        <f aca="false">IF(C4027="","",INDEX(Akaun!$F$5:$F$150,MATCH(C4027,Akaun!$A$5:$A$150,0)))</f>
        <v/>
      </c>
      <c r="H4027" s="1" t="str">
        <f aca="false">IF(C4027="","",INDEX(Akaun!$D$5:$D$150,MATCH(C4027,Akaun!$A$5:$A$150,0)))</f>
        <v/>
      </c>
    </row>
    <row r="4028" customFormat="false" ht="15" hidden="false" customHeight="true" outlineLevel="0" collapsed="false">
      <c r="G4028" s="1" t="str">
        <f aca="false">IF(C4028="","",INDEX(Akaun!$F$5:$F$150,MATCH(C4028,Akaun!$A$5:$A$150,0)))</f>
        <v/>
      </c>
      <c r="H4028" s="1" t="str">
        <f aca="false">IF(C4028="","",INDEX(Akaun!$D$5:$D$150,MATCH(C4028,Akaun!$A$5:$A$150,0)))</f>
        <v/>
      </c>
    </row>
    <row r="4029" customFormat="false" ht="15" hidden="false" customHeight="true" outlineLevel="0" collapsed="false">
      <c r="G4029" s="1" t="str">
        <f aca="false">IF(C4029="","",INDEX(Akaun!$F$5:$F$150,MATCH(C4029,Akaun!$A$5:$A$150,0)))</f>
        <v/>
      </c>
      <c r="H4029" s="1" t="str">
        <f aca="false">IF(C4029="","",INDEX(Akaun!$D$5:$D$150,MATCH(C4029,Akaun!$A$5:$A$150,0)))</f>
        <v/>
      </c>
    </row>
    <row r="4030" customFormat="false" ht="15" hidden="false" customHeight="true" outlineLevel="0" collapsed="false">
      <c r="G4030" s="1" t="str">
        <f aca="false">IF(C4030="","",INDEX(Akaun!$F$5:$F$150,MATCH(C4030,Akaun!$A$5:$A$150,0)))</f>
        <v/>
      </c>
      <c r="H4030" s="1" t="str">
        <f aca="false">IF(C4030="","",INDEX(Akaun!$D$5:$D$150,MATCH(C4030,Akaun!$A$5:$A$150,0)))</f>
        <v/>
      </c>
    </row>
    <row r="4031" customFormat="false" ht="15" hidden="false" customHeight="true" outlineLevel="0" collapsed="false">
      <c r="G4031" s="1" t="str">
        <f aca="false">IF(C4031="","",INDEX(Akaun!$F$5:$F$150,MATCH(C4031,Akaun!$A$5:$A$150,0)))</f>
        <v/>
      </c>
      <c r="H4031" s="1" t="str">
        <f aca="false">IF(C4031="","",INDEX(Akaun!$D$5:$D$150,MATCH(C4031,Akaun!$A$5:$A$150,0)))</f>
        <v/>
      </c>
    </row>
    <row r="4032" customFormat="false" ht="15" hidden="false" customHeight="true" outlineLevel="0" collapsed="false">
      <c r="G4032" s="1" t="str">
        <f aca="false">IF(C4032="","",INDEX(Akaun!$F$5:$F$150,MATCH(C4032,Akaun!$A$5:$A$150,0)))</f>
        <v/>
      </c>
      <c r="H4032" s="1" t="str">
        <f aca="false">IF(C4032="","",INDEX(Akaun!$D$5:$D$150,MATCH(C4032,Akaun!$A$5:$A$150,0)))</f>
        <v/>
      </c>
    </row>
    <row r="4033" customFormat="false" ht="15" hidden="false" customHeight="true" outlineLevel="0" collapsed="false">
      <c r="G4033" s="1" t="str">
        <f aca="false">IF(C4033="","",INDEX(Akaun!$F$5:$F$150,MATCH(C4033,Akaun!$A$5:$A$150,0)))</f>
        <v/>
      </c>
      <c r="H4033" s="1" t="str">
        <f aca="false">IF(C4033="","",INDEX(Akaun!$D$5:$D$150,MATCH(C4033,Akaun!$A$5:$A$150,0)))</f>
        <v/>
      </c>
    </row>
    <row r="4034" customFormat="false" ht="15" hidden="false" customHeight="true" outlineLevel="0" collapsed="false">
      <c r="G4034" s="1" t="str">
        <f aca="false">IF(C4034="","",INDEX(Akaun!$F$5:$F$150,MATCH(C4034,Akaun!$A$5:$A$150,0)))</f>
        <v/>
      </c>
      <c r="H4034" s="1" t="str">
        <f aca="false">IF(C4034="","",INDEX(Akaun!$D$5:$D$150,MATCH(C4034,Akaun!$A$5:$A$150,0)))</f>
        <v/>
      </c>
    </row>
    <row r="4035" customFormat="false" ht="15" hidden="false" customHeight="true" outlineLevel="0" collapsed="false">
      <c r="G4035" s="1" t="str">
        <f aca="false">IF(C4035="","",INDEX(Akaun!$F$5:$F$150,MATCH(C4035,Akaun!$A$5:$A$150,0)))</f>
        <v/>
      </c>
      <c r="H4035" s="1" t="str">
        <f aca="false">IF(C4035="","",INDEX(Akaun!$D$5:$D$150,MATCH(C4035,Akaun!$A$5:$A$150,0)))</f>
        <v/>
      </c>
    </row>
    <row r="4036" customFormat="false" ht="15" hidden="false" customHeight="true" outlineLevel="0" collapsed="false">
      <c r="G4036" s="1" t="str">
        <f aca="false">IF(C4036="","",INDEX(Akaun!$F$5:$F$150,MATCH(C4036,Akaun!$A$5:$A$150,0)))</f>
        <v/>
      </c>
      <c r="H4036" s="1" t="str">
        <f aca="false">IF(C4036="","",INDEX(Akaun!$D$5:$D$150,MATCH(C4036,Akaun!$A$5:$A$150,0)))</f>
        <v/>
      </c>
    </row>
    <row r="4037" customFormat="false" ht="15" hidden="false" customHeight="true" outlineLevel="0" collapsed="false">
      <c r="G4037" s="1" t="str">
        <f aca="false">IF(C4037="","",INDEX(Akaun!$F$5:$F$150,MATCH(C4037,Akaun!$A$5:$A$150,0)))</f>
        <v/>
      </c>
      <c r="H4037" s="1" t="str">
        <f aca="false">IF(C4037="","",INDEX(Akaun!$D$5:$D$150,MATCH(C4037,Akaun!$A$5:$A$150,0)))</f>
        <v/>
      </c>
    </row>
    <row r="4038" customFormat="false" ht="15" hidden="false" customHeight="true" outlineLevel="0" collapsed="false">
      <c r="G4038" s="1" t="str">
        <f aca="false">IF(C4038="","",INDEX(Akaun!$F$5:$F$150,MATCH(C4038,Akaun!$A$5:$A$150,0)))</f>
        <v/>
      </c>
      <c r="H4038" s="1" t="str">
        <f aca="false">IF(C4038="","",INDEX(Akaun!$D$5:$D$150,MATCH(C4038,Akaun!$A$5:$A$150,0)))</f>
        <v/>
      </c>
    </row>
    <row r="4039" customFormat="false" ht="15" hidden="false" customHeight="true" outlineLevel="0" collapsed="false">
      <c r="G4039" s="1" t="str">
        <f aca="false">IF(C4039="","",INDEX(Akaun!$F$5:$F$150,MATCH(C4039,Akaun!$A$5:$A$150,0)))</f>
        <v/>
      </c>
      <c r="H4039" s="1" t="str">
        <f aca="false">IF(C4039="","",INDEX(Akaun!$D$5:$D$150,MATCH(C4039,Akaun!$A$5:$A$150,0)))</f>
        <v/>
      </c>
    </row>
    <row r="4040" customFormat="false" ht="15" hidden="false" customHeight="true" outlineLevel="0" collapsed="false">
      <c r="G4040" s="1" t="str">
        <f aca="false">IF(C4040="","",INDEX(Akaun!$F$5:$F$150,MATCH(C4040,Akaun!$A$5:$A$150,0)))</f>
        <v/>
      </c>
      <c r="H4040" s="1" t="str">
        <f aca="false">IF(C4040="","",INDEX(Akaun!$D$5:$D$150,MATCH(C4040,Akaun!$A$5:$A$150,0)))</f>
        <v/>
      </c>
    </row>
    <row r="4041" customFormat="false" ht="15" hidden="false" customHeight="true" outlineLevel="0" collapsed="false">
      <c r="G4041" s="1" t="str">
        <f aca="false">IF(C4041="","",INDEX(Akaun!$F$5:$F$150,MATCH(C4041,Akaun!$A$5:$A$150,0)))</f>
        <v/>
      </c>
      <c r="H4041" s="1" t="str">
        <f aca="false">IF(C4041="","",INDEX(Akaun!$D$5:$D$150,MATCH(C4041,Akaun!$A$5:$A$150,0)))</f>
        <v/>
      </c>
    </row>
    <row r="4042" customFormat="false" ht="15" hidden="false" customHeight="true" outlineLevel="0" collapsed="false">
      <c r="G4042" s="1" t="str">
        <f aca="false">IF(C4042="","",INDEX(Akaun!$F$5:$F$150,MATCH(C4042,Akaun!$A$5:$A$150,0)))</f>
        <v/>
      </c>
      <c r="H4042" s="1" t="str">
        <f aca="false">IF(C4042="","",INDEX(Akaun!$D$5:$D$150,MATCH(C4042,Akaun!$A$5:$A$150,0)))</f>
        <v/>
      </c>
    </row>
    <row r="4043" customFormat="false" ht="15" hidden="false" customHeight="true" outlineLevel="0" collapsed="false">
      <c r="G4043" s="1" t="str">
        <f aca="false">IF(C4043="","",INDEX(Akaun!$F$5:$F$150,MATCH(C4043,Akaun!$A$5:$A$150,0)))</f>
        <v/>
      </c>
      <c r="H4043" s="1" t="str">
        <f aca="false">IF(C4043="","",INDEX(Akaun!$D$5:$D$150,MATCH(C4043,Akaun!$A$5:$A$150,0)))</f>
        <v/>
      </c>
    </row>
    <row r="4044" customFormat="false" ht="15" hidden="false" customHeight="true" outlineLevel="0" collapsed="false">
      <c r="G4044" s="1" t="str">
        <f aca="false">IF(C4044="","",INDEX(Akaun!$F$5:$F$150,MATCH(C4044,Akaun!$A$5:$A$150,0)))</f>
        <v/>
      </c>
      <c r="H4044" s="1" t="str">
        <f aca="false">IF(C4044="","",INDEX(Akaun!$D$5:$D$150,MATCH(C4044,Akaun!$A$5:$A$150,0)))</f>
        <v/>
      </c>
    </row>
    <row r="4045" customFormat="false" ht="15" hidden="false" customHeight="true" outlineLevel="0" collapsed="false">
      <c r="G4045" s="1" t="str">
        <f aca="false">IF(C4045="","",INDEX(Akaun!$F$5:$F$150,MATCH(C4045,Akaun!$A$5:$A$150,0)))</f>
        <v/>
      </c>
      <c r="H4045" s="1" t="str">
        <f aca="false">IF(C4045="","",INDEX(Akaun!$D$5:$D$150,MATCH(C4045,Akaun!$A$5:$A$150,0)))</f>
        <v/>
      </c>
    </row>
    <row r="4046" customFormat="false" ht="15" hidden="false" customHeight="true" outlineLevel="0" collapsed="false">
      <c r="G4046" s="1" t="str">
        <f aca="false">IF(C4046="","",INDEX(Akaun!$F$5:$F$150,MATCH(C4046,Akaun!$A$5:$A$150,0)))</f>
        <v/>
      </c>
      <c r="H4046" s="1" t="str">
        <f aca="false">IF(C4046="","",INDEX(Akaun!$D$5:$D$150,MATCH(C4046,Akaun!$A$5:$A$150,0)))</f>
        <v/>
      </c>
    </row>
    <row r="4047" customFormat="false" ht="15" hidden="false" customHeight="true" outlineLevel="0" collapsed="false">
      <c r="G4047" s="1" t="str">
        <f aca="false">IF(C4047="","",INDEX(Akaun!$F$5:$F$150,MATCH(C4047,Akaun!$A$5:$A$150,0)))</f>
        <v/>
      </c>
      <c r="H4047" s="1" t="str">
        <f aca="false">IF(C4047="","",INDEX(Akaun!$D$5:$D$150,MATCH(C4047,Akaun!$A$5:$A$150,0)))</f>
        <v/>
      </c>
    </row>
    <row r="4048" customFormat="false" ht="15" hidden="false" customHeight="true" outlineLevel="0" collapsed="false">
      <c r="G4048" s="1" t="str">
        <f aca="false">IF(C4048="","",INDEX(Akaun!$F$5:$F$150,MATCH(C4048,Akaun!$A$5:$A$150,0)))</f>
        <v/>
      </c>
      <c r="H4048" s="1" t="str">
        <f aca="false">IF(C4048="","",INDEX(Akaun!$D$5:$D$150,MATCH(C4048,Akaun!$A$5:$A$150,0)))</f>
        <v/>
      </c>
    </row>
    <row r="4049" customFormat="false" ht="15" hidden="false" customHeight="true" outlineLevel="0" collapsed="false">
      <c r="G4049" s="1" t="str">
        <f aca="false">IF(C4049="","",INDEX(Akaun!$F$5:$F$150,MATCH(C4049,Akaun!$A$5:$A$150,0)))</f>
        <v/>
      </c>
      <c r="H4049" s="1" t="str">
        <f aca="false">IF(C4049="","",INDEX(Akaun!$D$5:$D$150,MATCH(C4049,Akaun!$A$5:$A$150,0)))</f>
        <v/>
      </c>
    </row>
    <row r="4050" customFormat="false" ht="15" hidden="false" customHeight="true" outlineLevel="0" collapsed="false">
      <c r="G4050" s="1" t="str">
        <f aca="false">IF(C4050="","",INDEX(Akaun!$F$5:$F$150,MATCH(C4050,Akaun!$A$5:$A$150,0)))</f>
        <v/>
      </c>
      <c r="H4050" s="1" t="str">
        <f aca="false">IF(C4050="","",INDEX(Akaun!$D$5:$D$150,MATCH(C4050,Akaun!$A$5:$A$150,0)))</f>
        <v/>
      </c>
    </row>
    <row r="4051" customFormat="false" ht="15" hidden="false" customHeight="true" outlineLevel="0" collapsed="false">
      <c r="G4051" s="1" t="str">
        <f aca="false">IF(C4051="","",INDEX(Akaun!$F$5:$F$150,MATCH(C4051,Akaun!$A$5:$A$150,0)))</f>
        <v/>
      </c>
      <c r="H4051" s="1" t="str">
        <f aca="false">IF(C4051="","",INDEX(Akaun!$D$5:$D$150,MATCH(C4051,Akaun!$A$5:$A$150,0)))</f>
        <v/>
      </c>
    </row>
    <row r="4052" customFormat="false" ht="15" hidden="false" customHeight="true" outlineLevel="0" collapsed="false">
      <c r="G4052" s="1" t="str">
        <f aca="false">IF(C4052="","",INDEX(Akaun!$F$5:$F$150,MATCH(C4052,Akaun!$A$5:$A$150,0)))</f>
        <v/>
      </c>
      <c r="H4052" s="1" t="str">
        <f aca="false">IF(C4052="","",INDEX(Akaun!$D$5:$D$150,MATCH(C4052,Akaun!$A$5:$A$150,0)))</f>
        <v/>
      </c>
    </row>
    <row r="4053" customFormat="false" ht="15" hidden="false" customHeight="true" outlineLevel="0" collapsed="false">
      <c r="G4053" s="1" t="str">
        <f aca="false">IF(C4053="","",INDEX(Akaun!$F$5:$F$150,MATCH(C4053,Akaun!$A$5:$A$150,0)))</f>
        <v/>
      </c>
      <c r="H4053" s="1" t="str">
        <f aca="false">IF(C4053="","",INDEX(Akaun!$D$5:$D$150,MATCH(C4053,Akaun!$A$5:$A$150,0)))</f>
        <v/>
      </c>
    </row>
    <row r="4054" customFormat="false" ht="15" hidden="false" customHeight="true" outlineLevel="0" collapsed="false">
      <c r="G4054" s="1" t="str">
        <f aca="false">IF(C4054="","",INDEX(Akaun!$F$5:$F$150,MATCH(C4054,Akaun!$A$5:$A$150,0)))</f>
        <v/>
      </c>
      <c r="H4054" s="1" t="str">
        <f aca="false">IF(C4054="","",INDEX(Akaun!$D$5:$D$150,MATCH(C4054,Akaun!$A$5:$A$150,0)))</f>
        <v/>
      </c>
    </row>
    <row r="4055" customFormat="false" ht="15" hidden="false" customHeight="true" outlineLevel="0" collapsed="false">
      <c r="G4055" s="1" t="str">
        <f aca="false">IF(C4055="","",INDEX(Akaun!$F$5:$F$150,MATCH(C4055,Akaun!$A$5:$A$150,0)))</f>
        <v/>
      </c>
      <c r="H4055" s="1" t="str">
        <f aca="false">IF(C4055="","",INDEX(Akaun!$D$5:$D$150,MATCH(C4055,Akaun!$A$5:$A$150,0)))</f>
        <v/>
      </c>
    </row>
    <row r="4056" customFormat="false" ht="15" hidden="false" customHeight="true" outlineLevel="0" collapsed="false">
      <c r="G4056" s="1" t="str">
        <f aca="false">IF(C4056="","",INDEX(Akaun!$F$5:$F$150,MATCH(C4056,Akaun!$A$5:$A$150,0)))</f>
        <v/>
      </c>
      <c r="H4056" s="1" t="str">
        <f aca="false">IF(C4056="","",INDEX(Akaun!$D$5:$D$150,MATCH(C4056,Akaun!$A$5:$A$150,0)))</f>
        <v/>
      </c>
    </row>
    <row r="4057" customFormat="false" ht="15" hidden="false" customHeight="true" outlineLevel="0" collapsed="false">
      <c r="G4057" s="1" t="str">
        <f aca="false">IF(C4057="","",INDEX(Akaun!$F$5:$F$150,MATCH(C4057,Akaun!$A$5:$A$150,0)))</f>
        <v/>
      </c>
      <c r="H4057" s="1" t="str">
        <f aca="false">IF(C4057="","",INDEX(Akaun!$D$5:$D$150,MATCH(C4057,Akaun!$A$5:$A$150,0)))</f>
        <v/>
      </c>
    </row>
    <row r="4058" customFormat="false" ht="15" hidden="false" customHeight="true" outlineLevel="0" collapsed="false">
      <c r="G4058" s="1" t="str">
        <f aca="false">IF(C4058="","",INDEX(Akaun!$F$5:$F$150,MATCH(C4058,Akaun!$A$5:$A$150,0)))</f>
        <v/>
      </c>
      <c r="H4058" s="1" t="str">
        <f aca="false">IF(C4058="","",INDEX(Akaun!$D$5:$D$150,MATCH(C4058,Akaun!$A$5:$A$150,0)))</f>
        <v/>
      </c>
    </row>
    <row r="4059" customFormat="false" ht="15" hidden="false" customHeight="true" outlineLevel="0" collapsed="false">
      <c r="G4059" s="1" t="str">
        <f aca="false">IF(C4059="","",INDEX(Akaun!$F$5:$F$150,MATCH(C4059,Akaun!$A$5:$A$150,0)))</f>
        <v/>
      </c>
      <c r="H4059" s="1" t="str">
        <f aca="false">IF(C4059="","",INDEX(Akaun!$D$5:$D$150,MATCH(C4059,Akaun!$A$5:$A$150,0)))</f>
        <v/>
      </c>
    </row>
    <row r="4060" customFormat="false" ht="15" hidden="false" customHeight="true" outlineLevel="0" collapsed="false">
      <c r="G4060" s="1" t="str">
        <f aca="false">IF(C4060="","",INDEX(Akaun!$F$5:$F$150,MATCH(C4060,Akaun!$A$5:$A$150,0)))</f>
        <v/>
      </c>
      <c r="H4060" s="1" t="str">
        <f aca="false">IF(C4060="","",INDEX(Akaun!$D$5:$D$150,MATCH(C4060,Akaun!$A$5:$A$150,0)))</f>
        <v/>
      </c>
    </row>
    <row r="4061" customFormat="false" ht="15" hidden="false" customHeight="true" outlineLevel="0" collapsed="false">
      <c r="G4061" s="1" t="str">
        <f aca="false">IF(C4061="","",INDEX(Akaun!$F$5:$F$150,MATCH(C4061,Akaun!$A$5:$A$150,0)))</f>
        <v/>
      </c>
      <c r="H4061" s="1" t="str">
        <f aca="false">IF(C4061="","",INDEX(Akaun!$D$5:$D$150,MATCH(C4061,Akaun!$A$5:$A$150,0)))</f>
        <v/>
      </c>
    </row>
    <row r="4062" customFormat="false" ht="15" hidden="false" customHeight="true" outlineLevel="0" collapsed="false">
      <c r="G4062" s="1" t="str">
        <f aca="false">IF(C4062="","",INDEX(Akaun!$F$5:$F$150,MATCH(C4062,Akaun!$A$5:$A$150,0)))</f>
        <v/>
      </c>
      <c r="H4062" s="1" t="str">
        <f aca="false">IF(C4062="","",INDEX(Akaun!$D$5:$D$150,MATCH(C4062,Akaun!$A$5:$A$150,0)))</f>
        <v/>
      </c>
    </row>
    <row r="4063" customFormat="false" ht="15" hidden="false" customHeight="true" outlineLevel="0" collapsed="false">
      <c r="G4063" s="1" t="str">
        <f aca="false">IF(C4063="","",INDEX(Akaun!$F$5:$F$150,MATCH(C4063,Akaun!$A$5:$A$150,0)))</f>
        <v/>
      </c>
      <c r="H4063" s="1" t="str">
        <f aca="false">IF(C4063="","",INDEX(Akaun!$D$5:$D$150,MATCH(C4063,Akaun!$A$5:$A$150,0)))</f>
        <v/>
      </c>
    </row>
    <row r="4064" customFormat="false" ht="15" hidden="false" customHeight="true" outlineLevel="0" collapsed="false">
      <c r="G4064" s="1" t="str">
        <f aca="false">IF(C4064="","",INDEX(Akaun!$F$5:$F$150,MATCH(C4064,Akaun!$A$5:$A$150,0)))</f>
        <v/>
      </c>
      <c r="H4064" s="1" t="str">
        <f aca="false">IF(C4064="","",INDEX(Akaun!$D$5:$D$150,MATCH(C4064,Akaun!$A$5:$A$150,0)))</f>
        <v/>
      </c>
    </row>
    <row r="4065" customFormat="false" ht="15" hidden="false" customHeight="true" outlineLevel="0" collapsed="false">
      <c r="G4065" s="1" t="str">
        <f aca="false">IF(C4065="","",INDEX(Akaun!$F$5:$F$150,MATCH(C4065,Akaun!$A$5:$A$150,0)))</f>
        <v/>
      </c>
      <c r="H4065" s="1" t="str">
        <f aca="false">IF(C4065="","",INDEX(Akaun!$D$5:$D$150,MATCH(C4065,Akaun!$A$5:$A$150,0)))</f>
        <v/>
      </c>
    </row>
    <row r="4066" customFormat="false" ht="15" hidden="false" customHeight="true" outlineLevel="0" collapsed="false">
      <c r="G4066" s="1" t="str">
        <f aca="false">IF(C4066="","",INDEX(Akaun!$F$5:$F$150,MATCH(C4066,Akaun!$A$5:$A$150,0)))</f>
        <v/>
      </c>
      <c r="H4066" s="1" t="str">
        <f aca="false">IF(C4066="","",INDEX(Akaun!$D$5:$D$150,MATCH(C4066,Akaun!$A$5:$A$150,0)))</f>
        <v/>
      </c>
    </row>
    <row r="4067" customFormat="false" ht="15" hidden="false" customHeight="true" outlineLevel="0" collapsed="false">
      <c r="G4067" s="1" t="str">
        <f aca="false">IF(C4067="","",INDEX(Akaun!$F$5:$F$150,MATCH(C4067,Akaun!$A$5:$A$150,0)))</f>
        <v/>
      </c>
      <c r="H4067" s="1" t="str">
        <f aca="false">IF(C4067="","",INDEX(Akaun!$D$5:$D$150,MATCH(C4067,Akaun!$A$5:$A$150,0)))</f>
        <v/>
      </c>
    </row>
    <row r="4068" customFormat="false" ht="15" hidden="false" customHeight="true" outlineLevel="0" collapsed="false">
      <c r="G4068" s="1" t="str">
        <f aca="false">IF(C4068="","",INDEX(Akaun!$F$5:$F$150,MATCH(C4068,Akaun!$A$5:$A$150,0)))</f>
        <v/>
      </c>
      <c r="H4068" s="1" t="str">
        <f aca="false">IF(C4068="","",INDEX(Akaun!$D$5:$D$150,MATCH(C4068,Akaun!$A$5:$A$150,0)))</f>
        <v/>
      </c>
    </row>
    <row r="4069" customFormat="false" ht="15" hidden="false" customHeight="true" outlineLevel="0" collapsed="false">
      <c r="G4069" s="1" t="str">
        <f aca="false">IF(C4069="","",INDEX(Akaun!$F$5:$F$150,MATCH(C4069,Akaun!$A$5:$A$150,0)))</f>
        <v/>
      </c>
      <c r="H4069" s="1" t="str">
        <f aca="false">IF(C4069="","",INDEX(Akaun!$D$5:$D$150,MATCH(C4069,Akaun!$A$5:$A$150,0)))</f>
        <v/>
      </c>
    </row>
    <row r="4070" customFormat="false" ht="15" hidden="false" customHeight="true" outlineLevel="0" collapsed="false">
      <c r="G4070" s="1" t="str">
        <f aca="false">IF(C4070="","",INDEX(Akaun!$F$5:$F$150,MATCH(C4070,Akaun!$A$5:$A$150,0)))</f>
        <v/>
      </c>
      <c r="H4070" s="1" t="str">
        <f aca="false">IF(C4070="","",INDEX(Akaun!$D$5:$D$150,MATCH(C4070,Akaun!$A$5:$A$150,0)))</f>
        <v/>
      </c>
    </row>
    <row r="4071" customFormat="false" ht="15" hidden="false" customHeight="true" outlineLevel="0" collapsed="false">
      <c r="G4071" s="1" t="str">
        <f aca="false">IF(C4071="","",INDEX(Akaun!$F$5:$F$150,MATCH(C4071,Akaun!$A$5:$A$150,0)))</f>
        <v/>
      </c>
      <c r="H4071" s="1" t="str">
        <f aca="false">IF(C4071="","",INDEX(Akaun!$D$5:$D$150,MATCH(C4071,Akaun!$A$5:$A$150,0)))</f>
        <v/>
      </c>
    </row>
    <row r="4072" customFormat="false" ht="15" hidden="false" customHeight="true" outlineLevel="0" collapsed="false">
      <c r="G4072" s="1" t="str">
        <f aca="false">IF(C4072="","",INDEX(Akaun!$F$5:$F$150,MATCH(C4072,Akaun!$A$5:$A$150,0)))</f>
        <v/>
      </c>
      <c r="H4072" s="1" t="str">
        <f aca="false">IF(C4072="","",INDEX(Akaun!$D$5:$D$150,MATCH(C4072,Akaun!$A$5:$A$150,0)))</f>
        <v/>
      </c>
    </row>
    <row r="4073" customFormat="false" ht="15" hidden="false" customHeight="true" outlineLevel="0" collapsed="false">
      <c r="G4073" s="1" t="str">
        <f aca="false">IF(C4073="","",INDEX(Akaun!$F$5:$F$150,MATCH(C4073,Akaun!$A$5:$A$150,0)))</f>
        <v/>
      </c>
      <c r="H4073" s="1" t="str">
        <f aca="false">IF(C4073="","",INDEX(Akaun!$D$5:$D$150,MATCH(C4073,Akaun!$A$5:$A$150,0)))</f>
        <v/>
      </c>
    </row>
    <row r="4074" customFormat="false" ht="15" hidden="false" customHeight="true" outlineLevel="0" collapsed="false">
      <c r="G4074" s="1" t="str">
        <f aca="false">IF(C4074="","",INDEX(Akaun!$F$5:$F$150,MATCH(C4074,Akaun!$A$5:$A$150,0)))</f>
        <v/>
      </c>
      <c r="H4074" s="1" t="str">
        <f aca="false">IF(C4074="","",INDEX(Akaun!$D$5:$D$150,MATCH(C4074,Akaun!$A$5:$A$150,0)))</f>
        <v/>
      </c>
    </row>
    <row r="4075" customFormat="false" ht="15" hidden="false" customHeight="true" outlineLevel="0" collapsed="false">
      <c r="G4075" s="1" t="str">
        <f aca="false">IF(C4075="","",INDEX(Akaun!$F$5:$F$150,MATCH(C4075,Akaun!$A$5:$A$150,0)))</f>
        <v/>
      </c>
      <c r="H4075" s="1" t="str">
        <f aca="false">IF(C4075="","",INDEX(Akaun!$D$5:$D$150,MATCH(C4075,Akaun!$A$5:$A$150,0)))</f>
        <v/>
      </c>
    </row>
    <row r="4076" customFormat="false" ht="15" hidden="false" customHeight="true" outlineLevel="0" collapsed="false">
      <c r="G4076" s="1" t="str">
        <f aca="false">IF(C4076="","",INDEX(Akaun!$F$5:$F$150,MATCH(C4076,Akaun!$A$5:$A$150,0)))</f>
        <v/>
      </c>
      <c r="H4076" s="1" t="str">
        <f aca="false">IF(C4076="","",INDEX(Akaun!$D$5:$D$150,MATCH(C4076,Akaun!$A$5:$A$150,0)))</f>
        <v/>
      </c>
    </row>
    <row r="4077" customFormat="false" ht="15" hidden="false" customHeight="true" outlineLevel="0" collapsed="false">
      <c r="G4077" s="1" t="str">
        <f aca="false">IF(C4077="","",INDEX(Akaun!$F$5:$F$150,MATCH(C4077,Akaun!$A$5:$A$150,0)))</f>
        <v/>
      </c>
      <c r="H4077" s="1" t="str">
        <f aca="false">IF(C4077="","",INDEX(Akaun!$D$5:$D$150,MATCH(C4077,Akaun!$A$5:$A$150,0)))</f>
        <v/>
      </c>
    </row>
    <row r="4078" customFormat="false" ht="15" hidden="false" customHeight="true" outlineLevel="0" collapsed="false">
      <c r="G4078" s="1" t="str">
        <f aca="false">IF(C4078="","",INDEX(Akaun!$F$5:$F$150,MATCH(C4078,Akaun!$A$5:$A$150,0)))</f>
        <v/>
      </c>
      <c r="H4078" s="1" t="str">
        <f aca="false">IF(C4078="","",INDEX(Akaun!$D$5:$D$150,MATCH(C4078,Akaun!$A$5:$A$150,0)))</f>
        <v/>
      </c>
    </row>
    <row r="4079" customFormat="false" ht="15" hidden="false" customHeight="true" outlineLevel="0" collapsed="false">
      <c r="G4079" s="1" t="str">
        <f aca="false">IF(C4079="","",INDEX(Akaun!$F$5:$F$150,MATCH(C4079,Akaun!$A$5:$A$150,0)))</f>
        <v/>
      </c>
      <c r="H4079" s="1" t="str">
        <f aca="false">IF(C4079="","",INDEX(Akaun!$D$5:$D$150,MATCH(C4079,Akaun!$A$5:$A$150,0)))</f>
        <v/>
      </c>
    </row>
    <row r="4080" customFormat="false" ht="15" hidden="false" customHeight="true" outlineLevel="0" collapsed="false">
      <c r="G4080" s="1" t="str">
        <f aca="false">IF(C4080="","",INDEX(Akaun!$F$5:$F$150,MATCH(C4080,Akaun!$A$5:$A$150,0)))</f>
        <v/>
      </c>
      <c r="H4080" s="1" t="str">
        <f aca="false">IF(C4080="","",INDEX(Akaun!$D$5:$D$150,MATCH(C4080,Akaun!$A$5:$A$150,0)))</f>
        <v/>
      </c>
    </row>
    <row r="4081" customFormat="false" ht="15" hidden="false" customHeight="true" outlineLevel="0" collapsed="false">
      <c r="G4081" s="1" t="str">
        <f aca="false">IF(C4081="","",INDEX(Akaun!$F$5:$F$150,MATCH(C4081,Akaun!$A$5:$A$150,0)))</f>
        <v/>
      </c>
      <c r="H4081" s="1" t="str">
        <f aca="false">IF(C4081="","",INDEX(Akaun!$D$5:$D$150,MATCH(C4081,Akaun!$A$5:$A$150,0)))</f>
        <v/>
      </c>
    </row>
    <row r="4082" customFormat="false" ht="15" hidden="false" customHeight="true" outlineLevel="0" collapsed="false">
      <c r="G4082" s="1" t="str">
        <f aca="false">IF(C4082="","",INDEX(Akaun!$F$5:$F$150,MATCH(C4082,Akaun!$A$5:$A$150,0)))</f>
        <v/>
      </c>
      <c r="H4082" s="1" t="str">
        <f aca="false">IF(C4082="","",INDEX(Akaun!$D$5:$D$150,MATCH(C4082,Akaun!$A$5:$A$150,0)))</f>
        <v/>
      </c>
    </row>
    <row r="4083" customFormat="false" ht="15" hidden="false" customHeight="true" outlineLevel="0" collapsed="false">
      <c r="G4083" s="1" t="str">
        <f aca="false">IF(C4083="","",INDEX(Akaun!$F$5:$F$150,MATCH(C4083,Akaun!$A$5:$A$150,0)))</f>
        <v/>
      </c>
      <c r="H4083" s="1" t="str">
        <f aca="false">IF(C4083="","",INDEX(Akaun!$D$5:$D$150,MATCH(C4083,Akaun!$A$5:$A$150,0)))</f>
        <v/>
      </c>
    </row>
    <row r="4084" customFormat="false" ht="15" hidden="false" customHeight="true" outlineLevel="0" collapsed="false">
      <c r="G4084" s="1" t="str">
        <f aca="false">IF(C4084="","",INDEX(Akaun!$F$5:$F$150,MATCH(C4084,Akaun!$A$5:$A$150,0)))</f>
        <v/>
      </c>
      <c r="H4084" s="1" t="str">
        <f aca="false">IF(C4084="","",INDEX(Akaun!$D$5:$D$150,MATCH(C4084,Akaun!$A$5:$A$150,0)))</f>
        <v/>
      </c>
    </row>
    <row r="4085" customFormat="false" ht="15" hidden="false" customHeight="true" outlineLevel="0" collapsed="false">
      <c r="G4085" s="1" t="str">
        <f aca="false">IF(C4085="","",INDEX(Akaun!$F$5:$F$150,MATCH(C4085,Akaun!$A$5:$A$150,0)))</f>
        <v/>
      </c>
      <c r="H4085" s="1" t="str">
        <f aca="false">IF(C4085="","",INDEX(Akaun!$D$5:$D$150,MATCH(C4085,Akaun!$A$5:$A$150,0)))</f>
        <v/>
      </c>
    </row>
    <row r="4086" customFormat="false" ht="15" hidden="false" customHeight="true" outlineLevel="0" collapsed="false">
      <c r="G4086" s="1" t="str">
        <f aca="false">IF(C4086="","",INDEX(Akaun!$F$5:$F$150,MATCH(C4086,Akaun!$A$5:$A$150,0)))</f>
        <v/>
      </c>
      <c r="H4086" s="1" t="str">
        <f aca="false">IF(C4086="","",INDEX(Akaun!$D$5:$D$150,MATCH(C4086,Akaun!$A$5:$A$150,0)))</f>
        <v/>
      </c>
    </row>
    <row r="4087" customFormat="false" ht="15" hidden="false" customHeight="true" outlineLevel="0" collapsed="false">
      <c r="G4087" s="1" t="str">
        <f aca="false">IF(C4087="","",INDEX(Akaun!$F$5:$F$150,MATCH(C4087,Akaun!$A$5:$A$150,0)))</f>
        <v/>
      </c>
      <c r="H4087" s="1" t="str">
        <f aca="false">IF(C4087="","",INDEX(Akaun!$D$5:$D$150,MATCH(C4087,Akaun!$A$5:$A$150,0)))</f>
        <v/>
      </c>
    </row>
    <row r="4088" customFormat="false" ht="15" hidden="false" customHeight="true" outlineLevel="0" collapsed="false">
      <c r="G4088" s="1" t="str">
        <f aca="false">IF(C4088="","",INDEX(Akaun!$F$5:$F$150,MATCH(C4088,Akaun!$A$5:$A$150,0)))</f>
        <v/>
      </c>
      <c r="H4088" s="1" t="str">
        <f aca="false">IF(C4088="","",INDEX(Akaun!$D$5:$D$150,MATCH(C4088,Akaun!$A$5:$A$150,0)))</f>
        <v/>
      </c>
    </row>
    <row r="4089" customFormat="false" ht="15" hidden="false" customHeight="true" outlineLevel="0" collapsed="false">
      <c r="G4089" s="1" t="str">
        <f aca="false">IF(C4089="","",INDEX(Akaun!$F$5:$F$150,MATCH(C4089,Akaun!$A$5:$A$150,0)))</f>
        <v/>
      </c>
      <c r="H4089" s="1" t="str">
        <f aca="false">IF(C4089="","",INDEX(Akaun!$D$5:$D$150,MATCH(C4089,Akaun!$A$5:$A$150,0)))</f>
        <v/>
      </c>
    </row>
    <row r="4090" customFormat="false" ht="15" hidden="false" customHeight="true" outlineLevel="0" collapsed="false">
      <c r="G4090" s="1" t="str">
        <f aca="false">IF(C4090="","",INDEX(Akaun!$F$5:$F$150,MATCH(C4090,Akaun!$A$5:$A$150,0)))</f>
        <v/>
      </c>
      <c r="H4090" s="1" t="str">
        <f aca="false">IF(C4090="","",INDEX(Akaun!$D$5:$D$150,MATCH(C4090,Akaun!$A$5:$A$150,0)))</f>
        <v/>
      </c>
    </row>
    <row r="4091" customFormat="false" ht="15" hidden="false" customHeight="true" outlineLevel="0" collapsed="false">
      <c r="G4091" s="1" t="str">
        <f aca="false">IF(C4091="","",INDEX(Akaun!$F$5:$F$150,MATCH(C4091,Akaun!$A$5:$A$150,0)))</f>
        <v/>
      </c>
      <c r="H4091" s="1" t="str">
        <f aca="false">IF(C4091="","",INDEX(Akaun!$D$5:$D$150,MATCH(C4091,Akaun!$A$5:$A$150,0)))</f>
        <v/>
      </c>
    </row>
    <row r="4092" customFormat="false" ht="15" hidden="false" customHeight="true" outlineLevel="0" collapsed="false">
      <c r="G4092" s="1" t="str">
        <f aca="false">IF(C4092="","",INDEX(Akaun!$F$5:$F$150,MATCH(C4092,Akaun!$A$5:$A$150,0)))</f>
        <v/>
      </c>
      <c r="H4092" s="1" t="str">
        <f aca="false">IF(C4092="","",INDEX(Akaun!$D$5:$D$150,MATCH(C4092,Akaun!$A$5:$A$150,0)))</f>
        <v/>
      </c>
    </row>
    <row r="4093" customFormat="false" ht="15" hidden="false" customHeight="true" outlineLevel="0" collapsed="false">
      <c r="G4093" s="1" t="str">
        <f aca="false">IF(C4093="","",INDEX(Akaun!$F$5:$F$150,MATCH(C4093,Akaun!$A$5:$A$150,0)))</f>
        <v/>
      </c>
      <c r="H4093" s="1" t="str">
        <f aca="false">IF(C4093="","",INDEX(Akaun!$D$5:$D$150,MATCH(C4093,Akaun!$A$5:$A$150,0)))</f>
        <v/>
      </c>
    </row>
    <row r="4094" customFormat="false" ht="15" hidden="false" customHeight="true" outlineLevel="0" collapsed="false">
      <c r="G4094" s="1" t="str">
        <f aca="false">IF(C4094="","",INDEX(Akaun!$F$5:$F$150,MATCH(C4094,Akaun!$A$5:$A$150,0)))</f>
        <v/>
      </c>
      <c r="H4094" s="1" t="str">
        <f aca="false">IF(C4094="","",INDEX(Akaun!$D$5:$D$150,MATCH(C4094,Akaun!$A$5:$A$150,0)))</f>
        <v/>
      </c>
    </row>
    <row r="4095" customFormat="false" ht="15" hidden="false" customHeight="true" outlineLevel="0" collapsed="false">
      <c r="G4095" s="1" t="str">
        <f aca="false">IF(C4095="","",INDEX(Akaun!$F$5:$F$150,MATCH(C4095,Akaun!$A$5:$A$150,0)))</f>
        <v/>
      </c>
      <c r="H4095" s="1" t="str">
        <f aca="false">IF(C4095="","",INDEX(Akaun!$D$5:$D$150,MATCH(C4095,Akaun!$A$5:$A$150,0)))</f>
        <v/>
      </c>
    </row>
    <row r="4096" customFormat="false" ht="15" hidden="false" customHeight="true" outlineLevel="0" collapsed="false">
      <c r="G4096" s="1" t="str">
        <f aca="false">IF(C4096="","",INDEX(Akaun!$F$5:$F$150,MATCH(C4096,Akaun!$A$5:$A$150,0)))</f>
        <v/>
      </c>
      <c r="H4096" s="1" t="str">
        <f aca="false">IF(C4096="","",INDEX(Akaun!$D$5:$D$150,MATCH(C4096,Akaun!$A$5:$A$150,0)))</f>
        <v/>
      </c>
    </row>
    <row r="4097" customFormat="false" ht="15" hidden="false" customHeight="true" outlineLevel="0" collapsed="false">
      <c r="G4097" s="1" t="str">
        <f aca="false">IF(C4097="","",INDEX(Akaun!$F$5:$F$150,MATCH(C4097,Akaun!$A$5:$A$150,0)))</f>
        <v/>
      </c>
      <c r="H4097" s="1" t="str">
        <f aca="false">IF(C4097="","",INDEX(Akaun!$D$5:$D$150,MATCH(C4097,Akaun!$A$5:$A$150,0)))</f>
        <v/>
      </c>
    </row>
    <row r="4098" customFormat="false" ht="15" hidden="false" customHeight="true" outlineLevel="0" collapsed="false">
      <c r="G4098" s="1" t="str">
        <f aca="false">IF(C4098="","",INDEX(Akaun!$F$5:$F$150,MATCH(C4098,Akaun!$A$5:$A$150,0)))</f>
        <v/>
      </c>
      <c r="H4098" s="1" t="str">
        <f aca="false">IF(C4098="","",INDEX(Akaun!$D$5:$D$150,MATCH(C4098,Akaun!$A$5:$A$150,0)))</f>
        <v/>
      </c>
    </row>
    <row r="4099" customFormat="false" ht="15" hidden="false" customHeight="true" outlineLevel="0" collapsed="false">
      <c r="G4099" s="1" t="str">
        <f aca="false">IF(C4099="","",INDEX(Akaun!$F$5:$F$150,MATCH(C4099,Akaun!$A$5:$A$150,0)))</f>
        <v/>
      </c>
      <c r="H4099" s="1" t="str">
        <f aca="false">IF(C4099="","",INDEX(Akaun!$D$5:$D$150,MATCH(C4099,Akaun!$A$5:$A$150,0)))</f>
        <v/>
      </c>
    </row>
    <row r="4100" customFormat="false" ht="15" hidden="false" customHeight="true" outlineLevel="0" collapsed="false">
      <c r="G4100" s="1" t="str">
        <f aca="false">IF(C4100="","",INDEX(Akaun!$F$5:$F$150,MATCH(C4100,Akaun!$A$5:$A$150,0)))</f>
        <v/>
      </c>
      <c r="H4100" s="1" t="str">
        <f aca="false">IF(C4100="","",INDEX(Akaun!$D$5:$D$150,MATCH(C4100,Akaun!$A$5:$A$150,0)))</f>
        <v/>
      </c>
    </row>
    <row r="4101" customFormat="false" ht="15" hidden="false" customHeight="true" outlineLevel="0" collapsed="false">
      <c r="G4101" s="1" t="str">
        <f aca="false">IF(C4101="","",INDEX(Akaun!$F$5:$F$150,MATCH(C4101,Akaun!$A$5:$A$150,0)))</f>
        <v/>
      </c>
      <c r="H4101" s="1" t="str">
        <f aca="false">IF(C4101="","",INDEX(Akaun!$D$5:$D$150,MATCH(C4101,Akaun!$A$5:$A$150,0)))</f>
        <v/>
      </c>
    </row>
    <row r="4102" customFormat="false" ht="15" hidden="false" customHeight="true" outlineLevel="0" collapsed="false">
      <c r="G4102" s="1" t="str">
        <f aca="false">IF(C4102="","",INDEX(Akaun!$F$5:$F$150,MATCH(C4102,Akaun!$A$5:$A$150,0)))</f>
        <v/>
      </c>
      <c r="H4102" s="1" t="str">
        <f aca="false">IF(C4102="","",INDEX(Akaun!$D$5:$D$150,MATCH(C4102,Akaun!$A$5:$A$150,0)))</f>
        <v/>
      </c>
    </row>
    <row r="4103" customFormat="false" ht="15" hidden="false" customHeight="true" outlineLevel="0" collapsed="false">
      <c r="G4103" s="1" t="str">
        <f aca="false">IF(C4103="","",INDEX(Akaun!$F$5:$F$150,MATCH(C4103,Akaun!$A$5:$A$150,0)))</f>
        <v/>
      </c>
      <c r="H4103" s="1" t="str">
        <f aca="false">IF(C4103="","",INDEX(Akaun!$D$5:$D$150,MATCH(C4103,Akaun!$A$5:$A$150,0)))</f>
        <v/>
      </c>
    </row>
    <row r="4104" customFormat="false" ht="15" hidden="false" customHeight="true" outlineLevel="0" collapsed="false">
      <c r="G4104" s="1" t="str">
        <f aca="false">IF(C4104="","",INDEX(Akaun!$F$5:$F$150,MATCH(C4104,Akaun!$A$5:$A$150,0)))</f>
        <v/>
      </c>
      <c r="H4104" s="1" t="str">
        <f aca="false">IF(C4104="","",INDEX(Akaun!$D$5:$D$150,MATCH(C4104,Akaun!$A$5:$A$150,0)))</f>
        <v/>
      </c>
    </row>
    <row r="4105" customFormat="false" ht="15" hidden="false" customHeight="true" outlineLevel="0" collapsed="false">
      <c r="G4105" s="1" t="str">
        <f aca="false">IF(C4105="","",INDEX(Akaun!$F$5:$F$150,MATCH(C4105,Akaun!$A$5:$A$150,0)))</f>
        <v/>
      </c>
      <c r="H4105" s="1" t="str">
        <f aca="false">IF(C4105="","",INDEX(Akaun!$D$5:$D$150,MATCH(C4105,Akaun!$A$5:$A$150,0)))</f>
        <v/>
      </c>
    </row>
    <row r="4106" customFormat="false" ht="15" hidden="false" customHeight="true" outlineLevel="0" collapsed="false">
      <c r="G4106" s="1" t="str">
        <f aca="false">IF(C4106="","",INDEX(Akaun!$F$5:$F$150,MATCH(C4106,Akaun!$A$5:$A$150,0)))</f>
        <v/>
      </c>
      <c r="H4106" s="1" t="str">
        <f aca="false">IF(C4106="","",INDEX(Akaun!$D$5:$D$150,MATCH(C4106,Akaun!$A$5:$A$150,0)))</f>
        <v/>
      </c>
    </row>
    <row r="4107" customFormat="false" ht="15" hidden="false" customHeight="true" outlineLevel="0" collapsed="false">
      <c r="G4107" s="1" t="str">
        <f aca="false">IF(C4107="","",INDEX(Akaun!$F$5:$F$150,MATCH(C4107,Akaun!$A$5:$A$150,0)))</f>
        <v/>
      </c>
      <c r="H4107" s="1" t="str">
        <f aca="false">IF(C4107="","",INDEX(Akaun!$D$5:$D$150,MATCH(C4107,Akaun!$A$5:$A$150,0)))</f>
        <v/>
      </c>
    </row>
    <row r="4108" customFormat="false" ht="15" hidden="false" customHeight="true" outlineLevel="0" collapsed="false">
      <c r="G4108" s="1" t="str">
        <f aca="false">IF(C4108="","",INDEX(Akaun!$F$5:$F$150,MATCH(C4108,Akaun!$A$5:$A$150,0)))</f>
        <v/>
      </c>
      <c r="H4108" s="1" t="str">
        <f aca="false">IF(C4108="","",INDEX(Akaun!$D$5:$D$150,MATCH(C4108,Akaun!$A$5:$A$150,0)))</f>
        <v/>
      </c>
    </row>
    <row r="4109" customFormat="false" ht="15" hidden="false" customHeight="true" outlineLevel="0" collapsed="false">
      <c r="G4109" s="1" t="str">
        <f aca="false">IF(C4109="","",INDEX(Akaun!$F$5:$F$150,MATCH(C4109,Akaun!$A$5:$A$150,0)))</f>
        <v/>
      </c>
      <c r="H4109" s="1" t="str">
        <f aca="false">IF(C4109="","",INDEX(Akaun!$D$5:$D$150,MATCH(C4109,Akaun!$A$5:$A$150,0)))</f>
        <v/>
      </c>
    </row>
    <row r="4110" customFormat="false" ht="15" hidden="false" customHeight="true" outlineLevel="0" collapsed="false">
      <c r="G4110" s="1" t="str">
        <f aca="false">IF(C4110="","",INDEX(Akaun!$F$5:$F$150,MATCH(C4110,Akaun!$A$5:$A$150,0)))</f>
        <v/>
      </c>
      <c r="H4110" s="1" t="str">
        <f aca="false">IF(C4110="","",INDEX(Akaun!$D$5:$D$150,MATCH(C4110,Akaun!$A$5:$A$150,0)))</f>
        <v/>
      </c>
    </row>
    <row r="4111" customFormat="false" ht="15" hidden="false" customHeight="true" outlineLevel="0" collapsed="false">
      <c r="G4111" s="1" t="str">
        <f aca="false">IF(C4111="","",INDEX(Akaun!$F$5:$F$150,MATCH(C4111,Akaun!$A$5:$A$150,0)))</f>
        <v/>
      </c>
      <c r="H4111" s="1" t="str">
        <f aca="false">IF(C4111="","",INDEX(Akaun!$D$5:$D$150,MATCH(C4111,Akaun!$A$5:$A$150,0)))</f>
        <v/>
      </c>
    </row>
    <row r="4112" customFormat="false" ht="15" hidden="false" customHeight="true" outlineLevel="0" collapsed="false">
      <c r="G4112" s="1" t="str">
        <f aca="false">IF(C4112="","",INDEX(Akaun!$F$5:$F$150,MATCH(C4112,Akaun!$A$5:$A$150,0)))</f>
        <v/>
      </c>
      <c r="H4112" s="1" t="str">
        <f aca="false">IF(C4112="","",INDEX(Akaun!$D$5:$D$150,MATCH(C4112,Akaun!$A$5:$A$150,0)))</f>
        <v/>
      </c>
    </row>
    <row r="4113" customFormat="false" ht="15" hidden="false" customHeight="true" outlineLevel="0" collapsed="false">
      <c r="G4113" s="1" t="str">
        <f aca="false">IF(C4113="","",INDEX(Akaun!$F$5:$F$150,MATCH(C4113,Akaun!$A$5:$A$150,0)))</f>
        <v/>
      </c>
      <c r="H4113" s="1" t="str">
        <f aca="false">IF(C4113="","",INDEX(Akaun!$D$5:$D$150,MATCH(C4113,Akaun!$A$5:$A$150,0)))</f>
        <v/>
      </c>
    </row>
    <row r="4114" customFormat="false" ht="15" hidden="false" customHeight="true" outlineLevel="0" collapsed="false">
      <c r="G4114" s="1" t="str">
        <f aca="false">IF(C4114="","",INDEX(Akaun!$F$5:$F$150,MATCH(C4114,Akaun!$A$5:$A$150,0)))</f>
        <v/>
      </c>
      <c r="H4114" s="1" t="str">
        <f aca="false">IF(C4114="","",INDEX(Akaun!$D$5:$D$150,MATCH(C4114,Akaun!$A$5:$A$150,0)))</f>
        <v/>
      </c>
    </row>
    <row r="4115" customFormat="false" ht="15" hidden="false" customHeight="true" outlineLevel="0" collapsed="false">
      <c r="G4115" s="1" t="str">
        <f aca="false">IF(C4115="","",INDEX(Akaun!$F$5:$F$150,MATCH(C4115,Akaun!$A$5:$A$150,0)))</f>
        <v/>
      </c>
      <c r="H4115" s="1" t="str">
        <f aca="false">IF(C4115="","",INDEX(Akaun!$D$5:$D$150,MATCH(C4115,Akaun!$A$5:$A$150,0)))</f>
        <v/>
      </c>
    </row>
    <row r="4116" customFormat="false" ht="15" hidden="false" customHeight="true" outlineLevel="0" collapsed="false">
      <c r="G4116" s="1" t="str">
        <f aca="false">IF(C4116="","",INDEX(Akaun!$F$5:$F$150,MATCH(C4116,Akaun!$A$5:$A$150,0)))</f>
        <v/>
      </c>
      <c r="H4116" s="1" t="str">
        <f aca="false">IF(C4116="","",INDEX(Akaun!$D$5:$D$150,MATCH(C4116,Akaun!$A$5:$A$150,0)))</f>
        <v/>
      </c>
    </row>
    <row r="4117" customFormat="false" ht="15" hidden="false" customHeight="true" outlineLevel="0" collapsed="false">
      <c r="G4117" s="1" t="str">
        <f aca="false">IF(C4117="","",INDEX(Akaun!$F$5:$F$150,MATCH(C4117,Akaun!$A$5:$A$150,0)))</f>
        <v/>
      </c>
      <c r="H4117" s="1" t="str">
        <f aca="false">IF(C4117="","",INDEX(Akaun!$D$5:$D$150,MATCH(C4117,Akaun!$A$5:$A$150,0)))</f>
        <v/>
      </c>
    </row>
    <row r="4118" customFormat="false" ht="15" hidden="false" customHeight="true" outlineLevel="0" collapsed="false">
      <c r="G4118" s="1" t="str">
        <f aca="false">IF(C4118="","",INDEX(Akaun!$F$5:$F$150,MATCH(C4118,Akaun!$A$5:$A$150,0)))</f>
        <v/>
      </c>
      <c r="H4118" s="1" t="str">
        <f aca="false">IF(C4118="","",INDEX(Akaun!$D$5:$D$150,MATCH(C4118,Akaun!$A$5:$A$150,0)))</f>
        <v/>
      </c>
    </row>
    <row r="4119" customFormat="false" ht="15" hidden="false" customHeight="true" outlineLevel="0" collapsed="false">
      <c r="G4119" s="1" t="str">
        <f aca="false">IF(C4119="","",INDEX(Akaun!$F$5:$F$150,MATCH(C4119,Akaun!$A$5:$A$150,0)))</f>
        <v/>
      </c>
      <c r="H4119" s="1" t="str">
        <f aca="false">IF(C4119="","",INDEX(Akaun!$D$5:$D$150,MATCH(C4119,Akaun!$A$5:$A$150,0)))</f>
        <v/>
      </c>
    </row>
    <row r="4120" customFormat="false" ht="15" hidden="false" customHeight="true" outlineLevel="0" collapsed="false">
      <c r="G4120" s="1" t="str">
        <f aca="false">IF(C4120="","",INDEX(Akaun!$F$5:$F$150,MATCH(C4120,Akaun!$A$5:$A$150,0)))</f>
        <v/>
      </c>
      <c r="H4120" s="1" t="str">
        <f aca="false">IF(C4120="","",INDEX(Akaun!$D$5:$D$150,MATCH(C4120,Akaun!$A$5:$A$150,0)))</f>
        <v/>
      </c>
    </row>
    <row r="4121" customFormat="false" ht="15" hidden="false" customHeight="true" outlineLevel="0" collapsed="false">
      <c r="G4121" s="1" t="str">
        <f aca="false">IF(C4121="","",INDEX(Akaun!$F$5:$F$150,MATCH(C4121,Akaun!$A$5:$A$150,0)))</f>
        <v/>
      </c>
      <c r="H4121" s="1" t="str">
        <f aca="false">IF(C4121="","",INDEX(Akaun!$D$5:$D$150,MATCH(C4121,Akaun!$A$5:$A$150,0)))</f>
        <v/>
      </c>
    </row>
    <row r="4122" customFormat="false" ht="15" hidden="false" customHeight="true" outlineLevel="0" collapsed="false">
      <c r="G4122" s="1" t="str">
        <f aca="false">IF(C4122="","",INDEX(Akaun!$F$5:$F$150,MATCH(C4122,Akaun!$A$5:$A$150,0)))</f>
        <v/>
      </c>
      <c r="H4122" s="1" t="str">
        <f aca="false">IF(C4122="","",INDEX(Akaun!$D$5:$D$150,MATCH(C4122,Akaun!$A$5:$A$150,0)))</f>
        <v/>
      </c>
    </row>
    <row r="4123" customFormat="false" ht="15" hidden="false" customHeight="true" outlineLevel="0" collapsed="false">
      <c r="G4123" s="1" t="str">
        <f aca="false">IF(C4123="","",INDEX(Akaun!$F$5:$F$150,MATCH(C4123,Akaun!$A$5:$A$150,0)))</f>
        <v/>
      </c>
      <c r="H4123" s="1" t="str">
        <f aca="false">IF(C4123="","",INDEX(Akaun!$D$5:$D$150,MATCH(C4123,Akaun!$A$5:$A$150,0)))</f>
        <v/>
      </c>
    </row>
    <row r="4124" customFormat="false" ht="15" hidden="false" customHeight="true" outlineLevel="0" collapsed="false">
      <c r="G4124" s="1" t="str">
        <f aca="false">IF(C4124="","",INDEX(Akaun!$F$5:$F$150,MATCH(C4124,Akaun!$A$5:$A$150,0)))</f>
        <v/>
      </c>
      <c r="H4124" s="1" t="str">
        <f aca="false">IF(C4124="","",INDEX(Akaun!$D$5:$D$150,MATCH(C4124,Akaun!$A$5:$A$150,0)))</f>
        <v/>
      </c>
    </row>
    <row r="4125" customFormat="false" ht="15" hidden="false" customHeight="true" outlineLevel="0" collapsed="false">
      <c r="G4125" s="1" t="str">
        <f aca="false">IF(C4125="","",INDEX(Akaun!$F$5:$F$150,MATCH(C4125,Akaun!$A$5:$A$150,0)))</f>
        <v/>
      </c>
      <c r="H4125" s="1" t="str">
        <f aca="false">IF(C4125="","",INDEX(Akaun!$D$5:$D$150,MATCH(C4125,Akaun!$A$5:$A$150,0)))</f>
        <v/>
      </c>
    </row>
    <row r="4126" customFormat="false" ht="15" hidden="false" customHeight="true" outlineLevel="0" collapsed="false">
      <c r="G4126" s="1" t="str">
        <f aca="false">IF(C4126="","",INDEX(Akaun!$F$5:$F$150,MATCH(C4126,Akaun!$A$5:$A$150,0)))</f>
        <v/>
      </c>
      <c r="H4126" s="1" t="str">
        <f aca="false">IF(C4126="","",INDEX(Akaun!$D$5:$D$150,MATCH(C4126,Akaun!$A$5:$A$150,0)))</f>
        <v/>
      </c>
    </row>
    <row r="4127" customFormat="false" ht="15" hidden="false" customHeight="true" outlineLevel="0" collapsed="false">
      <c r="G4127" s="1" t="str">
        <f aca="false">IF(C4127="","",INDEX(Akaun!$F$5:$F$150,MATCH(C4127,Akaun!$A$5:$A$150,0)))</f>
        <v/>
      </c>
      <c r="H4127" s="1" t="str">
        <f aca="false">IF(C4127="","",INDEX(Akaun!$D$5:$D$150,MATCH(C4127,Akaun!$A$5:$A$150,0)))</f>
        <v/>
      </c>
    </row>
    <row r="4128" customFormat="false" ht="15" hidden="false" customHeight="true" outlineLevel="0" collapsed="false">
      <c r="G4128" s="1" t="str">
        <f aca="false">IF(C4128="","",INDEX(Akaun!$F$5:$F$150,MATCH(C4128,Akaun!$A$5:$A$150,0)))</f>
        <v/>
      </c>
      <c r="H4128" s="1" t="str">
        <f aca="false">IF(C4128="","",INDEX(Akaun!$D$5:$D$150,MATCH(C4128,Akaun!$A$5:$A$150,0)))</f>
        <v/>
      </c>
    </row>
    <row r="4129" customFormat="false" ht="15" hidden="false" customHeight="true" outlineLevel="0" collapsed="false">
      <c r="G4129" s="1" t="str">
        <f aca="false">IF(C4129="","",INDEX(Akaun!$F$5:$F$150,MATCH(C4129,Akaun!$A$5:$A$150,0)))</f>
        <v/>
      </c>
      <c r="H4129" s="1" t="str">
        <f aca="false">IF(C4129="","",INDEX(Akaun!$D$5:$D$150,MATCH(C4129,Akaun!$A$5:$A$150,0)))</f>
        <v/>
      </c>
    </row>
    <row r="4130" customFormat="false" ht="15" hidden="false" customHeight="true" outlineLevel="0" collapsed="false">
      <c r="G4130" s="1" t="str">
        <f aca="false">IF(C4130="","",INDEX(Akaun!$F$5:$F$150,MATCH(C4130,Akaun!$A$5:$A$150,0)))</f>
        <v/>
      </c>
      <c r="H4130" s="1" t="str">
        <f aca="false">IF(C4130="","",INDEX(Akaun!$D$5:$D$150,MATCH(C4130,Akaun!$A$5:$A$150,0)))</f>
        <v/>
      </c>
    </row>
    <row r="4131" customFormat="false" ht="15" hidden="false" customHeight="true" outlineLevel="0" collapsed="false">
      <c r="G4131" s="1" t="str">
        <f aca="false">IF(C4131="","",INDEX(Akaun!$F$5:$F$150,MATCH(C4131,Akaun!$A$5:$A$150,0)))</f>
        <v/>
      </c>
      <c r="H4131" s="1" t="str">
        <f aca="false">IF(C4131="","",INDEX(Akaun!$D$5:$D$150,MATCH(C4131,Akaun!$A$5:$A$150,0)))</f>
        <v/>
      </c>
    </row>
    <row r="4132" customFormat="false" ht="15" hidden="false" customHeight="true" outlineLevel="0" collapsed="false">
      <c r="G4132" s="1" t="str">
        <f aca="false">IF(C4132="","",INDEX(Akaun!$F$5:$F$150,MATCH(C4132,Akaun!$A$5:$A$150,0)))</f>
        <v/>
      </c>
      <c r="H4132" s="1" t="str">
        <f aca="false">IF(C4132="","",INDEX(Akaun!$D$5:$D$150,MATCH(C4132,Akaun!$A$5:$A$150,0)))</f>
        <v/>
      </c>
    </row>
    <row r="4133" customFormat="false" ht="15" hidden="false" customHeight="true" outlineLevel="0" collapsed="false">
      <c r="G4133" s="1" t="str">
        <f aca="false">IF(C4133="","",INDEX(Akaun!$F$5:$F$150,MATCH(C4133,Akaun!$A$5:$A$150,0)))</f>
        <v/>
      </c>
      <c r="H4133" s="1" t="str">
        <f aca="false">IF(C4133="","",INDEX(Akaun!$D$5:$D$150,MATCH(C4133,Akaun!$A$5:$A$150,0)))</f>
        <v/>
      </c>
    </row>
    <row r="4134" customFormat="false" ht="15" hidden="false" customHeight="true" outlineLevel="0" collapsed="false">
      <c r="G4134" s="1" t="str">
        <f aca="false">IF(C4134="","",INDEX(Akaun!$F$5:$F$150,MATCH(C4134,Akaun!$A$5:$A$150,0)))</f>
        <v/>
      </c>
      <c r="H4134" s="1" t="str">
        <f aca="false">IF(C4134="","",INDEX(Akaun!$D$5:$D$150,MATCH(C4134,Akaun!$A$5:$A$150,0)))</f>
        <v/>
      </c>
    </row>
    <row r="4135" customFormat="false" ht="15" hidden="false" customHeight="true" outlineLevel="0" collapsed="false">
      <c r="G4135" s="1" t="str">
        <f aca="false">IF(C4135="","",INDEX(Akaun!$F$5:$F$150,MATCH(C4135,Akaun!$A$5:$A$150,0)))</f>
        <v/>
      </c>
      <c r="H4135" s="1" t="str">
        <f aca="false">IF(C4135="","",INDEX(Akaun!$D$5:$D$150,MATCH(C4135,Akaun!$A$5:$A$150,0)))</f>
        <v/>
      </c>
    </row>
    <row r="4136" customFormat="false" ht="15" hidden="false" customHeight="true" outlineLevel="0" collapsed="false">
      <c r="G4136" s="1" t="str">
        <f aca="false">IF(C4136="","",INDEX(Akaun!$F$5:$F$150,MATCH(C4136,Akaun!$A$5:$A$150,0)))</f>
        <v/>
      </c>
      <c r="H4136" s="1" t="str">
        <f aca="false">IF(C4136="","",INDEX(Akaun!$D$5:$D$150,MATCH(C4136,Akaun!$A$5:$A$150,0)))</f>
        <v/>
      </c>
    </row>
    <row r="4137" customFormat="false" ht="15" hidden="false" customHeight="true" outlineLevel="0" collapsed="false">
      <c r="G4137" s="1" t="str">
        <f aca="false">IF(C4137="","",INDEX(Akaun!$F$5:$F$150,MATCH(C4137,Akaun!$A$5:$A$150,0)))</f>
        <v/>
      </c>
      <c r="H4137" s="1" t="str">
        <f aca="false">IF(C4137="","",INDEX(Akaun!$D$5:$D$150,MATCH(C4137,Akaun!$A$5:$A$150,0)))</f>
        <v/>
      </c>
    </row>
    <row r="4138" customFormat="false" ht="15" hidden="false" customHeight="true" outlineLevel="0" collapsed="false">
      <c r="G4138" s="1" t="str">
        <f aca="false">IF(C4138="","",INDEX(Akaun!$F$5:$F$150,MATCH(C4138,Akaun!$A$5:$A$150,0)))</f>
        <v/>
      </c>
      <c r="H4138" s="1" t="str">
        <f aca="false">IF(C4138="","",INDEX(Akaun!$D$5:$D$150,MATCH(C4138,Akaun!$A$5:$A$150,0)))</f>
        <v/>
      </c>
    </row>
    <row r="4139" customFormat="false" ht="15" hidden="false" customHeight="true" outlineLevel="0" collapsed="false">
      <c r="G4139" s="1" t="str">
        <f aca="false">IF(C4139="","",INDEX(Akaun!$F$5:$F$150,MATCH(C4139,Akaun!$A$5:$A$150,0)))</f>
        <v/>
      </c>
      <c r="H4139" s="1" t="str">
        <f aca="false">IF(C4139="","",INDEX(Akaun!$D$5:$D$150,MATCH(C4139,Akaun!$A$5:$A$150,0)))</f>
        <v/>
      </c>
    </row>
    <row r="4140" customFormat="false" ht="15" hidden="false" customHeight="true" outlineLevel="0" collapsed="false">
      <c r="G4140" s="1" t="str">
        <f aca="false">IF(C4140="","",INDEX(Akaun!$F$5:$F$150,MATCH(C4140,Akaun!$A$5:$A$150,0)))</f>
        <v/>
      </c>
      <c r="H4140" s="1" t="str">
        <f aca="false">IF(C4140="","",INDEX(Akaun!$D$5:$D$150,MATCH(C4140,Akaun!$A$5:$A$150,0)))</f>
        <v/>
      </c>
    </row>
    <row r="4141" customFormat="false" ht="15" hidden="false" customHeight="true" outlineLevel="0" collapsed="false">
      <c r="G4141" s="1" t="str">
        <f aca="false">IF(C4141="","",INDEX(Akaun!$F$5:$F$150,MATCH(C4141,Akaun!$A$5:$A$150,0)))</f>
        <v/>
      </c>
      <c r="H4141" s="1" t="str">
        <f aca="false">IF(C4141="","",INDEX(Akaun!$D$5:$D$150,MATCH(C4141,Akaun!$A$5:$A$150,0)))</f>
        <v/>
      </c>
    </row>
    <row r="4142" customFormat="false" ht="15" hidden="false" customHeight="true" outlineLevel="0" collapsed="false">
      <c r="G4142" s="1" t="str">
        <f aca="false">IF(C4142="","",INDEX(Akaun!$F$5:$F$150,MATCH(C4142,Akaun!$A$5:$A$150,0)))</f>
        <v/>
      </c>
      <c r="H4142" s="1" t="str">
        <f aca="false">IF(C4142="","",INDEX(Akaun!$D$5:$D$150,MATCH(C4142,Akaun!$A$5:$A$150,0)))</f>
        <v/>
      </c>
    </row>
    <row r="4143" customFormat="false" ht="15" hidden="false" customHeight="true" outlineLevel="0" collapsed="false">
      <c r="G4143" s="1" t="str">
        <f aca="false">IF(C4143="","",INDEX(Akaun!$F$5:$F$150,MATCH(C4143,Akaun!$A$5:$A$150,0)))</f>
        <v/>
      </c>
      <c r="H4143" s="1" t="str">
        <f aca="false">IF(C4143="","",INDEX(Akaun!$D$5:$D$150,MATCH(C4143,Akaun!$A$5:$A$150,0)))</f>
        <v/>
      </c>
    </row>
    <row r="4144" customFormat="false" ht="15" hidden="false" customHeight="true" outlineLevel="0" collapsed="false">
      <c r="G4144" s="1" t="str">
        <f aca="false">IF(C4144="","",INDEX(Akaun!$F$5:$F$150,MATCH(C4144,Akaun!$A$5:$A$150,0)))</f>
        <v/>
      </c>
      <c r="H4144" s="1" t="str">
        <f aca="false">IF(C4144="","",INDEX(Akaun!$D$5:$D$150,MATCH(C4144,Akaun!$A$5:$A$150,0)))</f>
        <v/>
      </c>
    </row>
    <row r="4145" customFormat="false" ht="15" hidden="false" customHeight="true" outlineLevel="0" collapsed="false">
      <c r="G4145" s="1" t="str">
        <f aca="false">IF(C4145="","",INDEX(Akaun!$F$5:$F$150,MATCH(C4145,Akaun!$A$5:$A$150,0)))</f>
        <v/>
      </c>
      <c r="H4145" s="1" t="str">
        <f aca="false">IF(C4145="","",INDEX(Akaun!$D$5:$D$150,MATCH(C4145,Akaun!$A$5:$A$150,0)))</f>
        <v/>
      </c>
    </row>
    <row r="4146" customFormat="false" ht="15" hidden="false" customHeight="true" outlineLevel="0" collapsed="false">
      <c r="G4146" s="1" t="str">
        <f aca="false">IF(C4146="","",INDEX(Akaun!$F$5:$F$150,MATCH(C4146,Akaun!$A$5:$A$150,0)))</f>
        <v/>
      </c>
      <c r="H4146" s="1" t="str">
        <f aca="false">IF(C4146="","",INDEX(Akaun!$D$5:$D$150,MATCH(C4146,Akaun!$A$5:$A$150,0)))</f>
        <v/>
      </c>
    </row>
    <row r="4147" customFormat="false" ht="15" hidden="false" customHeight="true" outlineLevel="0" collapsed="false">
      <c r="G4147" s="1" t="str">
        <f aca="false">IF(C4147="","",INDEX(Akaun!$F$5:$F$150,MATCH(C4147,Akaun!$A$5:$A$150,0)))</f>
        <v/>
      </c>
      <c r="H4147" s="1" t="str">
        <f aca="false">IF(C4147="","",INDEX(Akaun!$D$5:$D$150,MATCH(C4147,Akaun!$A$5:$A$150,0)))</f>
        <v/>
      </c>
    </row>
    <row r="4148" customFormat="false" ht="15" hidden="false" customHeight="true" outlineLevel="0" collapsed="false">
      <c r="G4148" s="1" t="str">
        <f aca="false">IF(C4148="","",INDEX(Akaun!$F$5:$F$150,MATCH(C4148,Akaun!$A$5:$A$150,0)))</f>
        <v/>
      </c>
      <c r="H4148" s="1" t="str">
        <f aca="false">IF(C4148="","",INDEX(Akaun!$D$5:$D$150,MATCH(C4148,Akaun!$A$5:$A$150,0)))</f>
        <v/>
      </c>
    </row>
    <row r="4149" customFormat="false" ht="15" hidden="false" customHeight="true" outlineLevel="0" collapsed="false">
      <c r="G4149" s="1" t="str">
        <f aca="false">IF(C4149="","",INDEX(Akaun!$F$5:$F$150,MATCH(C4149,Akaun!$A$5:$A$150,0)))</f>
        <v/>
      </c>
      <c r="H4149" s="1" t="str">
        <f aca="false">IF(C4149="","",INDEX(Akaun!$D$5:$D$150,MATCH(C4149,Akaun!$A$5:$A$150,0)))</f>
        <v/>
      </c>
    </row>
    <row r="4150" customFormat="false" ht="15" hidden="false" customHeight="true" outlineLevel="0" collapsed="false">
      <c r="G4150" s="1" t="str">
        <f aca="false">IF(C4150="","",INDEX(Akaun!$F$5:$F$150,MATCH(C4150,Akaun!$A$5:$A$150,0)))</f>
        <v/>
      </c>
      <c r="H4150" s="1" t="str">
        <f aca="false">IF(C4150="","",INDEX(Akaun!$D$5:$D$150,MATCH(C4150,Akaun!$A$5:$A$150,0)))</f>
        <v/>
      </c>
    </row>
    <row r="4151" customFormat="false" ht="15" hidden="false" customHeight="true" outlineLevel="0" collapsed="false">
      <c r="G4151" s="1" t="str">
        <f aca="false">IF(C4151="","",INDEX(Akaun!$F$5:$F$150,MATCH(C4151,Akaun!$A$5:$A$150,0)))</f>
        <v/>
      </c>
      <c r="H4151" s="1" t="str">
        <f aca="false">IF(C4151="","",INDEX(Akaun!$D$5:$D$150,MATCH(C4151,Akaun!$A$5:$A$150,0)))</f>
        <v/>
      </c>
    </row>
    <row r="4152" customFormat="false" ht="15" hidden="false" customHeight="true" outlineLevel="0" collapsed="false">
      <c r="G4152" s="1" t="str">
        <f aca="false">IF(C4152="","",INDEX(Akaun!$F$5:$F$150,MATCH(C4152,Akaun!$A$5:$A$150,0)))</f>
        <v/>
      </c>
      <c r="H4152" s="1" t="str">
        <f aca="false">IF(C4152="","",INDEX(Akaun!$D$5:$D$150,MATCH(C4152,Akaun!$A$5:$A$150,0)))</f>
        <v/>
      </c>
    </row>
    <row r="4153" customFormat="false" ht="15" hidden="false" customHeight="true" outlineLevel="0" collapsed="false">
      <c r="G4153" s="1" t="str">
        <f aca="false">IF(C4153="","",INDEX(Akaun!$F$5:$F$150,MATCH(C4153,Akaun!$A$5:$A$150,0)))</f>
        <v/>
      </c>
      <c r="H4153" s="1" t="str">
        <f aca="false">IF(C4153="","",INDEX(Akaun!$D$5:$D$150,MATCH(C4153,Akaun!$A$5:$A$150,0)))</f>
        <v/>
      </c>
    </row>
    <row r="4154" customFormat="false" ht="15" hidden="false" customHeight="true" outlineLevel="0" collapsed="false">
      <c r="G4154" s="1" t="str">
        <f aca="false">IF(C4154="","",INDEX(Akaun!$F$5:$F$150,MATCH(C4154,Akaun!$A$5:$A$150,0)))</f>
        <v/>
      </c>
      <c r="H4154" s="1" t="str">
        <f aca="false">IF(C4154="","",INDEX(Akaun!$D$5:$D$150,MATCH(C4154,Akaun!$A$5:$A$150,0)))</f>
        <v/>
      </c>
    </row>
    <row r="4155" customFormat="false" ht="15" hidden="false" customHeight="true" outlineLevel="0" collapsed="false">
      <c r="G4155" s="1" t="str">
        <f aca="false">IF(C4155="","",INDEX(Akaun!$F$5:$F$150,MATCH(C4155,Akaun!$A$5:$A$150,0)))</f>
        <v/>
      </c>
      <c r="H4155" s="1" t="str">
        <f aca="false">IF(C4155="","",INDEX(Akaun!$D$5:$D$150,MATCH(C4155,Akaun!$A$5:$A$150,0)))</f>
        <v/>
      </c>
    </row>
    <row r="4156" customFormat="false" ht="15" hidden="false" customHeight="true" outlineLevel="0" collapsed="false">
      <c r="G4156" s="1" t="str">
        <f aca="false">IF(C4156="","",INDEX(Akaun!$F$5:$F$150,MATCH(C4156,Akaun!$A$5:$A$150,0)))</f>
        <v/>
      </c>
      <c r="H4156" s="1" t="str">
        <f aca="false">IF(C4156="","",INDEX(Akaun!$D$5:$D$150,MATCH(C4156,Akaun!$A$5:$A$150,0)))</f>
        <v/>
      </c>
    </row>
    <row r="4157" customFormat="false" ht="15" hidden="false" customHeight="true" outlineLevel="0" collapsed="false">
      <c r="G4157" s="1" t="str">
        <f aca="false">IF(C4157="","",INDEX(Akaun!$F$5:$F$150,MATCH(C4157,Akaun!$A$5:$A$150,0)))</f>
        <v/>
      </c>
      <c r="H4157" s="1" t="str">
        <f aca="false">IF(C4157="","",INDEX(Akaun!$D$5:$D$150,MATCH(C4157,Akaun!$A$5:$A$150,0)))</f>
        <v/>
      </c>
    </row>
    <row r="4158" customFormat="false" ht="15" hidden="false" customHeight="true" outlineLevel="0" collapsed="false">
      <c r="G4158" s="1" t="str">
        <f aca="false">IF(C4158="","",INDEX(Akaun!$F$5:$F$150,MATCH(C4158,Akaun!$A$5:$A$150,0)))</f>
        <v/>
      </c>
      <c r="H4158" s="1" t="str">
        <f aca="false">IF(C4158="","",INDEX(Akaun!$D$5:$D$150,MATCH(C4158,Akaun!$A$5:$A$150,0)))</f>
        <v/>
      </c>
    </row>
    <row r="4159" customFormat="false" ht="15" hidden="false" customHeight="true" outlineLevel="0" collapsed="false">
      <c r="G4159" s="1" t="str">
        <f aca="false">IF(C4159="","",INDEX(Akaun!$F$5:$F$150,MATCH(C4159,Akaun!$A$5:$A$150,0)))</f>
        <v/>
      </c>
      <c r="H4159" s="1" t="str">
        <f aca="false">IF(C4159="","",INDEX(Akaun!$D$5:$D$150,MATCH(C4159,Akaun!$A$5:$A$150,0)))</f>
        <v/>
      </c>
    </row>
    <row r="4160" customFormat="false" ht="15" hidden="false" customHeight="true" outlineLevel="0" collapsed="false">
      <c r="G4160" s="1" t="str">
        <f aca="false">IF(C4160="","",INDEX(Akaun!$F$5:$F$150,MATCH(C4160,Akaun!$A$5:$A$150,0)))</f>
        <v/>
      </c>
      <c r="H4160" s="1" t="str">
        <f aca="false">IF(C4160="","",INDEX(Akaun!$D$5:$D$150,MATCH(C4160,Akaun!$A$5:$A$150,0)))</f>
        <v/>
      </c>
    </row>
    <row r="4161" customFormat="false" ht="15" hidden="false" customHeight="true" outlineLevel="0" collapsed="false">
      <c r="G4161" s="1" t="str">
        <f aca="false">IF(C4161="","",INDEX(Akaun!$F$5:$F$150,MATCH(C4161,Akaun!$A$5:$A$150,0)))</f>
        <v/>
      </c>
      <c r="H4161" s="1" t="str">
        <f aca="false">IF(C4161="","",INDEX(Akaun!$D$5:$D$150,MATCH(C4161,Akaun!$A$5:$A$150,0)))</f>
        <v/>
      </c>
    </row>
    <row r="4162" customFormat="false" ht="15" hidden="false" customHeight="true" outlineLevel="0" collapsed="false">
      <c r="G4162" s="1" t="str">
        <f aca="false">IF(C4162="","",INDEX(Akaun!$F$5:$F$150,MATCH(C4162,Akaun!$A$5:$A$150,0)))</f>
        <v/>
      </c>
      <c r="H4162" s="1" t="str">
        <f aca="false">IF(C4162="","",INDEX(Akaun!$D$5:$D$150,MATCH(C4162,Akaun!$A$5:$A$150,0)))</f>
        <v/>
      </c>
    </row>
    <row r="4163" customFormat="false" ht="15" hidden="false" customHeight="true" outlineLevel="0" collapsed="false">
      <c r="G4163" s="1" t="str">
        <f aca="false">IF(C4163="","",INDEX(Akaun!$F$5:$F$150,MATCH(C4163,Akaun!$A$5:$A$150,0)))</f>
        <v/>
      </c>
      <c r="H4163" s="1" t="str">
        <f aca="false">IF(C4163="","",INDEX(Akaun!$D$5:$D$150,MATCH(C4163,Akaun!$A$5:$A$150,0)))</f>
        <v/>
      </c>
    </row>
    <row r="4164" customFormat="false" ht="15" hidden="false" customHeight="true" outlineLevel="0" collapsed="false">
      <c r="G4164" s="1" t="str">
        <f aca="false">IF(C4164="","",INDEX(Akaun!$F$5:$F$150,MATCH(C4164,Akaun!$A$5:$A$150,0)))</f>
        <v/>
      </c>
      <c r="H4164" s="1" t="str">
        <f aca="false">IF(C4164="","",INDEX(Akaun!$D$5:$D$150,MATCH(C4164,Akaun!$A$5:$A$150,0)))</f>
        <v/>
      </c>
    </row>
    <row r="4165" customFormat="false" ht="15" hidden="false" customHeight="true" outlineLevel="0" collapsed="false">
      <c r="G4165" s="1" t="str">
        <f aca="false">IF(C4165="","",INDEX(Akaun!$F$5:$F$150,MATCH(C4165,Akaun!$A$5:$A$150,0)))</f>
        <v/>
      </c>
      <c r="H4165" s="1" t="str">
        <f aca="false">IF(C4165="","",INDEX(Akaun!$D$5:$D$150,MATCH(C4165,Akaun!$A$5:$A$150,0)))</f>
        <v/>
      </c>
    </row>
    <row r="4166" customFormat="false" ht="15" hidden="false" customHeight="true" outlineLevel="0" collapsed="false">
      <c r="G4166" s="1" t="str">
        <f aca="false">IF(C4166="","",INDEX(Akaun!$F$5:$F$150,MATCH(C4166,Akaun!$A$5:$A$150,0)))</f>
        <v/>
      </c>
      <c r="H4166" s="1" t="str">
        <f aca="false">IF(C4166="","",INDEX(Akaun!$D$5:$D$150,MATCH(C4166,Akaun!$A$5:$A$150,0)))</f>
        <v/>
      </c>
    </row>
    <row r="4167" customFormat="false" ht="15" hidden="false" customHeight="true" outlineLevel="0" collapsed="false">
      <c r="G4167" s="1" t="str">
        <f aca="false">IF(C4167="","",INDEX(Akaun!$F$5:$F$150,MATCH(C4167,Akaun!$A$5:$A$150,0)))</f>
        <v/>
      </c>
      <c r="H4167" s="1" t="str">
        <f aca="false">IF(C4167="","",INDEX(Akaun!$D$5:$D$150,MATCH(C4167,Akaun!$A$5:$A$150,0)))</f>
        <v/>
      </c>
    </row>
    <row r="4168" customFormat="false" ht="15" hidden="false" customHeight="true" outlineLevel="0" collapsed="false">
      <c r="G4168" s="1" t="str">
        <f aca="false">IF(C4168="","",INDEX(Akaun!$F$5:$F$150,MATCH(C4168,Akaun!$A$5:$A$150,0)))</f>
        <v/>
      </c>
      <c r="H4168" s="1" t="str">
        <f aca="false">IF(C4168="","",INDEX(Akaun!$D$5:$D$150,MATCH(C4168,Akaun!$A$5:$A$150,0)))</f>
        <v/>
      </c>
    </row>
    <row r="4169" customFormat="false" ht="15" hidden="false" customHeight="true" outlineLevel="0" collapsed="false">
      <c r="G4169" s="1" t="str">
        <f aca="false">IF(C4169="","",INDEX(Akaun!$F$5:$F$150,MATCH(C4169,Akaun!$A$5:$A$150,0)))</f>
        <v/>
      </c>
      <c r="H4169" s="1" t="str">
        <f aca="false">IF(C4169="","",INDEX(Akaun!$D$5:$D$150,MATCH(C4169,Akaun!$A$5:$A$150,0)))</f>
        <v/>
      </c>
    </row>
    <row r="4170" customFormat="false" ht="15" hidden="false" customHeight="true" outlineLevel="0" collapsed="false">
      <c r="G4170" s="1" t="str">
        <f aca="false">IF(C4170="","",INDEX(Akaun!$F$5:$F$150,MATCH(C4170,Akaun!$A$5:$A$150,0)))</f>
        <v/>
      </c>
      <c r="H4170" s="1" t="str">
        <f aca="false">IF(C4170="","",INDEX(Akaun!$D$5:$D$150,MATCH(C4170,Akaun!$A$5:$A$150,0)))</f>
        <v/>
      </c>
    </row>
    <row r="4171" customFormat="false" ht="15" hidden="false" customHeight="true" outlineLevel="0" collapsed="false">
      <c r="G4171" s="1" t="str">
        <f aca="false">IF(C4171="","",INDEX(Akaun!$F$5:$F$150,MATCH(C4171,Akaun!$A$5:$A$150,0)))</f>
        <v/>
      </c>
      <c r="H4171" s="1" t="str">
        <f aca="false">IF(C4171="","",INDEX(Akaun!$D$5:$D$150,MATCH(C4171,Akaun!$A$5:$A$150,0)))</f>
        <v/>
      </c>
    </row>
    <row r="4172" customFormat="false" ht="15" hidden="false" customHeight="true" outlineLevel="0" collapsed="false">
      <c r="G4172" s="1" t="str">
        <f aca="false">IF(C4172="","",INDEX(Akaun!$F$5:$F$150,MATCH(C4172,Akaun!$A$5:$A$150,0)))</f>
        <v/>
      </c>
      <c r="H4172" s="1" t="str">
        <f aca="false">IF(C4172="","",INDEX(Akaun!$D$5:$D$150,MATCH(C4172,Akaun!$A$5:$A$150,0)))</f>
        <v/>
      </c>
    </row>
    <row r="4173" customFormat="false" ht="15" hidden="false" customHeight="true" outlineLevel="0" collapsed="false">
      <c r="G4173" s="1" t="str">
        <f aca="false">IF(C4173="","",INDEX(Akaun!$F$5:$F$150,MATCH(C4173,Akaun!$A$5:$A$150,0)))</f>
        <v/>
      </c>
      <c r="H4173" s="1" t="str">
        <f aca="false">IF(C4173="","",INDEX(Akaun!$D$5:$D$150,MATCH(C4173,Akaun!$A$5:$A$150,0)))</f>
        <v/>
      </c>
    </row>
    <row r="4174" customFormat="false" ht="15" hidden="false" customHeight="true" outlineLevel="0" collapsed="false">
      <c r="G4174" s="1" t="str">
        <f aca="false">IF(C4174="","",INDEX(Akaun!$F$5:$F$150,MATCH(C4174,Akaun!$A$5:$A$150,0)))</f>
        <v/>
      </c>
      <c r="H4174" s="1" t="str">
        <f aca="false">IF(C4174="","",INDEX(Akaun!$D$5:$D$150,MATCH(C4174,Akaun!$A$5:$A$150,0)))</f>
        <v/>
      </c>
    </row>
    <row r="4175" customFormat="false" ht="15" hidden="false" customHeight="true" outlineLevel="0" collapsed="false">
      <c r="G4175" s="1" t="str">
        <f aca="false">IF(C4175="","",INDEX(Akaun!$F$5:$F$150,MATCH(C4175,Akaun!$A$5:$A$150,0)))</f>
        <v/>
      </c>
      <c r="H4175" s="1" t="str">
        <f aca="false">IF(C4175="","",INDEX(Akaun!$D$5:$D$150,MATCH(C4175,Akaun!$A$5:$A$150,0)))</f>
        <v/>
      </c>
    </row>
    <row r="4176" customFormat="false" ht="15" hidden="false" customHeight="true" outlineLevel="0" collapsed="false">
      <c r="G4176" s="1" t="str">
        <f aca="false">IF(C4176="","",INDEX(Akaun!$F$5:$F$150,MATCH(C4176,Akaun!$A$5:$A$150,0)))</f>
        <v/>
      </c>
      <c r="H4176" s="1" t="str">
        <f aca="false">IF(C4176="","",INDEX(Akaun!$D$5:$D$150,MATCH(C4176,Akaun!$A$5:$A$150,0)))</f>
        <v/>
      </c>
    </row>
    <row r="4177" customFormat="false" ht="15" hidden="false" customHeight="true" outlineLevel="0" collapsed="false">
      <c r="G4177" s="1" t="str">
        <f aca="false">IF(C4177="","",INDEX(Akaun!$F$5:$F$150,MATCH(C4177,Akaun!$A$5:$A$150,0)))</f>
        <v/>
      </c>
      <c r="H4177" s="1" t="str">
        <f aca="false">IF(C4177="","",INDEX(Akaun!$D$5:$D$150,MATCH(C4177,Akaun!$A$5:$A$150,0)))</f>
        <v/>
      </c>
    </row>
    <row r="4178" customFormat="false" ht="15" hidden="false" customHeight="true" outlineLevel="0" collapsed="false">
      <c r="G4178" s="1" t="str">
        <f aca="false">IF(C4178="","",INDEX(Akaun!$F$5:$F$150,MATCH(C4178,Akaun!$A$5:$A$150,0)))</f>
        <v/>
      </c>
      <c r="H4178" s="1" t="str">
        <f aca="false">IF(C4178="","",INDEX(Akaun!$D$5:$D$150,MATCH(C4178,Akaun!$A$5:$A$150,0)))</f>
        <v/>
      </c>
    </row>
    <row r="4179" customFormat="false" ht="15" hidden="false" customHeight="true" outlineLevel="0" collapsed="false">
      <c r="G4179" s="1" t="str">
        <f aca="false">IF(C4179="","",INDEX(Akaun!$F$5:$F$150,MATCH(C4179,Akaun!$A$5:$A$150,0)))</f>
        <v/>
      </c>
      <c r="H4179" s="1" t="str">
        <f aca="false">IF(C4179="","",INDEX(Akaun!$D$5:$D$150,MATCH(C4179,Akaun!$A$5:$A$150,0)))</f>
        <v/>
      </c>
    </row>
    <row r="4180" customFormat="false" ht="15" hidden="false" customHeight="true" outlineLevel="0" collapsed="false">
      <c r="G4180" s="1" t="str">
        <f aca="false">IF(C4180="","",INDEX(Akaun!$F$5:$F$150,MATCH(C4180,Akaun!$A$5:$A$150,0)))</f>
        <v/>
      </c>
      <c r="H4180" s="1" t="str">
        <f aca="false">IF(C4180="","",INDEX(Akaun!$D$5:$D$150,MATCH(C4180,Akaun!$A$5:$A$150,0)))</f>
        <v/>
      </c>
    </row>
    <row r="4181" customFormat="false" ht="15" hidden="false" customHeight="true" outlineLevel="0" collapsed="false">
      <c r="G4181" s="1" t="str">
        <f aca="false">IF(C4181="","",INDEX(Akaun!$F$5:$F$150,MATCH(C4181,Akaun!$A$5:$A$150,0)))</f>
        <v/>
      </c>
      <c r="H4181" s="1" t="str">
        <f aca="false">IF(C4181="","",INDEX(Akaun!$D$5:$D$150,MATCH(C4181,Akaun!$A$5:$A$150,0)))</f>
        <v/>
      </c>
    </row>
    <row r="4182" customFormat="false" ht="15" hidden="false" customHeight="true" outlineLevel="0" collapsed="false">
      <c r="G4182" s="1" t="str">
        <f aca="false">IF(C4182="","",INDEX(Akaun!$F$5:$F$150,MATCH(C4182,Akaun!$A$5:$A$150,0)))</f>
        <v/>
      </c>
      <c r="H4182" s="1" t="str">
        <f aca="false">IF(C4182="","",INDEX(Akaun!$D$5:$D$150,MATCH(C4182,Akaun!$A$5:$A$150,0)))</f>
        <v/>
      </c>
    </row>
    <row r="4183" customFormat="false" ht="15" hidden="false" customHeight="true" outlineLevel="0" collapsed="false">
      <c r="G4183" s="1" t="str">
        <f aca="false">IF(C4183="","",INDEX(Akaun!$F$5:$F$150,MATCH(C4183,Akaun!$A$5:$A$150,0)))</f>
        <v/>
      </c>
      <c r="H4183" s="1" t="str">
        <f aca="false">IF(C4183="","",INDEX(Akaun!$D$5:$D$150,MATCH(C4183,Akaun!$A$5:$A$150,0)))</f>
        <v/>
      </c>
    </row>
    <row r="4184" customFormat="false" ht="15" hidden="false" customHeight="true" outlineLevel="0" collapsed="false">
      <c r="G4184" s="1" t="str">
        <f aca="false">IF(C4184="","",INDEX(Akaun!$F$5:$F$150,MATCH(C4184,Akaun!$A$5:$A$150,0)))</f>
        <v/>
      </c>
      <c r="H4184" s="1" t="str">
        <f aca="false">IF(C4184="","",INDEX(Akaun!$D$5:$D$150,MATCH(C4184,Akaun!$A$5:$A$150,0)))</f>
        <v/>
      </c>
    </row>
    <row r="4185" customFormat="false" ht="15" hidden="false" customHeight="true" outlineLevel="0" collapsed="false">
      <c r="G4185" s="1" t="str">
        <f aca="false">IF(C4185="","",INDEX(Akaun!$F$5:$F$150,MATCH(C4185,Akaun!$A$5:$A$150,0)))</f>
        <v/>
      </c>
      <c r="H4185" s="1" t="str">
        <f aca="false">IF(C4185="","",INDEX(Akaun!$D$5:$D$150,MATCH(C4185,Akaun!$A$5:$A$150,0)))</f>
        <v/>
      </c>
    </row>
    <row r="4186" customFormat="false" ht="15" hidden="false" customHeight="true" outlineLevel="0" collapsed="false">
      <c r="G4186" s="1" t="str">
        <f aca="false">IF(C4186="","",INDEX(Akaun!$F$5:$F$150,MATCH(C4186,Akaun!$A$5:$A$150,0)))</f>
        <v/>
      </c>
      <c r="H4186" s="1" t="str">
        <f aca="false">IF(C4186="","",INDEX(Akaun!$D$5:$D$150,MATCH(C4186,Akaun!$A$5:$A$150,0)))</f>
        <v/>
      </c>
    </row>
    <row r="4187" customFormat="false" ht="15" hidden="false" customHeight="true" outlineLevel="0" collapsed="false">
      <c r="G4187" s="1" t="str">
        <f aca="false">IF(C4187="","",INDEX(Akaun!$F$5:$F$150,MATCH(C4187,Akaun!$A$5:$A$150,0)))</f>
        <v/>
      </c>
      <c r="H4187" s="1" t="str">
        <f aca="false">IF(C4187="","",INDEX(Akaun!$D$5:$D$150,MATCH(C4187,Akaun!$A$5:$A$150,0)))</f>
        <v/>
      </c>
    </row>
    <row r="4188" customFormat="false" ht="15" hidden="false" customHeight="true" outlineLevel="0" collapsed="false">
      <c r="G4188" s="1" t="str">
        <f aca="false">IF(C4188="","",INDEX(Akaun!$F$5:$F$150,MATCH(C4188,Akaun!$A$5:$A$150,0)))</f>
        <v/>
      </c>
      <c r="H4188" s="1" t="str">
        <f aca="false">IF(C4188="","",INDEX(Akaun!$D$5:$D$150,MATCH(C4188,Akaun!$A$5:$A$150,0)))</f>
        <v/>
      </c>
    </row>
    <row r="4189" customFormat="false" ht="15" hidden="false" customHeight="true" outlineLevel="0" collapsed="false">
      <c r="G4189" s="1" t="str">
        <f aca="false">IF(C4189="","",INDEX(Akaun!$F$5:$F$150,MATCH(C4189,Akaun!$A$5:$A$150,0)))</f>
        <v/>
      </c>
      <c r="H4189" s="1" t="str">
        <f aca="false">IF(C4189="","",INDEX(Akaun!$D$5:$D$150,MATCH(C4189,Akaun!$A$5:$A$150,0)))</f>
        <v/>
      </c>
    </row>
    <row r="4190" customFormat="false" ht="15" hidden="false" customHeight="true" outlineLevel="0" collapsed="false">
      <c r="G4190" s="1" t="str">
        <f aca="false">IF(C4190="","",INDEX(Akaun!$F$5:$F$150,MATCH(C4190,Akaun!$A$5:$A$150,0)))</f>
        <v/>
      </c>
      <c r="H4190" s="1" t="str">
        <f aca="false">IF(C4190="","",INDEX(Akaun!$D$5:$D$150,MATCH(C4190,Akaun!$A$5:$A$150,0)))</f>
        <v/>
      </c>
    </row>
    <row r="4191" customFormat="false" ht="15" hidden="false" customHeight="true" outlineLevel="0" collapsed="false">
      <c r="G4191" s="1" t="str">
        <f aca="false">IF(C4191="","",INDEX(Akaun!$F$5:$F$150,MATCH(C4191,Akaun!$A$5:$A$150,0)))</f>
        <v/>
      </c>
      <c r="H4191" s="1" t="str">
        <f aca="false">IF(C4191="","",INDEX(Akaun!$D$5:$D$150,MATCH(C4191,Akaun!$A$5:$A$150,0)))</f>
        <v/>
      </c>
    </row>
    <row r="4192" customFormat="false" ht="15" hidden="false" customHeight="true" outlineLevel="0" collapsed="false">
      <c r="G4192" s="1" t="str">
        <f aca="false">IF(C4192="","",INDEX(Akaun!$F$5:$F$150,MATCH(C4192,Akaun!$A$5:$A$150,0)))</f>
        <v/>
      </c>
      <c r="H4192" s="1" t="str">
        <f aca="false">IF(C4192="","",INDEX(Akaun!$D$5:$D$150,MATCH(C4192,Akaun!$A$5:$A$150,0)))</f>
        <v/>
      </c>
    </row>
    <row r="4193" customFormat="false" ht="15" hidden="false" customHeight="true" outlineLevel="0" collapsed="false">
      <c r="G4193" s="1" t="str">
        <f aca="false">IF(C4193="","",INDEX(Akaun!$F$5:$F$150,MATCH(C4193,Akaun!$A$5:$A$150,0)))</f>
        <v/>
      </c>
      <c r="H4193" s="1" t="str">
        <f aca="false">IF(C4193="","",INDEX(Akaun!$D$5:$D$150,MATCH(C4193,Akaun!$A$5:$A$150,0)))</f>
        <v/>
      </c>
    </row>
    <row r="4194" customFormat="false" ht="15" hidden="false" customHeight="true" outlineLevel="0" collapsed="false">
      <c r="G4194" s="1" t="str">
        <f aca="false">IF(C4194="","",INDEX(Akaun!$F$5:$F$150,MATCH(C4194,Akaun!$A$5:$A$150,0)))</f>
        <v/>
      </c>
      <c r="H4194" s="1" t="str">
        <f aca="false">IF(C4194="","",INDEX(Akaun!$D$5:$D$150,MATCH(C4194,Akaun!$A$5:$A$150,0)))</f>
        <v/>
      </c>
    </row>
    <row r="4195" customFormat="false" ht="15" hidden="false" customHeight="true" outlineLevel="0" collapsed="false">
      <c r="G4195" s="1" t="str">
        <f aca="false">IF(C4195="","",INDEX(Akaun!$F$5:$F$150,MATCH(C4195,Akaun!$A$5:$A$150,0)))</f>
        <v/>
      </c>
      <c r="H4195" s="1" t="str">
        <f aca="false">IF(C4195="","",INDEX(Akaun!$D$5:$D$150,MATCH(C4195,Akaun!$A$5:$A$150,0)))</f>
        <v/>
      </c>
    </row>
    <row r="4196" customFormat="false" ht="15" hidden="false" customHeight="true" outlineLevel="0" collapsed="false">
      <c r="G4196" s="1" t="str">
        <f aca="false">IF(C4196="","",INDEX(Akaun!$F$5:$F$150,MATCH(C4196,Akaun!$A$5:$A$150,0)))</f>
        <v/>
      </c>
      <c r="H4196" s="1" t="str">
        <f aca="false">IF(C4196="","",INDEX(Akaun!$D$5:$D$150,MATCH(C4196,Akaun!$A$5:$A$150,0)))</f>
        <v/>
      </c>
    </row>
    <row r="4197" customFormat="false" ht="15" hidden="false" customHeight="true" outlineLevel="0" collapsed="false">
      <c r="G4197" s="1" t="str">
        <f aca="false">IF(C4197="","",INDEX(Akaun!$F$5:$F$150,MATCH(C4197,Akaun!$A$5:$A$150,0)))</f>
        <v/>
      </c>
      <c r="H4197" s="1" t="str">
        <f aca="false">IF(C4197="","",INDEX(Akaun!$D$5:$D$150,MATCH(C4197,Akaun!$A$5:$A$150,0)))</f>
        <v/>
      </c>
    </row>
    <row r="4198" customFormat="false" ht="15" hidden="false" customHeight="true" outlineLevel="0" collapsed="false">
      <c r="G4198" s="1" t="str">
        <f aca="false">IF(C4198="","",INDEX(Akaun!$F$5:$F$150,MATCH(C4198,Akaun!$A$5:$A$150,0)))</f>
        <v/>
      </c>
      <c r="H4198" s="1" t="str">
        <f aca="false">IF(C4198="","",INDEX(Akaun!$D$5:$D$150,MATCH(C4198,Akaun!$A$5:$A$150,0)))</f>
        <v/>
      </c>
    </row>
    <row r="4199" customFormat="false" ht="15" hidden="false" customHeight="true" outlineLevel="0" collapsed="false">
      <c r="G4199" s="1" t="str">
        <f aca="false">IF(C4199="","",INDEX(Akaun!$F$5:$F$150,MATCH(C4199,Akaun!$A$5:$A$150,0)))</f>
        <v/>
      </c>
      <c r="H4199" s="1" t="str">
        <f aca="false">IF(C4199="","",INDEX(Akaun!$D$5:$D$150,MATCH(C4199,Akaun!$A$5:$A$150,0)))</f>
        <v/>
      </c>
    </row>
    <row r="4200" customFormat="false" ht="15" hidden="false" customHeight="true" outlineLevel="0" collapsed="false">
      <c r="G4200" s="1" t="str">
        <f aca="false">IF(C4200="","",INDEX(Akaun!$F$5:$F$150,MATCH(C4200,Akaun!$A$5:$A$150,0)))</f>
        <v/>
      </c>
      <c r="H4200" s="1" t="str">
        <f aca="false">IF(C4200="","",INDEX(Akaun!$D$5:$D$150,MATCH(C4200,Akaun!$A$5:$A$150,0)))</f>
        <v/>
      </c>
    </row>
    <row r="4201" customFormat="false" ht="15" hidden="false" customHeight="true" outlineLevel="0" collapsed="false">
      <c r="G4201" s="1" t="str">
        <f aca="false">IF(C4201="","",INDEX(Akaun!$F$5:$F$150,MATCH(C4201,Akaun!$A$5:$A$150,0)))</f>
        <v/>
      </c>
      <c r="H4201" s="1" t="str">
        <f aca="false">IF(C4201="","",INDEX(Akaun!$D$5:$D$150,MATCH(C4201,Akaun!$A$5:$A$150,0)))</f>
        <v/>
      </c>
    </row>
    <row r="4202" customFormat="false" ht="15" hidden="false" customHeight="true" outlineLevel="0" collapsed="false">
      <c r="G4202" s="1" t="str">
        <f aca="false">IF(C4202="","",INDEX(Akaun!$F$5:$F$150,MATCH(C4202,Akaun!$A$5:$A$150,0)))</f>
        <v/>
      </c>
      <c r="H4202" s="1" t="str">
        <f aca="false">IF(C4202="","",INDEX(Akaun!$D$5:$D$150,MATCH(C4202,Akaun!$A$5:$A$150,0)))</f>
        <v/>
      </c>
    </row>
    <row r="4203" customFormat="false" ht="15" hidden="false" customHeight="true" outlineLevel="0" collapsed="false">
      <c r="G4203" s="1" t="str">
        <f aca="false">IF(C4203="","",INDEX(Akaun!$F$5:$F$150,MATCH(C4203,Akaun!$A$5:$A$150,0)))</f>
        <v/>
      </c>
      <c r="H4203" s="1" t="str">
        <f aca="false">IF(C4203="","",INDEX(Akaun!$D$5:$D$150,MATCH(C4203,Akaun!$A$5:$A$150,0)))</f>
        <v/>
      </c>
    </row>
    <row r="4204" customFormat="false" ht="15" hidden="false" customHeight="true" outlineLevel="0" collapsed="false">
      <c r="G4204" s="1" t="str">
        <f aca="false">IF(C4204="","",INDEX(Akaun!$F$5:$F$150,MATCH(C4204,Akaun!$A$5:$A$150,0)))</f>
        <v/>
      </c>
      <c r="H4204" s="1" t="str">
        <f aca="false">IF(C4204="","",INDEX(Akaun!$D$5:$D$150,MATCH(C4204,Akaun!$A$5:$A$150,0)))</f>
        <v/>
      </c>
    </row>
    <row r="4205" customFormat="false" ht="15" hidden="false" customHeight="true" outlineLevel="0" collapsed="false">
      <c r="G4205" s="1" t="str">
        <f aca="false">IF(C4205="","",INDEX(Akaun!$F$5:$F$150,MATCH(C4205,Akaun!$A$5:$A$150,0)))</f>
        <v/>
      </c>
      <c r="H4205" s="1" t="str">
        <f aca="false">IF(C4205="","",INDEX(Akaun!$D$5:$D$150,MATCH(C4205,Akaun!$A$5:$A$150,0)))</f>
        <v/>
      </c>
    </row>
    <row r="4206" customFormat="false" ht="15" hidden="false" customHeight="true" outlineLevel="0" collapsed="false">
      <c r="G4206" s="1" t="str">
        <f aca="false">IF(C4206="","",INDEX(Akaun!$F$5:$F$150,MATCH(C4206,Akaun!$A$5:$A$150,0)))</f>
        <v/>
      </c>
      <c r="H4206" s="1" t="str">
        <f aca="false">IF(C4206="","",INDEX(Akaun!$D$5:$D$150,MATCH(C4206,Akaun!$A$5:$A$150,0)))</f>
        <v/>
      </c>
    </row>
    <row r="4207" customFormat="false" ht="15" hidden="false" customHeight="true" outlineLevel="0" collapsed="false">
      <c r="G4207" s="1" t="str">
        <f aca="false">IF(C4207="","",INDEX(Akaun!$F$5:$F$150,MATCH(C4207,Akaun!$A$5:$A$150,0)))</f>
        <v/>
      </c>
      <c r="H4207" s="1" t="str">
        <f aca="false">IF(C4207="","",INDEX(Akaun!$D$5:$D$150,MATCH(C4207,Akaun!$A$5:$A$150,0)))</f>
        <v/>
      </c>
    </row>
    <row r="4208" customFormat="false" ht="15" hidden="false" customHeight="true" outlineLevel="0" collapsed="false">
      <c r="G4208" s="1" t="str">
        <f aca="false">IF(C4208="","",INDEX(Akaun!$F$5:$F$150,MATCH(C4208,Akaun!$A$5:$A$150,0)))</f>
        <v/>
      </c>
      <c r="H4208" s="1" t="str">
        <f aca="false">IF(C4208="","",INDEX(Akaun!$D$5:$D$150,MATCH(C4208,Akaun!$A$5:$A$150,0)))</f>
        <v/>
      </c>
    </row>
    <row r="4209" customFormat="false" ht="15" hidden="false" customHeight="true" outlineLevel="0" collapsed="false">
      <c r="G4209" s="1" t="str">
        <f aca="false">IF(C4209="","",INDEX(Akaun!$F$5:$F$150,MATCH(C4209,Akaun!$A$5:$A$150,0)))</f>
        <v/>
      </c>
      <c r="H4209" s="1" t="str">
        <f aca="false">IF(C4209="","",INDEX(Akaun!$D$5:$D$150,MATCH(C4209,Akaun!$A$5:$A$150,0)))</f>
        <v/>
      </c>
    </row>
    <row r="4210" customFormat="false" ht="15" hidden="false" customHeight="true" outlineLevel="0" collapsed="false">
      <c r="G4210" s="1" t="str">
        <f aca="false">IF(C4210="","",INDEX(Akaun!$F$5:$F$150,MATCH(C4210,Akaun!$A$5:$A$150,0)))</f>
        <v/>
      </c>
      <c r="H4210" s="1" t="str">
        <f aca="false">IF(C4210="","",INDEX(Akaun!$D$5:$D$150,MATCH(C4210,Akaun!$A$5:$A$150,0)))</f>
        <v/>
      </c>
    </row>
    <row r="4211" customFormat="false" ht="15" hidden="false" customHeight="true" outlineLevel="0" collapsed="false">
      <c r="G4211" s="1" t="str">
        <f aca="false">IF(C4211="","",INDEX(Akaun!$F$5:$F$150,MATCH(C4211,Akaun!$A$5:$A$150,0)))</f>
        <v/>
      </c>
      <c r="H4211" s="1" t="str">
        <f aca="false">IF(C4211="","",INDEX(Akaun!$D$5:$D$150,MATCH(C4211,Akaun!$A$5:$A$150,0)))</f>
        <v/>
      </c>
    </row>
    <row r="4212" customFormat="false" ht="15" hidden="false" customHeight="true" outlineLevel="0" collapsed="false">
      <c r="G4212" s="1" t="str">
        <f aca="false">IF(C4212="","",INDEX(Akaun!$F$5:$F$150,MATCH(C4212,Akaun!$A$5:$A$150,0)))</f>
        <v/>
      </c>
      <c r="H4212" s="1" t="str">
        <f aca="false">IF(C4212="","",INDEX(Akaun!$D$5:$D$150,MATCH(C4212,Akaun!$A$5:$A$150,0)))</f>
        <v/>
      </c>
    </row>
    <row r="4213" customFormat="false" ht="15" hidden="false" customHeight="true" outlineLevel="0" collapsed="false">
      <c r="G4213" s="1" t="str">
        <f aca="false">IF(C4213="","",INDEX(Akaun!$F$5:$F$150,MATCH(C4213,Akaun!$A$5:$A$150,0)))</f>
        <v/>
      </c>
      <c r="H4213" s="1" t="str">
        <f aca="false">IF(C4213="","",INDEX(Akaun!$D$5:$D$150,MATCH(C4213,Akaun!$A$5:$A$150,0)))</f>
        <v/>
      </c>
    </row>
    <row r="4214" customFormat="false" ht="15" hidden="false" customHeight="true" outlineLevel="0" collapsed="false">
      <c r="G4214" s="1" t="str">
        <f aca="false">IF(C4214="","",INDEX(Akaun!$F$5:$F$150,MATCH(C4214,Akaun!$A$5:$A$150,0)))</f>
        <v/>
      </c>
      <c r="H4214" s="1" t="str">
        <f aca="false">IF(C4214="","",INDEX(Akaun!$D$5:$D$150,MATCH(C4214,Akaun!$A$5:$A$150,0)))</f>
        <v/>
      </c>
    </row>
    <row r="4215" customFormat="false" ht="15" hidden="false" customHeight="true" outlineLevel="0" collapsed="false">
      <c r="G4215" s="1" t="str">
        <f aca="false">IF(C4215="","",INDEX(Akaun!$F$5:$F$150,MATCH(C4215,Akaun!$A$5:$A$150,0)))</f>
        <v/>
      </c>
      <c r="H4215" s="1" t="str">
        <f aca="false">IF(C4215="","",INDEX(Akaun!$D$5:$D$150,MATCH(C4215,Akaun!$A$5:$A$150,0)))</f>
        <v/>
      </c>
    </row>
    <row r="4216" customFormat="false" ht="15" hidden="false" customHeight="true" outlineLevel="0" collapsed="false">
      <c r="G4216" s="1" t="str">
        <f aca="false">IF(C4216="","",INDEX(Akaun!$F$5:$F$150,MATCH(C4216,Akaun!$A$5:$A$150,0)))</f>
        <v/>
      </c>
      <c r="H4216" s="1" t="str">
        <f aca="false">IF(C4216="","",INDEX(Akaun!$D$5:$D$150,MATCH(C4216,Akaun!$A$5:$A$150,0)))</f>
        <v/>
      </c>
    </row>
    <row r="4217" customFormat="false" ht="15" hidden="false" customHeight="true" outlineLevel="0" collapsed="false">
      <c r="G4217" s="1" t="str">
        <f aca="false">IF(C4217="","",INDEX(Akaun!$F$5:$F$150,MATCH(C4217,Akaun!$A$5:$A$150,0)))</f>
        <v/>
      </c>
      <c r="H4217" s="1" t="str">
        <f aca="false">IF(C4217="","",INDEX(Akaun!$D$5:$D$150,MATCH(C4217,Akaun!$A$5:$A$150,0)))</f>
        <v/>
      </c>
    </row>
    <row r="4218" customFormat="false" ht="15" hidden="false" customHeight="true" outlineLevel="0" collapsed="false">
      <c r="G4218" s="1" t="str">
        <f aca="false">IF(C4218="","",INDEX(Akaun!$F$5:$F$150,MATCH(C4218,Akaun!$A$5:$A$150,0)))</f>
        <v/>
      </c>
      <c r="H4218" s="1" t="str">
        <f aca="false">IF(C4218="","",INDEX(Akaun!$D$5:$D$150,MATCH(C4218,Akaun!$A$5:$A$150,0)))</f>
        <v/>
      </c>
    </row>
    <row r="4219" customFormat="false" ht="15" hidden="false" customHeight="true" outlineLevel="0" collapsed="false">
      <c r="G4219" s="1" t="str">
        <f aca="false">IF(C4219="","",INDEX(Akaun!$F$5:$F$150,MATCH(C4219,Akaun!$A$5:$A$150,0)))</f>
        <v/>
      </c>
      <c r="H4219" s="1" t="str">
        <f aca="false">IF(C4219="","",INDEX(Akaun!$D$5:$D$150,MATCH(C4219,Akaun!$A$5:$A$150,0)))</f>
        <v/>
      </c>
    </row>
    <row r="4220" customFormat="false" ht="15" hidden="false" customHeight="true" outlineLevel="0" collapsed="false">
      <c r="G4220" s="1" t="str">
        <f aca="false">IF(C4220="","",INDEX(Akaun!$F$5:$F$150,MATCH(C4220,Akaun!$A$5:$A$150,0)))</f>
        <v/>
      </c>
      <c r="H4220" s="1" t="str">
        <f aca="false">IF(C4220="","",INDEX(Akaun!$D$5:$D$150,MATCH(C4220,Akaun!$A$5:$A$150,0)))</f>
        <v/>
      </c>
    </row>
    <row r="4221" customFormat="false" ht="15" hidden="false" customHeight="true" outlineLevel="0" collapsed="false">
      <c r="G4221" s="1" t="str">
        <f aca="false">IF(C4221="","",INDEX(Akaun!$F$5:$F$150,MATCH(C4221,Akaun!$A$5:$A$150,0)))</f>
        <v/>
      </c>
      <c r="H4221" s="1" t="str">
        <f aca="false">IF(C4221="","",INDEX(Akaun!$D$5:$D$150,MATCH(C4221,Akaun!$A$5:$A$150,0)))</f>
        <v/>
      </c>
    </row>
    <row r="4222" customFormat="false" ht="15" hidden="false" customHeight="true" outlineLevel="0" collapsed="false">
      <c r="G4222" s="1" t="str">
        <f aca="false">IF(C4222="","",INDEX(Akaun!$F$5:$F$150,MATCH(C4222,Akaun!$A$5:$A$150,0)))</f>
        <v/>
      </c>
      <c r="H4222" s="1" t="str">
        <f aca="false">IF(C4222="","",INDEX(Akaun!$D$5:$D$150,MATCH(C4222,Akaun!$A$5:$A$150,0)))</f>
        <v/>
      </c>
    </row>
    <row r="4223" customFormat="false" ht="15" hidden="false" customHeight="true" outlineLevel="0" collapsed="false">
      <c r="G4223" s="1" t="str">
        <f aca="false">IF(C4223="","",INDEX(Akaun!$F$5:$F$150,MATCH(C4223,Akaun!$A$5:$A$150,0)))</f>
        <v/>
      </c>
      <c r="H4223" s="1" t="str">
        <f aca="false">IF(C4223="","",INDEX(Akaun!$D$5:$D$150,MATCH(C4223,Akaun!$A$5:$A$150,0)))</f>
        <v/>
      </c>
    </row>
    <row r="4224" customFormat="false" ht="15" hidden="false" customHeight="true" outlineLevel="0" collapsed="false">
      <c r="G4224" s="1" t="str">
        <f aca="false">IF(C4224="","",INDEX(Akaun!$F$5:$F$150,MATCH(C4224,Akaun!$A$5:$A$150,0)))</f>
        <v/>
      </c>
      <c r="H4224" s="1" t="str">
        <f aca="false">IF(C4224="","",INDEX(Akaun!$D$5:$D$150,MATCH(C4224,Akaun!$A$5:$A$150,0)))</f>
        <v/>
      </c>
    </row>
    <row r="4225" customFormat="false" ht="15" hidden="false" customHeight="true" outlineLevel="0" collapsed="false">
      <c r="G4225" s="1" t="str">
        <f aca="false">IF(C4225="","",INDEX(Akaun!$F$5:$F$150,MATCH(C4225,Akaun!$A$5:$A$150,0)))</f>
        <v/>
      </c>
      <c r="H4225" s="1" t="str">
        <f aca="false">IF(C4225="","",INDEX(Akaun!$D$5:$D$150,MATCH(C4225,Akaun!$A$5:$A$150,0)))</f>
        <v/>
      </c>
    </row>
    <row r="4226" customFormat="false" ht="15" hidden="false" customHeight="true" outlineLevel="0" collapsed="false">
      <c r="G4226" s="1" t="str">
        <f aca="false">IF(C4226="","",INDEX(Akaun!$F$5:$F$150,MATCH(C4226,Akaun!$A$5:$A$150,0)))</f>
        <v/>
      </c>
      <c r="H4226" s="1" t="str">
        <f aca="false">IF(C4226="","",INDEX(Akaun!$D$5:$D$150,MATCH(C4226,Akaun!$A$5:$A$150,0)))</f>
        <v/>
      </c>
    </row>
    <row r="4227" customFormat="false" ht="15" hidden="false" customHeight="true" outlineLevel="0" collapsed="false">
      <c r="G4227" s="1" t="str">
        <f aca="false">IF(C4227="","",INDEX(Akaun!$F$5:$F$150,MATCH(C4227,Akaun!$A$5:$A$150,0)))</f>
        <v/>
      </c>
      <c r="H4227" s="1" t="str">
        <f aca="false">IF(C4227="","",INDEX(Akaun!$D$5:$D$150,MATCH(C4227,Akaun!$A$5:$A$150,0)))</f>
        <v/>
      </c>
    </row>
    <row r="4228" customFormat="false" ht="15" hidden="false" customHeight="true" outlineLevel="0" collapsed="false">
      <c r="G4228" s="1" t="str">
        <f aca="false">IF(C4228="","",INDEX(Akaun!$F$5:$F$150,MATCH(C4228,Akaun!$A$5:$A$150,0)))</f>
        <v/>
      </c>
      <c r="H4228" s="1" t="str">
        <f aca="false">IF(C4228="","",INDEX(Akaun!$D$5:$D$150,MATCH(C4228,Akaun!$A$5:$A$150,0)))</f>
        <v/>
      </c>
    </row>
    <row r="4229" customFormat="false" ht="15" hidden="false" customHeight="true" outlineLevel="0" collapsed="false">
      <c r="G4229" s="1" t="str">
        <f aca="false">IF(C4229="","",INDEX(Akaun!$F$5:$F$150,MATCH(C4229,Akaun!$A$5:$A$150,0)))</f>
        <v/>
      </c>
      <c r="H4229" s="1" t="str">
        <f aca="false">IF(C4229="","",INDEX(Akaun!$D$5:$D$150,MATCH(C4229,Akaun!$A$5:$A$150,0)))</f>
        <v/>
      </c>
    </row>
    <row r="4230" customFormat="false" ht="15" hidden="false" customHeight="true" outlineLevel="0" collapsed="false">
      <c r="G4230" s="1" t="str">
        <f aca="false">IF(C4230="","",INDEX(Akaun!$F$5:$F$150,MATCH(C4230,Akaun!$A$5:$A$150,0)))</f>
        <v/>
      </c>
      <c r="H4230" s="1" t="str">
        <f aca="false">IF(C4230="","",INDEX(Akaun!$D$5:$D$150,MATCH(C4230,Akaun!$A$5:$A$150,0)))</f>
        <v/>
      </c>
    </row>
    <row r="4231" customFormat="false" ht="15" hidden="false" customHeight="true" outlineLevel="0" collapsed="false">
      <c r="G4231" s="1" t="str">
        <f aca="false">IF(C4231="","",INDEX(Akaun!$F$5:$F$150,MATCH(C4231,Akaun!$A$5:$A$150,0)))</f>
        <v/>
      </c>
      <c r="H4231" s="1" t="str">
        <f aca="false">IF(C4231="","",INDEX(Akaun!$D$5:$D$150,MATCH(C4231,Akaun!$A$5:$A$150,0)))</f>
        <v/>
      </c>
    </row>
    <row r="4232" customFormat="false" ht="15" hidden="false" customHeight="true" outlineLevel="0" collapsed="false">
      <c r="G4232" s="1" t="str">
        <f aca="false">IF(C4232="","",INDEX(Akaun!$F$5:$F$150,MATCH(C4232,Akaun!$A$5:$A$150,0)))</f>
        <v/>
      </c>
      <c r="H4232" s="1" t="str">
        <f aca="false">IF(C4232="","",INDEX(Akaun!$D$5:$D$150,MATCH(C4232,Akaun!$A$5:$A$150,0)))</f>
        <v/>
      </c>
    </row>
    <row r="4233" customFormat="false" ht="15" hidden="false" customHeight="true" outlineLevel="0" collapsed="false">
      <c r="G4233" s="1" t="str">
        <f aca="false">IF(C4233="","",INDEX(Akaun!$F$5:$F$150,MATCH(C4233,Akaun!$A$5:$A$150,0)))</f>
        <v/>
      </c>
      <c r="H4233" s="1" t="str">
        <f aca="false">IF(C4233="","",INDEX(Akaun!$D$5:$D$150,MATCH(C4233,Akaun!$A$5:$A$150,0)))</f>
        <v/>
      </c>
    </row>
    <row r="4234" customFormat="false" ht="15" hidden="false" customHeight="true" outlineLevel="0" collapsed="false">
      <c r="G4234" s="1" t="str">
        <f aca="false">IF(C4234="","",INDEX(Akaun!$F$5:$F$150,MATCH(C4234,Akaun!$A$5:$A$150,0)))</f>
        <v/>
      </c>
      <c r="H4234" s="1" t="str">
        <f aca="false">IF(C4234="","",INDEX(Akaun!$D$5:$D$150,MATCH(C4234,Akaun!$A$5:$A$150,0)))</f>
        <v/>
      </c>
    </row>
    <row r="4235" customFormat="false" ht="15" hidden="false" customHeight="true" outlineLevel="0" collapsed="false">
      <c r="G4235" s="1" t="str">
        <f aca="false">IF(C4235="","",INDEX(Akaun!$F$5:$F$150,MATCH(C4235,Akaun!$A$5:$A$150,0)))</f>
        <v/>
      </c>
      <c r="H4235" s="1" t="str">
        <f aca="false">IF(C4235="","",INDEX(Akaun!$D$5:$D$150,MATCH(C4235,Akaun!$A$5:$A$150,0)))</f>
        <v/>
      </c>
    </row>
    <row r="4236" customFormat="false" ht="15" hidden="false" customHeight="true" outlineLevel="0" collapsed="false">
      <c r="G4236" s="1" t="str">
        <f aca="false">IF(C4236="","",INDEX(Akaun!$F$5:$F$150,MATCH(C4236,Akaun!$A$5:$A$150,0)))</f>
        <v/>
      </c>
      <c r="H4236" s="1" t="str">
        <f aca="false">IF(C4236="","",INDEX(Akaun!$D$5:$D$150,MATCH(C4236,Akaun!$A$5:$A$150,0)))</f>
        <v/>
      </c>
    </row>
    <row r="4237" customFormat="false" ht="15" hidden="false" customHeight="true" outlineLevel="0" collapsed="false">
      <c r="G4237" s="1" t="str">
        <f aca="false">IF(C4237="","",INDEX(Akaun!$F$5:$F$150,MATCH(C4237,Akaun!$A$5:$A$150,0)))</f>
        <v/>
      </c>
      <c r="H4237" s="1" t="str">
        <f aca="false">IF(C4237="","",INDEX(Akaun!$D$5:$D$150,MATCH(C4237,Akaun!$A$5:$A$150,0)))</f>
        <v/>
      </c>
    </row>
    <row r="4238" customFormat="false" ht="15" hidden="false" customHeight="true" outlineLevel="0" collapsed="false">
      <c r="G4238" s="1" t="str">
        <f aca="false">IF(C4238="","",INDEX(Akaun!$F$5:$F$150,MATCH(C4238,Akaun!$A$5:$A$150,0)))</f>
        <v/>
      </c>
      <c r="H4238" s="1" t="str">
        <f aca="false">IF(C4238="","",INDEX(Akaun!$D$5:$D$150,MATCH(C4238,Akaun!$A$5:$A$150,0)))</f>
        <v/>
      </c>
    </row>
    <row r="4239" customFormat="false" ht="15" hidden="false" customHeight="true" outlineLevel="0" collapsed="false">
      <c r="G4239" s="1" t="str">
        <f aca="false">IF(C4239="","",INDEX(Akaun!$F$5:$F$150,MATCH(C4239,Akaun!$A$5:$A$150,0)))</f>
        <v/>
      </c>
      <c r="H4239" s="1" t="str">
        <f aca="false">IF(C4239="","",INDEX(Akaun!$D$5:$D$150,MATCH(C4239,Akaun!$A$5:$A$150,0)))</f>
        <v/>
      </c>
    </row>
    <row r="4240" customFormat="false" ht="15" hidden="false" customHeight="true" outlineLevel="0" collapsed="false">
      <c r="G4240" s="1" t="str">
        <f aca="false">IF(C4240="","",INDEX(Akaun!$F$5:$F$150,MATCH(C4240,Akaun!$A$5:$A$150,0)))</f>
        <v/>
      </c>
      <c r="H4240" s="1" t="str">
        <f aca="false">IF(C4240="","",INDEX(Akaun!$D$5:$D$150,MATCH(C4240,Akaun!$A$5:$A$150,0)))</f>
        <v/>
      </c>
    </row>
    <row r="4241" customFormat="false" ht="15" hidden="false" customHeight="true" outlineLevel="0" collapsed="false">
      <c r="G4241" s="1" t="str">
        <f aca="false">IF(C4241="","",INDEX(Akaun!$F$5:$F$150,MATCH(C4241,Akaun!$A$5:$A$150,0)))</f>
        <v/>
      </c>
      <c r="H4241" s="1" t="str">
        <f aca="false">IF(C4241="","",INDEX(Akaun!$D$5:$D$150,MATCH(C4241,Akaun!$A$5:$A$150,0)))</f>
        <v/>
      </c>
    </row>
    <row r="4242" customFormat="false" ht="15" hidden="false" customHeight="true" outlineLevel="0" collapsed="false">
      <c r="G4242" s="1" t="str">
        <f aca="false">IF(C4242="","",INDEX(Akaun!$F$5:$F$150,MATCH(C4242,Akaun!$A$5:$A$150,0)))</f>
        <v/>
      </c>
      <c r="H4242" s="1" t="str">
        <f aca="false">IF(C4242="","",INDEX(Akaun!$D$5:$D$150,MATCH(C4242,Akaun!$A$5:$A$150,0)))</f>
        <v/>
      </c>
    </row>
    <row r="4243" customFormat="false" ht="15" hidden="false" customHeight="true" outlineLevel="0" collapsed="false">
      <c r="G4243" s="1" t="str">
        <f aca="false">IF(C4243="","",INDEX(Akaun!$F$5:$F$150,MATCH(C4243,Akaun!$A$5:$A$150,0)))</f>
        <v/>
      </c>
      <c r="H4243" s="1" t="str">
        <f aca="false">IF(C4243="","",INDEX(Akaun!$D$5:$D$150,MATCH(C4243,Akaun!$A$5:$A$150,0)))</f>
        <v/>
      </c>
    </row>
    <row r="4244" customFormat="false" ht="15" hidden="false" customHeight="true" outlineLevel="0" collapsed="false">
      <c r="G4244" s="1" t="str">
        <f aca="false">IF(C4244="","",INDEX(Akaun!$F$5:$F$150,MATCH(C4244,Akaun!$A$5:$A$150,0)))</f>
        <v/>
      </c>
      <c r="H4244" s="1" t="str">
        <f aca="false">IF(C4244="","",INDEX(Akaun!$D$5:$D$150,MATCH(C4244,Akaun!$A$5:$A$150,0)))</f>
        <v/>
      </c>
    </row>
    <row r="4245" customFormat="false" ht="15" hidden="false" customHeight="true" outlineLevel="0" collapsed="false">
      <c r="G4245" s="1" t="str">
        <f aca="false">IF(C4245="","",INDEX(Akaun!$F$5:$F$150,MATCH(C4245,Akaun!$A$5:$A$150,0)))</f>
        <v/>
      </c>
      <c r="H4245" s="1" t="str">
        <f aca="false">IF(C4245="","",INDEX(Akaun!$D$5:$D$150,MATCH(C4245,Akaun!$A$5:$A$150,0)))</f>
        <v/>
      </c>
    </row>
    <row r="4246" customFormat="false" ht="15" hidden="false" customHeight="true" outlineLevel="0" collapsed="false">
      <c r="G4246" s="1" t="str">
        <f aca="false">IF(C4246="","",INDEX(Akaun!$F$5:$F$150,MATCH(C4246,Akaun!$A$5:$A$150,0)))</f>
        <v/>
      </c>
      <c r="H4246" s="1" t="str">
        <f aca="false">IF(C4246="","",INDEX(Akaun!$D$5:$D$150,MATCH(C4246,Akaun!$A$5:$A$150,0)))</f>
        <v/>
      </c>
    </row>
    <row r="4247" customFormat="false" ht="15" hidden="false" customHeight="true" outlineLevel="0" collapsed="false">
      <c r="G4247" s="1" t="str">
        <f aca="false">IF(C4247="","",INDEX(Akaun!$F$5:$F$150,MATCH(C4247,Akaun!$A$5:$A$150,0)))</f>
        <v/>
      </c>
      <c r="H4247" s="1" t="str">
        <f aca="false">IF(C4247="","",INDEX(Akaun!$D$5:$D$150,MATCH(C4247,Akaun!$A$5:$A$150,0)))</f>
        <v/>
      </c>
    </row>
    <row r="4248" customFormat="false" ht="15" hidden="false" customHeight="true" outlineLevel="0" collapsed="false">
      <c r="G4248" s="1" t="str">
        <f aca="false">IF(C4248="","",INDEX(Akaun!$F$5:$F$150,MATCH(C4248,Akaun!$A$5:$A$150,0)))</f>
        <v/>
      </c>
      <c r="H4248" s="1" t="str">
        <f aca="false">IF(C4248="","",INDEX(Akaun!$D$5:$D$150,MATCH(C4248,Akaun!$A$5:$A$150,0)))</f>
        <v/>
      </c>
    </row>
    <row r="4249" customFormat="false" ht="15" hidden="false" customHeight="true" outlineLevel="0" collapsed="false">
      <c r="G4249" s="1" t="str">
        <f aca="false">IF(C4249="","",INDEX(Akaun!$F$5:$F$150,MATCH(C4249,Akaun!$A$5:$A$150,0)))</f>
        <v/>
      </c>
      <c r="H4249" s="1" t="str">
        <f aca="false">IF(C4249="","",INDEX(Akaun!$D$5:$D$150,MATCH(C4249,Akaun!$A$5:$A$150,0)))</f>
        <v/>
      </c>
    </row>
    <row r="4250" customFormat="false" ht="15" hidden="false" customHeight="true" outlineLevel="0" collapsed="false">
      <c r="G4250" s="1" t="str">
        <f aca="false">IF(C4250="","",INDEX(Akaun!$F$5:$F$150,MATCH(C4250,Akaun!$A$5:$A$150,0)))</f>
        <v/>
      </c>
      <c r="H4250" s="1" t="str">
        <f aca="false">IF(C4250="","",INDEX(Akaun!$D$5:$D$150,MATCH(C4250,Akaun!$A$5:$A$150,0)))</f>
        <v/>
      </c>
    </row>
    <row r="4251" customFormat="false" ht="15" hidden="false" customHeight="true" outlineLevel="0" collapsed="false">
      <c r="G4251" s="1" t="str">
        <f aca="false">IF(C4251="","",INDEX(Akaun!$F$5:$F$150,MATCH(C4251,Akaun!$A$5:$A$150,0)))</f>
        <v/>
      </c>
      <c r="H4251" s="1" t="str">
        <f aca="false">IF(C4251="","",INDEX(Akaun!$D$5:$D$150,MATCH(C4251,Akaun!$A$5:$A$150,0)))</f>
        <v/>
      </c>
    </row>
    <row r="4252" customFormat="false" ht="15" hidden="false" customHeight="true" outlineLevel="0" collapsed="false">
      <c r="G4252" s="1" t="str">
        <f aca="false">IF(C4252="","",INDEX(Akaun!$F$5:$F$150,MATCH(C4252,Akaun!$A$5:$A$150,0)))</f>
        <v/>
      </c>
      <c r="H4252" s="1" t="str">
        <f aca="false">IF(C4252="","",INDEX(Akaun!$D$5:$D$150,MATCH(C4252,Akaun!$A$5:$A$150,0)))</f>
        <v/>
      </c>
    </row>
    <row r="4253" customFormat="false" ht="15" hidden="false" customHeight="true" outlineLevel="0" collapsed="false">
      <c r="G4253" s="1" t="str">
        <f aca="false">IF(C4253="","",INDEX(Akaun!$F$5:$F$150,MATCH(C4253,Akaun!$A$5:$A$150,0)))</f>
        <v/>
      </c>
      <c r="H4253" s="1" t="str">
        <f aca="false">IF(C4253="","",INDEX(Akaun!$D$5:$D$150,MATCH(C4253,Akaun!$A$5:$A$150,0)))</f>
        <v/>
      </c>
    </row>
    <row r="4254" customFormat="false" ht="15" hidden="false" customHeight="true" outlineLevel="0" collapsed="false">
      <c r="G4254" s="1" t="str">
        <f aca="false">IF(C4254="","",INDEX(Akaun!$F$5:$F$150,MATCH(C4254,Akaun!$A$5:$A$150,0)))</f>
        <v/>
      </c>
      <c r="H4254" s="1" t="str">
        <f aca="false">IF(C4254="","",INDEX(Akaun!$D$5:$D$150,MATCH(C4254,Akaun!$A$5:$A$150,0)))</f>
        <v/>
      </c>
    </row>
    <row r="4255" customFormat="false" ht="15" hidden="false" customHeight="true" outlineLevel="0" collapsed="false">
      <c r="G4255" s="1" t="str">
        <f aca="false">IF(C4255="","",INDEX(Akaun!$F$5:$F$150,MATCH(C4255,Akaun!$A$5:$A$150,0)))</f>
        <v/>
      </c>
      <c r="H4255" s="1" t="str">
        <f aca="false">IF(C4255="","",INDEX(Akaun!$D$5:$D$150,MATCH(C4255,Akaun!$A$5:$A$150,0)))</f>
        <v/>
      </c>
    </row>
    <row r="4256" customFormat="false" ht="15" hidden="false" customHeight="true" outlineLevel="0" collapsed="false">
      <c r="G4256" s="1" t="str">
        <f aca="false">IF(C4256="","",INDEX(Akaun!$F$5:$F$150,MATCH(C4256,Akaun!$A$5:$A$150,0)))</f>
        <v/>
      </c>
      <c r="H4256" s="1" t="str">
        <f aca="false">IF(C4256="","",INDEX(Akaun!$D$5:$D$150,MATCH(C4256,Akaun!$A$5:$A$150,0)))</f>
        <v/>
      </c>
    </row>
    <row r="4257" customFormat="false" ht="15" hidden="false" customHeight="true" outlineLevel="0" collapsed="false">
      <c r="G4257" s="1" t="str">
        <f aca="false">IF(C4257="","",INDEX(Akaun!$F$5:$F$150,MATCH(C4257,Akaun!$A$5:$A$150,0)))</f>
        <v/>
      </c>
      <c r="H4257" s="1" t="str">
        <f aca="false">IF(C4257="","",INDEX(Akaun!$D$5:$D$150,MATCH(C4257,Akaun!$A$5:$A$150,0)))</f>
        <v/>
      </c>
    </row>
    <row r="4258" customFormat="false" ht="15" hidden="false" customHeight="true" outlineLevel="0" collapsed="false">
      <c r="G4258" s="1" t="str">
        <f aca="false">IF(C4258="","",INDEX(Akaun!$F$5:$F$150,MATCH(C4258,Akaun!$A$5:$A$150,0)))</f>
        <v/>
      </c>
      <c r="H4258" s="1" t="str">
        <f aca="false">IF(C4258="","",INDEX(Akaun!$D$5:$D$150,MATCH(C4258,Akaun!$A$5:$A$150,0)))</f>
        <v/>
      </c>
    </row>
    <row r="4259" customFormat="false" ht="15" hidden="false" customHeight="true" outlineLevel="0" collapsed="false">
      <c r="G4259" s="1" t="str">
        <f aca="false">IF(C4259="","",INDEX(Akaun!$F$5:$F$150,MATCH(C4259,Akaun!$A$5:$A$150,0)))</f>
        <v/>
      </c>
      <c r="H4259" s="1" t="str">
        <f aca="false">IF(C4259="","",INDEX(Akaun!$D$5:$D$150,MATCH(C4259,Akaun!$A$5:$A$150,0)))</f>
        <v/>
      </c>
    </row>
    <row r="4260" customFormat="false" ht="15" hidden="false" customHeight="true" outlineLevel="0" collapsed="false">
      <c r="G4260" s="1" t="str">
        <f aca="false">IF(C4260="","",INDEX(Akaun!$F$5:$F$150,MATCH(C4260,Akaun!$A$5:$A$150,0)))</f>
        <v/>
      </c>
      <c r="H4260" s="1" t="str">
        <f aca="false">IF(C4260="","",INDEX(Akaun!$D$5:$D$150,MATCH(C4260,Akaun!$A$5:$A$150,0)))</f>
        <v/>
      </c>
    </row>
    <row r="4261" customFormat="false" ht="15" hidden="false" customHeight="true" outlineLevel="0" collapsed="false">
      <c r="G4261" s="1" t="str">
        <f aca="false">IF(C4261="","",INDEX(Akaun!$F$5:$F$150,MATCH(C4261,Akaun!$A$5:$A$150,0)))</f>
        <v/>
      </c>
      <c r="H4261" s="1" t="str">
        <f aca="false">IF(C4261="","",INDEX(Akaun!$D$5:$D$150,MATCH(C4261,Akaun!$A$5:$A$150,0)))</f>
        <v/>
      </c>
    </row>
    <row r="4262" customFormat="false" ht="15" hidden="false" customHeight="true" outlineLevel="0" collapsed="false">
      <c r="G4262" s="1" t="str">
        <f aca="false">IF(C4262="","",INDEX(Akaun!$F$5:$F$150,MATCH(C4262,Akaun!$A$5:$A$150,0)))</f>
        <v/>
      </c>
      <c r="H4262" s="1" t="str">
        <f aca="false">IF(C4262="","",INDEX(Akaun!$D$5:$D$150,MATCH(C4262,Akaun!$A$5:$A$150,0)))</f>
        <v/>
      </c>
    </row>
    <row r="4263" customFormat="false" ht="15" hidden="false" customHeight="true" outlineLevel="0" collapsed="false">
      <c r="G4263" s="1" t="str">
        <f aca="false">IF(C4263="","",INDEX(Akaun!$F$5:$F$150,MATCH(C4263,Akaun!$A$5:$A$150,0)))</f>
        <v/>
      </c>
      <c r="H4263" s="1" t="str">
        <f aca="false">IF(C4263="","",INDEX(Akaun!$D$5:$D$150,MATCH(C4263,Akaun!$A$5:$A$150,0)))</f>
        <v/>
      </c>
    </row>
    <row r="4264" customFormat="false" ht="15" hidden="false" customHeight="true" outlineLevel="0" collapsed="false">
      <c r="G4264" s="1" t="str">
        <f aca="false">IF(C4264="","",INDEX(Akaun!$F$5:$F$150,MATCH(C4264,Akaun!$A$5:$A$150,0)))</f>
        <v/>
      </c>
      <c r="H4264" s="1" t="str">
        <f aca="false">IF(C4264="","",INDEX(Akaun!$D$5:$D$150,MATCH(C4264,Akaun!$A$5:$A$150,0)))</f>
        <v/>
      </c>
    </row>
    <row r="4265" customFormat="false" ht="15" hidden="false" customHeight="true" outlineLevel="0" collapsed="false">
      <c r="G4265" s="1" t="str">
        <f aca="false">IF(C4265="","",INDEX(Akaun!$F$5:$F$150,MATCH(C4265,Akaun!$A$5:$A$150,0)))</f>
        <v/>
      </c>
      <c r="H4265" s="1" t="str">
        <f aca="false">IF(C4265="","",INDEX(Akaun!$D$5:$D$150,MATCH(C4265,Akaun!$A$5:$A$150,0)))</f>
        <v/>
      </c>
    </row>
    <row r="4266" customFormat="false" ht="15" hidden="false" customHeight="true" outlineLevel="0" collapsed="false">
      <c r="G4266" s="1" t="str">
        <f aca="false">IF(C4266="","",INDEX(Akaun!$F$5:$F$150,MATCH(C4266,Akaun!$A$5:$A$150,0)))</f>
        <v/>
      </c>
      <c r="H4266" s="1" t="str">
        <f aca="false">IF(C4266="","",INDEX(Akaun!$D$5:$D$150,MATCH(C4266,Akaun!$A$5:$A$150,0)))</f>
        <v/>
      </c>
    </row>
    <row r="4267" customFormat="false" ht="15" hidden="false" customHeight="true" outlineLevel="0" collapsed="false">
      <c r="G4267" s="1" t="str">
        <f aca="false">IF(C4267="","",INDEX(Akaun!$F$5:$F$150,MATCH(C4267,Akaun!$A$5:$A$150,0)))</f>
        <v/>
      </c>
      <c r="H4267" s="1" t="str">
        <f aca="false">IF(C4267="","",INDEX(Akaun!$D$5:$D$150,MATCH(C4267,Akaun!$A$5:$A$150,0)))</f>
        <v/>
      </c>
    </row>
    <row r="4268" customFormat="false" ht="15" hidden="false" customHeight="true" outlineLevel="0" collapsed="false">
      <c r="G4268" s="1" t="str">
        <f aca="false">IF(C4268="","",INDEX(Akaun!$F$5:$F$150,MATCH(C4268,Akaun!$A$5:$A$150,0)))</f>
        <v/>
      </c>
      <c r="H4268" s="1" t="str">
        <f aca="false">IF(C4268="","",INDEX(Akaun!$D$5:$D$150,MATCH(C4268,Akaun!$A$5:$A$150,0)))</f>
        <v/>
      </c>
    </row>
    <row r="4269" customFormat="false" ht="15" hidden="false" customHeight="true" outlineLevel="0" collapsed="false">
      <c r="G4269" s="1" t="str">
        <f aca="false">IF(C4269="","",INDEX(Akaun!$F$5:$F$150,MATCH(C4269,Akaun!$A$5:$A$150,0)))</f>
        <v/>
      </c>
      <c r="H4269" s="1" t="str">
        <f aca="false">IF(C4269="","",INDEX(Akaun!$D$5:$D$150,MATCH(C4269,Akaun!$A$5:$A$150,0)))</f>
        <v/>
      </c>
    </row>
    <row r="4270" customFormat="false" ht="15" hidden="false" customHeight="true" outlineLevel="0" collapsed="false">
      <c r="G4270" s="1" t="str">
        <f aca="false">IF(C4270="","",INDEX(Akaun!$F$5:$F$150,MATCH(C4270,Akaun!$A$5:$A$150,0)))</f>
        <v/>
      </c>
      <c r="H4270" s="1" t="str">
        <f aca="false">IF(C4270="","",INDEX(Akaun!$D$5:$D$150,MATCH(C4270,Akaun!$A$5:$A$150,0)))</f>
        <v/>
      </c>
    </row>
    <row r="4271" customFormat="false" ht="15" hidden="false" customHeight="true" outlineLevel="0" collapsed="false">
      <c r="G4271" s="1" t="str">
        <f aca="false">IF(C4271="","",INDEX(Akaun!$F$5:$F$150,MATCH(C4271,Akaun!$A$5:$A$150,0)))</f>
        <v/>
      </c>
      <c r="H4271" s="1" t="str">
        <f aca="false">IF(C4271="","",INDEX(Akaun!$D$5:$D$150,MATCH(C4271,Akaun!$A$5:$A$150,0)))</f>
        <v/>
      </c>
    </row>
    <row r="4272" customFormat="false" ht="15" hidden="false" customHeight="true" outlineLevel="0" collapsed="false">
      <c r="G4272" s="1" t="str">
        <f aca="false">IF(C4272="","",INDEX(Akaun!$F$5:$F$150,MATCH(C4272,Akaun!$A$5:$A$150,0)))</f>
        <v/>
      </c>
      <c r="H4272" s="1" t="str">
        <f aca="false">IF(C4272="","",INDEX(Akaun!$D$5:$D$150,MATCH(C4272,Akaun!$A$5:$A$150,0)))</f>
        <v/>
      </c>
    </row>
    <row r="4273" customFormat="false" ht="15" hidden="false" customHeight="true" outlineLevel="0" collapsed="false">
      <c r="G4273" s="1" t="str">
        <f aca="false">IF(C4273="","",INDEX(Akaun!$F$5:$F$150,MATCH(C4273,Akaun!$A$5:$A$150,0)))</f>
        <v/>
      </c>
      <c r="H4273" s="1" t="str">
        <f aca="false">IF(C4273="","",INDEX(Akaun!$D$5:$D$150,MATCH(C4273,Akaun!$A$5:$A$150,0)))</f>
        <v/>
      </c>
    </row>
    <row r="4274" customFormat="false" ht="15" hidden="false" customHeight="true" outlineLevel="0" collapsed="false">
      <c r="G4274" s="1" t="str">
        <f aca="false">IF(C4274="","",INDEX(Akaun!$F$5:$F$150,MATCH(C4274,Akaun!$A$5:$A$150,0)))</f>
        <v/>
      </c>
      <c r="H4274" s="1" t="str">
        <f aca="false">IF(C4274="","",INDEX(Akaun!$D$5:$D$150,MATCH(C4274,Akaun!$A$5:$A$150,0)))</f>
        <v/>
      </c>
    </row>
    <row r="4275" customFormat="false" ht="15" hidden="false" customHeight="true" outlineLevel="0" collapsed="false">
      <c r="G4275" s="1" t="str">
        <f aca="false">IF(C4275="","",INDEX(Akaun!$F$5:$F$150,MATCH(C4275,Akaun!$A$5:$A$150,0)))</f>
        <v/>
      </c>
      <c r="H4275" s="1" t="str">
        <f aca="false">IF(C4275="","",INDEX(Akaun!$D$5:$D$150,MATCH(C4275,Akaun!$A$5:$A$150,0)))</f>
        <v/>
      </c>
    </row>
    <row r="4276" customFormat="false" ht="15" hidden="false" customHeight="true" outlineLevel="0" collapsed="false">
      <c r="G4276" s="1" t="str">
        <f aca="false">IF(C4276="","",INDEX(Akaun!$F$5:$F$150,MATCH(C4276,Akaun!$A$5:$A$150,0)))</f>
        <v/>
      </c>
      <c r="H4276" s="1" t="str">
        <f aca="false">IF(C4276="","",INDEX(Akaun!$D$5:$D$150,MATCH(C4276,Akaun!$A$5:$A$150,0)))</f>
        <v/>
      </c>
    </row>
    <row r="4277" customFormat="false" ht="15" hidden="false" customHeight="true" outlineLevel="0" collapsed="false">
      <c r="G4277" s="1" t="str">
        <f aca="false">IF(C4277="","",INDEX(Akaun!$F$5:$F$150,MATCH(C4277,Akaun!$A$5:$A$150,0)))</f>
        <v/>
      </c>
      <c r="H4277" s="1" t="str">
        <f aca="false">IF(C4277="","",INDEX(Akaun!$D$5:$D$150,MATCH(C4277,Akaun!$A$5:$A$150,0)))</f>
        <v/>
      </c>
    </row>
    <row r="4278" customFormat="false" ht="15" hidden="false" customHeight="true" outlineLevel="0" collapsed="false">
      <c r="G4278" s="1" t="str">
        <f aca="false">IF(C4278="","",INDEX(Akaun!$F$5:$F$150,MATCH(C4278,Akaun!$A$5:$A$150,0)))</f>
        <v/>
      </c>
      <c r="H4278" s="1" t="str">
        <f aca="false">IF(C4278="","",INDEX(Akaun!$D$5:$D$150,MATCH(C4278,Akaun!$A$5:$A$150,0)))</f>
        <v/>
      </c>
    </row>
    <row r="4279" customFormat="false" ht="15" hidden="false" customHeight="true" outlineLevel="0" collapsed="false">
      <c r="G4279" s="1" t="str">
        <f aca="false">IF(C4279="","",INDEX(Akaun!$F$5:$F$150,MATCH(C4279,Akaun!$A$5:$A$150,0)))</f>
        <v/>
      </c>
      <c r="H4279" s="1" t="str">
        <f aca="false">IF(C4279="","",INDEX(Akaun!$D$5:$D$150,MATCH(C4279,Akaun!$A$5:$A$150,0)))</f>
        <v/>
      </c>
    </row>
    <row r="4280" customFormat="false" ht="15" hidden="false" customHeight="true" outlineLevel="0" collapsed="false">
      <c r="G4280" s="1" t="str">
        <f aca="false">IF(C4280="","",INDEX(Akaun!$F$5:$F$150,MATCH(C4280,Akaun!$A$5:$A$150,0)))</f>
        <v/>
      </c>
      <c r="H4280" s="1" t="str">
        <f aca="false">IF(C4280="","",INDEX(Akaun!$D$5:$D$150,MATCH(C4280,Akaun!$A$5:$A$150,0)))</f>
        <v/>
      </c>
    </row>
    <row r="4281" customFormat="false" ht="15" hidden="false" customHeight="true" outlineLevel="0" collapsed="false">
      <c r="G4281" s="1" t="str">
        <f aca="false">IF(C4281="","",INDEX(Akaun!$F$5:$F$150,MATCH(C4281,Akaun!$A$5:$A$150,0)))</f>
        <v/>
      </c>
      <c r="H4281" s="1" t="str">
        <f aca="false">IF(C4281="","",INDEX(Akaun!$D$5:$D$150,MATCH(C4281,Akaun!$A$5:$A$150,0)))</f>
        <v/>
      </c>
    </row>
    <row r="4282" customFormat="false" ht="15" hidden="false" customHeight="true" outlineLevel="0" collapsed="false">
      <c r="G4282" s="1" t="str">
        <f aca="false">IF(C4282="","",INDEX(Akaun!$F$5:$F$150,MATCH(C4282,Akaun!$A$5:$A$150,0)))</f>
        <v/>
      </c>
      <c r="H4282" s="1" t="str">
        <f aca="false">IF(C4282="","",INDEX(Akaun!$D$5:$D$150,MATCH(C4282,Akaun!$A$5:$A$150,0)))</f>
        <v/>
      </c>
    </row>
    <row r="4283" customFormat="false" ht="15" hidden="false" customHeight="true" outlineLevel="0" collapsed="false">
      <c r="G4283" s="1" t="str">
        <f aca="false">IF(C4283="","",INDEX(Akaun!$F$5:$F$150,MATCH(C4283,Akaun!$A$5:$A$150,0)))</f>
        <v/>
      </c>
      <c r="H4283" s="1" t="str">
        <f aca="false">IF(C4283="","",INDEX(Akaun!$D$5:$D$150,MATCH(C4283,Akaun!$A$5:$A$150,0)))</f>
        <v/>
      </c>
    </row>
    <row r="4284" customFormat="false" ht="15" hidden="false" customHeight="true" outlineLevel="0" collapsed="false">
      <c r="G4284" s="1" t="str">
        <f aca="false">IF(C4284="","",INDEX(Akaun!$F$5:$F$150,MATCH(C4284,Akaun!$A$5:$A$150,0)))</f>
        <v/>
      </c>
      <c r="H4284" s="1" t="str">
        <f aca="false">IF(C4284="","",INDEX(Akaun!$D$5:$D$150,MATCH(C4284,Akaun!$A$5:$A$150,0)))</f>
        <v/>
      </c>
    </row>
    <row r="4285" customFormat="false" ht="15" hidden="false" customHeight="true" outlineLevel="0" collapsed="false">
      <c r="G4285" s="1" t="str">
        <f aca="false">IF(C4285="","",INDEX(Akaun!$F$5:$F$150,MATCH(C4285,Akaun!$A$5:$A$150,0)))</f>
        <v/>
      </c>
      <c r="H4285" s="1" t="str">
        <f aca="false">IF(C4285="","",INDEX(Akaun!$D$5:$D$150,MATCH(C4285,Akaun!$A$5:$A$150,0)))</f>
        <v/>
      </c>
    </row>
    <row r="4286" customFormat="false" ht="15" hidden="false" customHeight="true" outlineLevel="0" collapsed="false">
      <c r="G4286" s="1" t="str">
        <f aca="false">IF(C4286="","",INDEX(Akaun!$F$5:$F$150,MATCH(C4286,Akaun!$A$5:$A$150,0)))</f>
        <v/>
      </c>
      <c r="H4286" s="1" t="str">
        <f aca="false">IF(C4286="","",INDEX(Akaun!$D$5:$D$150,MATCH(C4286,Akaun!$A$5:$A$150,0)))</f>
        <v/>
      </c>
    </row>
    <row r="4287" customFormat="false" ht="15" hidden="false" customHeight="true" outlineLevel="0" collapsed="false">
      <c r="G4287" s="1" t="str">
        <f aca="false">IF(C4287="","",INDEX(Akaun!$F$5:$F$150,MATCH(C4287,Akaun!$A$5:$A$150,0)))</f>
        <v/>
      </c>
      <c r="H4287" s="1" t="str">
        <f aca="false">IF(C4287="","",INDEX(Akaun!$D$5:$D$150,MATCH(C4287,Akaun!$A$5:$A$150,0)))</f>
        <v/>
      </c>
    </row>
    <row r="4288" customFormat="false" ht="15" hidden="false" customHeight="true" outlineLevel="0" collapsed="false">
      <c r="G4288" s="1" t="str">
        <f aca="false">IF(C4288="","",INDEX(Akaun!$F$5:$F$150,MATCH(C4288,Akaun!$A$5:$A$150,0)))</f>
        <v/>
      </c>
      <c r="H4288" s="1" t="str">
        <f aca="false">IF(C4288="","",INDEX(Akaun!$D$5:$D$150,MATCH(C4288,Akaun!$A$5:$A$150,0)))</f>
        <v/>
      </c>
    </row>
    <row r="4289" customFormat="false" ht="15" hidden="false" customHeight="true" outlineLevel="0" collapsed="false">
      <c r="G4289" s="1" t="str">
        <f aca="false">IF(C4289="","",INDEX(Akaun!$F$5:$F$150,MATCH(C4289,Akaun!$A$5:$A$150,0)))</f>
        <v/>
      </c>
      <c r="H4289" s="1" t="str">
        <f aca="false">IF(C4289="","",INDEX(Akaun!$D$5:$D$150,MATCH(C4289,Akaun!$A$5:$A$150,0)))</f>
        <v/>
      </c>
    </row>
    <row r="4290" customFormat="false" ht="15" hidden="false" customHeight="true" outlineLevel="0" collapsed="false">
      <c r="G4290" s="1" t="str">
        <f aca="false">IF(C4290="","",INDEX(Akaun!$F$5:$F$150,MATCH(C4290,Akaun!$A$5:$A$150,0)))</f>
        <v/>
      </c>
      <c r="H4290" s="1" t="str">
        <f aca="false">IF(C4290="","",INDEX(Akaun!$D$5:$D$150,MATCH(C4290,Akaun!$A$5:$A$150,0)))</f>
        <v/>
      </c>
    </row>
    <row r="4291" customFormat="false" ht="15" hidden="false" customHeight="true" outlineLevel="0" collapsed="false">
      <c r="G4291" s="1" t="str">
        <f aca="false">IF(C4291="","",INDEX(Akaun!$F$5:$F$150,MATCH(C4291,Akaun!$A$5:$A$150,0)))</f>
        <v/>
      </c>
      <c r="H4291" s="1" t="str">
        <f aca="false">IF(C4291="","",INDEX(Akaun!$D$5:$D$150,MATCH(C4291,Akaun!$A$5:$A$150,0)))</f>
        <v/>
      </c>
    </row>
    <row r="4292" customFormat="false" ht="15" hidden="false" customHeight="true" outlineLevel="0" collapsed="false">
      <c r="G4292" s="1" t="str">
        <f aca="false">IF(C4292="","",INDEX(Akaun!$F$5:$F$150,MATCH(C4292,Akaun!$A$5:$A$150,0)))</f>
        <v/>
      </c>
      <c r="H4292" s="1" t="str">
        <f aca="false">IF(C4292="","",INDEX(Akaun!$D$5:$D$150,MATCH(C4292,Akaun!$A$5:$A$150,0)))</f>
        <v/>
      </c>
    </row>
    <row r="4293" customFormat="false" ht="15" hidden="false" customHeight="true" outlineLevel="0" collapsed="false">
      <c r="G4293" s="1" t="str">
        <f aca="false">IF(C4293="","",INDEX(Akaun!$F$5:$F$150,MATCH(C4293,Akaun!$A$5:$A$150,0)))</f>
        <v/>
      </c>
      <c r="H4293" s="1" t="str">
        <f aca="false">IF(C4293="","",INDEX(Akaun!$D$5:$D$150,MATCH(C4293,Akaun!$A$5:$A$150,0)))</f>
        <v/>
      </c>
    </row>
    <row r="4294" customFormat="false" ht="15" hidden="false" customHeight="true" outlineLevel="0" collapsed="false">
      <c r="G4294" s="1" t="str">
        <f aca="false">IF(C4294="","",INDEX(Akaun!$F$5:$F$150,MATCH(C4294,Akaun!$A$5:$A$150,0)))</f>
        <v/>
      </c>
      <c r="H4294" s="1" t="str">
        <f aca="false">IF(C4294="","",INDEX(Akaun!$D$5:$D$150,MATCH(C4294,Akaun!$A$5:$A$150,0)))</f>
        <v/>
      </c>
    </row>
    <row r="4295" customFormat="false" ht="15" hidden="false" customHeight="true" outlineLevel="0" collapsed="false">
      <c r="G4295" s="1" t="str">
        <f aca="false">IF(C4295="","",INDEX(Akaun!$F$5:$F$150,MATCH(C4295,Akaun!$A$5:$A$150,0)))</f>
        <v/>
      </c>
      <c r="H4295" s="1" t="str">
        <f aca="false">IF(C4295="","",INDEX(Akaun!$D$5:$D$150,MATCH(C4295,Akaun!$A$5:$A$150,0)))</f>
        <v/>
      </c>
    </row>
    <row r="4296" customFormat="false" ht="15" hidden="false" customHeight="true" outlineLevel="0" collapsed="false">
      <c r="G4296" s="1" t="str">
        <f aca="false">IF(C4296="","",INDEX(Akaun!$F$5:$F$150,MATCH(C4296,Akaun!$A$5:$A$150,0)))</f>
        <v/>
      </c>
      <c r="H4296" s="1" t="str">
        <f aca="false">IF(C4296="","",INDEX(Akaun!$D$5:$D$150,MATCH(C4296,Akaun!$A$5:$A$150,0)))</f>
        <v/>
      </c>
    </row>
    <row r="4297" customFormat="false" ht="15" hidden="false" customHeight="true" outlineLevel="0" collapsed="false">
      <c r="G4297" s="1" t="str">
        <f aca="false">IF(C4297="","",INDEX(Akaun!$F$5:$F$150,MATCH(C4297,Akaun!$A$5:$A$150,0)))</f>
        <v/>
      </c>
      <c r="H4297" s="1" t="str">
        <f aca="false">IF(C4297="","",INDEX(Akaun!$D$5:$D$150,MATCH(C4297,Akaun!$A$5:$A$150,0)))</f>
        <v/>
      </c>
    </row>
    <row r="4298" customFormat="false" ht="15" hidden="false" customHeight="true" outlineLevel="0" collapsed="false">
      <c r="G4298" s="1" t="str">
        <f aca="false">IF(C4298="","",INDEX(Akaun!$F$5:$F$150,MATCH(C4298,Akaun!$A$5:$A$150,0)))</f>
        <v/>
      </c>
      <c r="H4298" s="1" t="str">
        <f aca="false">IF(C4298="","",INDEX(Akaun!$D$5:$D$150,MATCH(C4298,Akaun!$A$5:$A$150,0)))</f>
        <v/>
      </c>
    </row>
    <row r="4299" customFormat="false" ht="15" hidden="false" customHeight="true" outlineLevel="0" collapsed="false">
      <c r="G4299" s="1" t="str">
        <f aca="false">IF(C4299="","",INDEX(Akaun!$F$5:$F$150,MATCH(C4299,Akaun!$A$5:$A$150,0)))</f>
        <v/>
      </c>
      <c r="H4299" s="1" t="str">
        <f aca="false">IF(C4299="","",INDEX(Akaun!$D$5:$D$150,MATCH(C4299,Akaun!$A$5:$A$150,0)))</f>
        <v/>
      </c>
    </row>
    <row r="4300" customFormat="false" ht="15" hidden="false" customHeight="true" outlineLevel="0" collapsed="false">
      <c r="G4300" s="1" t="str">
        <f aca="false">IF(C4300="","",INDEX(Akaun!$F$5:$F$150,MATCH(C4300,Akaun!$A$5:$A$150,0)))</f>
        <v/>
      </c>
      <c r="H4300" s="1" t="str">
        <f aca="false">IF(C4300="","",INDEX(Akaun!$D$5:$D$150,MATCH(C4300,Akaun!$A$5:$A$150,0)))</f>
        <v/>
      </c>
    </row>
    <row r="4301" customFormat="false" ht="15" hidden="false" customHeight="true" outlineLevel="0" collapsed="false">
      <c r="G4301" s="1" t="str">
        <f aca="false">IF(C4301="","",INDEX(Akaun!$F$5:$F$150,MATCH(C4301,Akaun!$A$5:$A$150,0)))</f>
        <v/>
      </c>
      <c r="H4301" s="1" t="str">
        <f aca="false">IF(C4301="","",INDEX(Akaun!$D$5:$D$150,MATCH(C4301,Akaun!$A$5:$A$150,0)))</f>
        <v/>
      </c>
    </row>
    <row r="4302" customFormat="false" ht="15" hidden="false" customHeight="true" outlineLevel="0" collapsed="false">
      <c r="G4302" s="1" t="str">
        <f aca="false">IF(C4302="","",INDEX(Akaun!$F$5:$F$150,MATCH(C4302,Akaun!$A$5:$A$150,0)))</f>
        <v/>
      </c>
      <c r="H4302" s="1" t="str">
        <f aca="false">IF(C4302="","",INDEX(Akaun!$D$5:$D$150,MATCH(C4302,Akaun!$A$5:$A$150,0)))</f>
        <v/>
      </c>
    </row>
    <row r="4303" customFormat="false" ht="15" hidden="false" customHeight="true" outlineLevel="0" collapsed="false">
      <c r="G4303" s="1" t="str">
        <f aca="false">IF(C4303="","",INDEX(Akaun!$F$5:$F$150,MATCH(C4303,Akaun!$A$5:$A$150,0)))</f>
        <v/>
      </c>
      <c r="H4303" s="1" t="str">
        <f aca="false">IF(C4303="","",INDEX(Akaun!$D$5:$D$150,MATCH(C4303,Akaun!$A$5:$A$150,0)))</f>
        <v/>
      </c>
    </row>
    <row r="4304" customFormat="false" ht="15" hidden="false" customHeight="true" outlineLevel="0" collapsed="false">
      <c r="G4304" s="1" t="str">
        <f aca="false">IF(C4304="","",INDEX(Akaun!$F$5:$F$150,MATCH(C4304,Akaun!$A$5:$A$150,0)))</f>
        <v/>
      </c>
      <c r="H4304" s="1" t="str">
        <f aca="false">IF(C4304="","",INDEX(Akaun!$D$5:$D$150,MATCH(C4304,Akaun!$A$5:$A$150,0)))</f>
        <v/>
      </c>
    </row>
    <row r="4305" customFormat="false" ht="15" hidden="false" customHeight="true" outlineLevel="0" collapsed="false">
      <c r="G4305" s="1" t="str">
        <f aca="false">IF(C4305="","",INDEX(Akaun!$F$5:$F$150,MATCH(C4305,Akaun!$A$5:$A$150,0)))</f>
        <v/>
      </c>
      <c r="H4305" s="1" t="str">
        <f aca="false">IF(C4305="","",INDEX(Akaun!$D$5:$D$150,MATCH(C4305,Akaun!$A$5:$A$150,0)))</f>
        <v/>
      </c>
    </row>
    <row r="4306" customFormat="false" ht="15" hidden="false" customHeight="true" outlineLevel="0" collapsed="false">
      <c r="G4306" s="1" t="str">
        <f aca="false">IF(C4306="","",INDEX(Akaun!$F$5:$F$150,MATCH(C4306,Akaun!$A$5:$A$150,0)))</f>
        <v/>
      </c>
      <c r="H4306" s="1" t="str">
        <f aca="false">IF(C4306="","",INDEX(Akaun!$D$5:$D$150,MATCH(C4306,Akaun!$A$5:$A$150,0)))</f>
        <v/>
      </c>
    </row>
    <row r="4307" customFormat="false" ht="15" hidden="false" customHeight="true" outlineLevel="0" collapsed="false">
      <c r="G4307" s="1" t="str">
        <f aca="false">IF(C4307="","",INDEX(Akaun!$F$5:$F$150,MATCH(C4307,Akaun!$A$5:$A$150,0)))</f>
        <v/>
      </c>
      <c r="H4307" s="1" t="str">
        <f aca="false">IF(C4307="","",INDEX(Akaun!$D$5:$D$150,MATCH(C4307,Akaun!$A$5:$A$150,0)))</f>
        <v/>
      </c>
    </row>
    <row r="4308" customFormat="false" ht="15" hidden="false" customHeight="true" outlineLevel="0" collapsed="false">
      <c r="G4308" s="1" t="str">
        <f aca="false">IF(C4308="","",INDEX(Akaun!$F$5:$F$150,MATCH(C4308,Akaun!$A$5:$A$150,0)))</f>
        <v/>
      </c>
      <c r="H4308" s="1" t="str">
        <f aca="false">IF(C4308="","",INDEX(Akaun!$D$5:$D$150,MATCH(C4308,Akaun!$A$5:$A$150,0)))</f>
        <v/>
      </c>
    </row>
    <row r="4309" customFormat="false" ht="15" hidden="false" customHeight="true" outlineLevel="0" collapsed="false">
      <c r="G4309" s="1" t="str">
        <f aca="false">IF(C4309="","",INDEX(Akaun!$F$5:$F$150,MATCH(C4309,Akaun!$A$5:$A$150,0)))</f>
        <v/>
      </c>
      <c r="H4309" s="1" t="str">
        <f aca="false">IF(C4309="","",INDEX(Akaun!$D$5:$D$150,MATCH(C4309,Akaun!$A$5:$A$150,0)))</f>
        <v/>
      </c>
    </row>
    <row r="4310" customFormat="false" ht="15" hidden="false" customHeight="true" outlineLevel="0" collapsed="false">
      <c r="G4310" s="1" t="str">
        <f aca="false">IF(C4310="","",INDEX(Akaun!$F$5:$F$150,MATCH(C4310,Akaun!$A$5:$A$150,0)))</f>
        <v/>
      </c>
      <c r="H4310" s="1" t="str">
        <f aca="false">IF(C4310="","",INDEX(Akaun!$D$5:$D$150,MATCH(C4310,Akaun!$A$5:$A$150,0)))</f>
        <v/>
      </c>
    </row>
    <row r="4311" customFormat="false" ht="15" hidden="false" customHeight="true" outlineLevel="0" collapsed="false">
      <c r="G4311" s="1" t="str">
        <f aca="false">IF(C4311="","",INDEX(Akaun!$F$5:$F$150,MATCH(C4311,Akaun!$A$5:$A$150,0)))</f>
        <v/>
      </c>
      <c r="H4311" s="1" t="str">
        <f aca="false">IF(C4311="","",INDEX(Akaun!$D$5:$D$150,MATCH(C4311,Akaun!$A$5:$A$150,0)))</f>
        <v/>
      </c>
    </row>
    <row r="4312" customFormat="false" ht="15" hidden="false" customHeight="true" outlineLevel="0" collapsed="false">
      <c r="G4312" s="1" t="str">
        <f aca="false">IF(C4312="","",INDEX(Akaun!$F$5:$F$150,MATCH(C4312,Akaun!$A$5:$A$150,0)))</f>
        <v/>
      </c>
      <c r="H4312" s="1" t="str">
        <f aca="false">IF(C4312="","",INDEX(Akaun!$D$5:$D$150,MATCH(C4312,Akaun!$A$5:$A$150,0)))</f>
        <v/>
      </c>
    </row>
    <row r="4313" customFormat="false" ht="15" hidden="false" customHeight="true" outlineLevel="0" collapsed="false">
      <c r="G4313" s="1" t="str">
        <f aca="false">IF(C4313="","",INDEX(Akaun!$F$5:$F$150,MATCH(C4313,Akaun!$A$5:$A$150,0)))</f>
        <v/>
      </c>
      <c r="H4313" s="1" t="str">
        <f aca="false">IF(C4313="","",INDEX(Akaun!$D$5:$D$150,MATCH(C4313,Akaun!$A$5:$A$150,0)))</f>
        <v/>
      </c>
    </row>
    <row r="4314" customFormat="false" ht="15" hidden="false" customHeight="true" outlineLevel="0" collapsed="false">
      <c r="G4314" s="1" t="str">
        <f aca="false">IF(C4314="","",INDEX(Akaun!$F$5:$F$150,MATCH(C4314,Akaun!$A$5:$A$150,0)))</f>
        <v/>
      </c>
      <c r="H4314" s="1" t="str">
        <f aca="false">IF(C4314="","",INDEX(Akaun!$D$5:$D$150,MATCH(C4314,Akaun!$A$5:$A$150,0)))</f>
        <v/>
      </c>
    </row>
    <row r="4315" customFormat="false" ht="15" hidden="false" customHeight="true" outlineLevel="0" collapsed="false">
      <c r="G4315" s="1" t="str">
        <f aca="false">IF(C4315="","",INDEX(Akaun!$F$5:$F$150,MATCH(C4315,Akaun!$A$5:$A$150,0)))</f>
        <v/>
      </c>
      <c r="H4315" s="1" t="str">
        <f aca="false">IF(C4315="","",INDEX(Akaun!$D$5:$D$150,MATCH(C4315,Akaun!$A$5:$A$150,0)))</f>
        <v/>
      </c>
    </row>
    <row r="4316" customFormat="false" ht="15" hidden="false" customHeight="true" outlineLevel="0" collapsed="false">
      <c r="G4316" s="1" t="str">
        <f aca="false">IF(C4316="","",INDEX(Akaun!$F$5:$F$150,MATCH(C4316,Akaun!$A$5:$A$150,0)))</f>
        <v/>
      </c>
      <c r="H4316" s="1" t="str">
        <f aca="false">IF(C4316="","",INDEX(Akaun!$D$5:$D$150,MATCH(C4316,Akaun!$A$5:$A$150,0)))</f>
        <v/>
      </c>
    </row>
    <row r="4317" customFormat="false" ht="15" hidden="false" customHeight="true" outlineLevel="0" collapsed="false">
      <c r="G4317" s="1" t="str">
        <f aca="false">IF(C4317="","",INDEX(Akaun!$F$5:$F$150,MATCH(C4317,Akaun!$A$5:$A$150,0)))</f>
        <v/>
      </c>
      <c r="H4317" s="1" t="str">
        <f aca="false">IF(C4317="","",INDEX(Akaun!$D$5:$D$150,MATCH(C4317,Akaun!$A$5:$A$150,0)))</f>
        <v/>
      </c>
    </row>
    <row r="4318" customFormat="false" ht="15" hidden="false" customHeight="true" outlineLevel="0" collapsed="false">
      <c r="G4318" s="1" t="str">
        <f aca="false">IF(C4318="","",INDEX(Akaun!$F$5:$F$150,MATCH(C4318,Akaun!$A$5:$A$150,0)))</f>
        <v/>
      </c>
      <c r="H4318" s="1" t="str">
        <f aca="false">IF(C4318="","",INDEX(Akaun!$D$5:$D$150,MATCH(C4318,Akaun!$A$5:$A$150,0)))</f>
        <v/>
      </c>
    </row>
    <row r="4319" customFormat="false" ht="15" hidden="false" customHeight="true" outlineLevel="0" collapsed="false">
      <c r="G4319" s="1" t="str">
        <f aca="false">IF(C4319="","",INDEX(Akaun!$F$5:$F$150,MATCH(C4319,Akaun!$A$5:$A$150,0)))</f>
        <v/>
      </c>
      <c r="H4319" s="1" t="str">
        <f aca="false">IF(C4319="","",INDEX(Akaun!$D$5:$D$150,MATCH(C4319,Akaun!$A$5:$A$150,0)))</f>
        <v/>
      </c>
    </row>
    <row r="4320" customFormat="false" ht="15" hidden="false" customHeight="true" outlineLevel="0" collapsed="false">
      <c r="G4320" s="1" t="str">
        <f aca="false">IF(C4320="","",INDEX(Akaun!$F$5:$F$150,MATCH(C4320,Akaun!$A$5:$A$150,0)))</f>
        <v/>
      </c>
      <c r="H4320" s="1" t="str">
        <f aca="false">IF(C4320="","",INDEX(Akaun!$D$5:$D$150,MATCH(C4320,Akaun!$A$5:$A$150,0)))</f>
        <v/>
      </c>
    </row>
    <row r="4321" customFormat="false" ht="15" hidden="false" customHeight="true" outlineLevel="0" collapsed="false">
      <c r="G4321" s="1" t="str">
        <f aca="false">IF(C4321="","",INDEX(Akaun!$F$5:$F$150,MATCH(C4321,Akaun!$A$5:$A$150,0)))</f>
        <v/>
      </c>
      <c r="H4321" s="1" t="str">
        <f aca="false">IF(C4321="","",INDEX(Akaun!$D$5:$D$150,MATCH(C4321,Akaun!$A$5:$A$150,0)))</f>
        <v/>
      </c>
    </row>
    <row r="4322" customFormat="false" ht="15" hidden="false" customHeight="true" outlineLevel="0" collapsed="false">
      <c r="G4322" s="1" t="str">
        <f aca="false">IF(C4322="","",INDEX(Akaun!$F$5:$F$150,MATCH(C4322,Akaun!$A$5:$A$150,0)))</f>
        <v/>
      </c>
      <c r="H4322" s="1" t="str">
        <f aca="false">IF(C4322="","",INDEX(Akaun!$D$5:$D$150,MATCH(C4322,Akaun!$A$5:$A$150,0)))</f>
        <v/>
      </c>
    </row>
    <row r="4323" customFormat="false" ht="15" hidden="false" customHeight="true" outlineLevel="0" collapsed="false">
      <c r="G4323" s="1" t="str">
        <f aca="false">IF(C4323="","",INDEX(Akaun!$F$5:$F$150,MATCH(C4323,Akaun!$A$5:$A$150,0)))</f>
        <v/>
      </c>
      <c r="H4323" s="1" t="str">
        <f aca="false">IF(C4323="","",INDEX(Akaun!$D$5:$D$150,MATCH(C4323,Akaun!$A$5:$A$150,0)))</f>
        <v/>
      </c>
    </row>
    <row r="4324" customFormat="false" ht="15" hidden="false" customHeight="true" outlineLevel="0" collapsed="false">
      <c r="G4324" s="1" t="str">
        <f aca="false">IF(C4324="","",INDEX(Akaun!$F$5:$F$150,MATCH(C4324,Akaun!$A$5:$A$150,0)))</f>
        <v/>
      </c>
      <c r="H4324" s="1" t="str">
        <f aca="false">IF(C4324="","",INDEX(Akaun!$D$5:$D$150,MATCH(C4324,Akaun!$A$5:$A$150,0)))</f>
        <v/>
      </c>
    </row>
    <row r="4325" customFormat="false" ht="15" hidden="false" customHeight="true" outlineLevel="0" collapsed="false">
      <c r="G4325" s="1" t="str">
        <f aca="false">IF(C4325="","",INDEX(Akaun!$F$5:$F$150,MATCH(C4325,Akaun!$A$5:$A$150,0)))</f>
        <v/>
      </c>
      <c r="H4325" s="1" t="str">
        <f aca="false">IF(C4325="","",INDEX(Akaun!$D$5:$D$150,MATCH(C4325,Akaun!$A$5:$A$150,0)))</f>
        <v/>
      </c>
    </row>
    <row r="4326" customFormat="false" ht="15" hidden="false" customHeight="true" outlineLevel="0" collapsed="false">
      <c r="G4326" s="1" t="str">
        <f aca="false">IF(C4326="","",INDEX(Akaun!$F$5:$F$150,MATCH(C4326,Akaun!$A$5:$A$150,0)))</f>
        <v/>
      </c>
      <c r="H4326" s="1" t="str">
        <f aca="false">IF(C4326="","",INDEX(Akaun!$D$5:$D$150,MATCH(C4326,Akaun!$A$5:$A$150,0)))</f>
        <v/>
      </c>
    </row>
    <row r="4327" customFormat="false" ht="15" hidden="false" customHeight="true" outlineLevel="0" collapsed="false">
      <c r="G4327" s="1" t="str">
        <f aca="false">IF(C4327="","",INDEX(Akaun!$F$5:$F$150,MATCH(C4327,Akaun!$A$5:$A$150,0)))</f>
        <v/>
      </c>
      <c r="H4327" s="1" t="str">
        <f aca="false">IF(C4327="","",INDEX(Akaun!$D$5:$D$150,MATCH(C4327,Akaun!$A$5:$A$150,0)))</f>
        <v/>
      </c>
    </row>
    <row r="4328" customFormat="false" ht="15" hidden="false" customHeight="true" outlineLevel="0" collapsed="false">
      <c r="G4328" s="1" t="str">
        <f aca="false">IF(C4328="","",INDEX(Akaun!$F$5:$F$150,MATCH(C4328,Akaun!$A$5:$A$150,0)))</f>
        <v/>
      </c>
      <c r="H4328" s="1" t="str">
        <f aca="false">IF(C4328="","",INDEX(Akaun!$D$5:$D$150,MATCH(C4328,Akaun!$A$5:$A$150,0)))</f>
        <v/>
      </c>
    </row>
    <row r="4329" customFormat="false" ht="15" hidden="false" customHeight="true" outlineLevel="0" collapsed="false">
      <c r="G4329" s="1" t="str">
        <f aca="false">IF(C4329="","",INDEX(Akaun!$F$5:$F$150,MATCH(C4329,Akaun!$A$5:$A$150,0)))</f>
        <v/>
      </c>
      <c r="H4329" s="1" t="str">
        <f aca="false">IF(C4329="","",INDEX(Akaun!$D$5:$D$150,MATCH(C4329,Akaun!$A$5:$A$150,0)))</f>
        <v/>
      </c>
    </row>
    <row r="4330" customFormat="false" ht="15" hidden="false" customHeight="true" outlineLevel="0" collapsed="false">
      <c r="G4330" s="1" t="str">
        <f aca="false">IF(C4330="","",INDEX(Akaun!$F$5:$F$150,MATCH(C4330,Akaun!$A$5:$A$150,0)))</f>
        <v/>
      </c>
      <c r="H4330" s="1" t="str">
        <f aca="false">IF(C4330="","",INDEX(Akaun!$D$5:$D$150,MATCH(C4330,Akaun!$A$5:$A$150,0)))</f>
        <v/>
      </c>
    </row>
    <row r="4331" customFormat="false" ht="15" hidden="false" customHeight="true" outlineLevel="0" collapsed="false">
      <c r="G4331" s="1" t="str">
        <f aca="false">IF(C4331="","",INDEX(Akaun!$F$5:$F$150,MATCH(C4331,Akaun!$A$5:$A$150,0)))</f>
        <v/>
      </c>
      <c r="H4331" s="1" t="str">
        <f aca="false">IF(C4331="","",INDEX(Akaun!$D$5:$D$150,MATCH(C4331,Akaun!$A$5:$A$150,0)))</f>
        <v/>
      </c>
    </row>
    <row r="4332" customFormat="false" ht="15" hidden="false" customHeight="true" outlineLevel="0" collapsed="false">
      <c r="G4332" s="1" t="str">
        <f aca="false">IF(C4332="","",INDEX(Akaun!$F$5:$F$150,MATCH(C4332,Akaun!$A$5:$A$150,0)))</f>
        <v/>
      </c>
      <c r="H4332" s="1" t="str">
        <f aca="false">IF(C4332="","",INDEX(Akaun!$D$5:$D$150,MATCH(C4332,Akaun!$A$5:$A$150,0)))</f>
        <v/>
      </c>
    </row>
    <row r="4333" customFormat="false" ht="15" hidden="false" customHeight="true" outlineLevel="0" collapsed="false">
      <c r="G4333" s="1" t="str">
        <f aca="false">IF(C4333="","",INDEX(Akaun!$F$5:$F$150,MATCH(C4333,Akaun!$A$5:$A$150,0)))</f>
        <v/>
      </c>
      <c r="H4333" s="1" t="str">
        <f aca="false">IF(C4333="","",INDEX(Akaun!$D$5:$D$150,MATCH(C4333,Akaun!$A$5:$A$150,0)))</f>
        <v/>
      </c>
    </row>
    <row r="4334" customFormat="false" ht="15" hidden="false" customHeight="true" outlineLevel="0" collapsed="false">
      <c r="G4334" s="1" t="str">
        <f aca="false">IF(C4334="","",INDEX(Akaun!$F$5:$F$150,MATCH(C4334,Akaun!$A$5:$A$150,0)))</f>
        <v/>
      </c>
      <c r="H4334" s="1" t="str">
        <f aca="false">IF(C4334="","",INDEX(Akaun!$D$5:$D$150,MATCH(C4334,Akaun!$A$5:$A$150,0)))</f>
        <v/>
      </c>
    </row>
    <row r="4335" customFormat="false" ht="15" hidden="false" customHeight="true" outlineLevel="0" collapsed="false">
      <c r="G4335" s="1" t="str">
        <f aca="false">IF(C4335="","",INDEX(Akaun!$F$5:$F$150,MATCH(C4335,Akaun!$A$5:$A$150,0)))</f>
        <v/>
      </c>
      <c r="H4335" s="1" t="str">
        <f aca="false">IF(C4335="","",INDEX(Akaun!$D$5:$D$150,MATCH(C4335,Akaun!$A$5:$A$150,0)))</f>
        <v/>
      </c>
    </row>
    <row r="4336" customFormat="false" ht="15" hidden="false" customHeight="true" outlineLevel="0" collapsed="false">
      <c r="G4336" s="1" t="str">
        <f aca="false">IF(C4336="","",INDEX(Akaun!$F$5:$F$150,MATCH(C4336,Akaun!$A$5:$A$150,0)))</f>
        <v/>
      </c>
      <c r="H4336" s="1" t="str">
        <f aca="false">IF(C4336="","",INDEX(Akaun!$D$5:$D$150,MATCH(C4336,Akaun!$A$5:$A$150,0)))</f>
        <v/>
      </c>
    </row>
    <row r="4337" customFormat="false" ht="15" hidden="false" customHeight="true" outlineLevel="0" collapsed="false">
      <c r="G4337" s="1" t="str">
        <f aca="false">IF(C4337="","",INDEX(Akaun!$F$5:$F$150,MATCH(C4337,Akaun!$A$5:$A$150,0)))</f>
        <v/>
      </c>
      <c r="H4337" s="1" t="str">
        <f aca="false">IF(C4337="","",INDEX(Akaun!$D$5:$D$150,MATCH(C4337,Akaun!$A$5:$A$150,0)))</f>
        <v/>
      </c>
    </row>
    <row r="4338" customFormat="false" ht="15" hidden="false" customHeight="true" outlineLevel="0" collapsed="false">
      <c r="G4338" s="1" t="str">
        <f aca="false">IF(C4338="","",INDEX(Akaun!$F$5:$F$150,MATCH(C4338,Akaun!$A$5:$A$150,0)))</f>
        <v/>
      </c>
      <c r="H4338" s="1" t="str">
        <f aca="false">IF(C4338="","",INDEX(Akaun!$D$5:$D$150,MATCH(C4338,Akaun!$A$5:$A$150,0)))</f>
        <v/>
      </c>
    </row>
    <row r="4339" customFormat="false" ht="15" hidden="false" customHeight="true" outlineLevel="0" collapsed="false">
      <c r="G4339" s="1" t="str">
        <f aca="false">IF(C4339="","",INDEX(Akaun!$F$5:$F$150,MATCH(C4339,Akaun!$A$5:$A$150,0)))</f>
        <v/>
      </c>
      <c r="H4339" s="1" t="str">
        <f aca="false">IF(C4339="","",INDEX(Akaun!$D$5:$D$150,MATCH(C4339,Akaun!$A$5:$A$150,0)))</f>
        <v/>
      </c>
    </row>
    <row r="4340" customFormat="false" ht="15" hidden="false" customHeight="true" outlineLevel="0" collapsed="false">
      <c r="G4340" s="1" t="str">
        <f aca="false">IF(C4340="","",INDEX(Akaun!$F$5:$F$150,MATCH(C4340,Akaun!$A$5:$A$150,0)))</f>
        <v/>
      </c>
      <c r="H4340" s="1" t="str">
        <f aca="false">IF(C4340="","",INDEX(Akaun!$D$5:$D$150,MATCH(C4340,Akaun!$A$5:$A$150,0)))</f>
        <v/>
      </c>
    </row>
    <row r="4341" customFormat="false" ht="15" hidden="false" customHeight="true" outlineLevel="0" collapsed="false">
      <c r="G4341" s="1" t="str">
        <f aca="false">IF(C4341="","",INDEX(Akaun!$F$5:$F$150,MATCH(C4341,Akaun!$A$5:$A$150,0)))</f>
        <v/>
      </c>
      <c r="H4341" s="1" t="str">
        <f aca="false">IF(C4341="","",INDEX(Akaun!$D$5:$D$150,MATCH(C4341,Akaun!$A$5:$A$150,0)))</f>
        <v/>
      </c>
    </row>
    <row r="4342" customFormat="false" ht="15" hidden="false" customHeight="true" outlineLevel="0" collapsed="false">
      <c r="G4342" s="1" t="str">
        <f aca="false">IF(C4342="","",INDEX(Akaun!$F$5:$F$150,MATCH(C4342,Akaun!$A$5:$A$150,0)))</f>
        <v/>
      </c>
      <c r="H4342" s="1" t="str">
        <f aca="false">IF(C4342="","",INDEX(Akaun!$D$5:$D$150,MATCH(C4342,Akaun!$A$5:$A$150,0)))</f>
        <v/>
      </c>
    </row>
    <row r="4343" customFormat="false" ht="15" hidden="false" customHeight="true" outlineLevel="0" collapsed="false">
      <c r="G4343" s="1" t="str">
        <f aca="false">IF(C4343="","",INDEX(Akaun!$F$5:$F$150,MATCH(C4343,Akaun!$A$5:$A$150,0)))</f>
        <v/>
      </c>
      <c r="H4343" s="1" t="str">
        <f aca="false">IF(C4343="","",INDEX(Akaun!$D$5:$D$150,MATCH(C4343,Akaun!$A$5:$A$150,0)))</f>
        <v/>
      </c>
    </row>
    <row r="4344" customFormat="false" ht="15" hidden="false" customHeight="true" outlineLevel="0" collapsed="false">
      <c r="G4344" s="1" t="str">
        <f aca="false">IF(C4344="","",INDEX(Akaun!$F$5:$F$150,MATCH(C4344,Akaun!$A$5:$A$150,0)))</f>
        <v/>
      </c>
      <c r="H4344" s="1" t="str">
        <f aca="false">IF(C4344="","",INDEX(Akaun!$D$5:$D$150,MATCH(C4344,Akaun!$A$5:$A$150,0)))</f>
        <v/>
      </c>
    </row>
    <row r="4345" customFormat="false" ht="15" hidden="false" customHeight="true" outlineLevel="0" collapsed="false">
      <c r="G4345" s="1" t="str">
        <f aca="false">IF(C4345="","",INDEX(Akaun!$F$5:$F$150,MATCH(C4345,Akaun!$A$5:$A$150,0)))</f>
        <v/>
      </c>
      <c r="H4345" s="1" t="str">
        <f aca="false">IF(C4345="","",INDEX(Akaun!$D$5:$D$150,MATCH(C4345,Akaun!$A$5:$A$150,0)))</f>
        <v/>
      </c>
    </row>
    <row r="4346" customFormat="false" ht="15" hidden="false" customHeight="true" outlineLevel="0" collapsed="false">
      <c r="G4346" s="1" t="str">
        <f aca="false">IF(C4346="","",INDEX(Akaun!$F$5:$F$150,MATCH(C4346,Akaun!$A$5:$A$150,0)))</f>
        <v/>
      </c>
      <c r="H4346" s="1" t="str">
        <f aca="false">IF(C4346="","",INDEX(Akaun!$D$5:$D$150,MATCH(C4346,Akaun!$A$5:$A$150,0)))</f>
        <v/>
      </c>
    </row>
    <row r="4347" customFormat="false" ht="15" hidden="false" customHeight="true" outlineLevel="0" collapsed="false">
      <c r="G4347" s="1" t="str">
        <f aca="false">IF(C4347="","",INDEX(Akaun!$F$5:$F$150,MATCH(C4347,Akaun!$A$5:$A$150,0)))</f>
        <v/>
      </c>
      <c r="H4347" s="1" t="str">
        <f aca="false">IF(C4347="","",INDEX(Akaun!$D$5:$D$150,MATCH(C4347,Akaun!$A$5:$A$150,0)))</f>
        <v/>
      </c>
    </row>
    <row r="4348" customFormat="false" ht="15" hidden="false" customHeight="true" outlineLevel="0" collapsed="false">
      <c r="G4348" s="1" t="str">
        <f aca="false">IF(C4348="","",INDEX(Akaun!$F$5:$F$150,MATCH(C4348,Akaun!$A$5:$A$150,0)))</f>
        <v/>
      </c>
      <c r="H4348" s="1" t="str">
        <f aca="false">IF(C4348="","",INDEX(Akaun!$D$5:$D$150,MATCH(C4348,Akaun!$A$5:$A$150,0)))</f>
        <v/>
      </c>
    </row>
    <row r="4349" customFormat="false" ht="15" hidden="false" customHeight="true" outlineLevel="0" collapsed="false">
      <c r="G4349" s="1" t="str">
        <f aca="false">IF(C4349="","",INDEX(Akaun!$F$5:$F$150,MATCH(C4349,Akaun!$A$5:$A$150,0)))</f>
        <v/>
      </c>
      <c r="H4349" s="1" t="str">
        <f aca="false">IF(C4349="","",INDEX(Akaun!$D$5:$D$150,MATCH(C4349,Akaun!$A$5:$A$150,0)))</f>
        <v/>
      </c>
    </row>
    <row r="4350" customFormat="false" ht="15" hidden="false" customHeight="true" outlineLevel="0" collapsed="false">
      <c r="G4350" s="1" t="str">
        <f aca="false">IF(C4350="","",INDEX(Akaun!$F$5:$F$150,MATCH(C4350,Akaun!$A$5:$A$150,0)))</f>
        <v/>
      </c>
      <c r="H4350" s="1" t="str">
        <f aca="false">IF(C4350="","",INDEX(Akaun!$D$5:$D$150,MATCH(C4350,Akaun!$A$5:$A$150,0)))</f>
        <v/>
      </c>
    </row>
    <row r="4351" customFormat="false" ht="15" hidden="false" customHeight="true" outlineLevel="0" collapsed="false">
      <c r="G4351" s="1" t="str">
        <f aca="false">IF(C4351="","",INDEX(Akaun!$F$5:$F$150,MATCH(C4351,Akaun!$A$5:$A$150,0)))</f>
        <v/>
      </c>
      <c r="H4351" s="1" t="str">
        <f aca="false">IF(C4351="","",INDEX(Akaun!$D$5:$D$150,MATCH(C4351,Akaun!$A$5:$A$150,0)))</f>
        <v/>
      </c>
    </row>
    <row r="4352" customFormat="false" ht="15" hidden="false" customHeight="true" outlineLevel="0" collapsed="false">
      <c r="G4352" s="1" t="str">
        <f aca="false">IF(C4352="","",INDEX(Akaun!$F$5:$F$150,MATCH(C4352,Akaun!$A$5:$A$150,0)))</f>
        <v/>
      </c>
      <c r="H4352" s="1" t="str">
        <f aca="false">IF(C4352="","",INDEX(Akaun!$D$5:$D$150,MATCH(C4352,Akaun!$A$5:$A$150,0)))</f>
        <v/>
      </c>
    </row>
    <row r="4353" customFormat="false" ht="15" hidden="false" customHeight="true" outlineLevel="0" collapsed="false">
      <c r="G4353" s="1" t="str">
        <f aca="false">IF(C4353="","",INDEX(Akaun!$F$5:$F$150,MATCH(C4353,Akaun!$A$5:$A$150,0)))</f>
        <v/>
      </c>
      <c r="H4353" s="1" t="str">
        <f aca="false">IF(C4353="","",INDEX(Akaun!$D$5:$D$150,MATCH(C4353,Akaun!$A$5:$A$150,0)))</f>
        <v/>
      </c>
    </row>
    <row r="4354" customFormat="false" ht="15" hidden="false" customHeight="true" outlineLevel="0" collapsed="false">
      <c r="G4354" s="1" t="str">
        <f aca="false">IF(C4354="","",INDEX(Akaun!$F$5:$F$150,MATCH(C4354,Akaun!$A$5:$A$150,0)))</f>
        <v/>
      </c>
      <c r="H4354" s="1" t="str">
        <f aca="false">IF(C4354="","",INDEX(Akaun!$D$5:$D$150,MATCH(C4354,Akaun!$A$5:$A$150,0)))</f>
        <v/>
      </c>
    </row>
    <row r="4355" customFormat="false" ht="15" hidden="false" customHeight="true" outlineLevel="0" collapsed="false">
      <c r="G4355" s="1" t="str">
        <f aca="false">IF(C4355="","",INDEX(Akaun!$F$5:$F$150,MATCH(C4355,Akaun!$A$5:$A$150,0)))</f>
        <v/>
      </c>
      <c r="H4355" s="1" t="str">
        <f aca="false">IF(C4355="","",INDEX(Akaun!$D$5:$D$150,MATCH(C4355,Akaun!$A$5:$A$150,0)))</f>
        <v/>
      </c>
    </row>
    <row r="4356" customFormat="false" ht="15" hidden="false" customHeight="true" outlineLevel="0" collapsed="false">
      <c r="G4356" s="1" t="str">
        <f aca="false">IF(C4356="","",INDEX(Akaun!$F$5:$F$150,MATCH(C4356,Akaun!$A$5:$A$150,0)))</f>
        <v/>
      </c>
      <c r="H4356" s="1" t="str">
        <f aca="false">IF(C4356="","",INDEX(Akaun!$D$5:$D$150,MATCH(C4356,Akaun!$A$5:$A$150,0)))</f>
        <v/>
      </c>
    </row>
    <row r="4357" customFormat="false" ht="15" hidden="false" customHeight="true" outlineLevel="0" collapsed="false">
      <c r="G4357" s="1" t="str">
        <f aca="false">IF(C4357="","",INDEX(Akaun!$F$5:$F$150,MATCH(C4357,Akaun!$A$5:$A$150,0)))</f>
        <v/>
      </c>
      <c r="H4357" s="1" t="str">
        <f aca="false">IF(C4357="","",INDEX(Akaun!$D$5:$D$150,MATCH(C4357,Akaun!$A$5:$A$150,0)))</f>
        <v/>
      </c>
    </row>
    <row r="4358" customFormat="false" ht="15" hidden="false" customHeight="true" outlineLevel="0" collapsed="false">
      <c r="G4358" s="1" t="str">
        <f aca="false">IF(C4358="","",INDEX(Akaun!$F$5:$F$150,MATCH(C4358,Akaun!$A$5:$A$150,0)))</f>
        <v/>
      </c>
      <c r="H4358" s="1" t="str">
        <f aca="false">IF(C4358="","",INDEX(Akaun!$D$5:$D$150,MATCH(C4358,Akaun!$A$5:$A$150,0)))</f>
        <v/>
      </c>
    </row>
    <row r="4359" customFormat="false" ht="15" hidden="false" customHeight="true" outlineLevel="0" collapsed="false">
      <c r="G4359" s="1" t="str">
        <f aca="false">IF(C4359="","",INDEX(Akaun!$F$5:$F$150,MATCH(C4359,Akaun!$A$5:$A$150,0)))</f>
        <v/>
      </c>
      <c r="H4359" s="1" t="str">
        <f aca="false">IF(C4359="","",INDEX(Akaun!$D$5:$D$150,MATCH(C4359,Akaun!$A$5:$A$150,0)))</f>
        <v/>
      </c>
    </row>
    <row r="4360" customFormat="false" ht="15" hidden="false" customHeight="true" outlineLevel="0" collapsed="false">
      <c r="G4360" s="1" t="str">
        <f aca="false">IF(C4360="","",INDEX(Akaun!$F$5:$F$150,MATCH(C4360,Akaun!$A$5:$A$150,0)))</f>
        <v/>
      </c>
      <c r="H4360" s="1" t="str">
        <f aca="false">IF(C4360="","",INDEX(Akaun!$D$5:$D$150,MATCH(C4360,Akaun!$A$5:$A$150,0)))</f>
        <v/>
      </c>
    </row>
    <row r="4361" customFormat="false" ht="15" hidden="false" customHeight="true" outlineLevel="0" collapsed="false">
      <c r="G4361" s="1" t="str">
        <f aca="false">IF(C4361="","",INDEX(Akaun!$F$5:$F$150,MATCH(C4361,Akaun!$A$5:$A$150,0)))</f>
        <v/>
      </c>
      <c r="H4361" s="1" t="str">
        <f aca="false">IF(C4361="","",INDEX(Akaun!$D$5:$D$150,MATCH(C4361,Akaun!$A$5:$A$150,0)))</f>
        <v/>
      </c>
    </row>
    <row r="4362" customFormat="false" ht="15" hidden="false" customHeight="true" outlineLevel="0" collapsed="false">
      <c r="G4362" s="1" t="str">
        <f aca="false">IF(C4362="","",INDEX(Akaun!$F$5:$F$150,MATCH(C4362,Akaun!$A$5:$A$150,0)))</f>
        <v/>
      </c>
      <c r="H4362" s="1" t="str">
        <f aca="false">IF(C4362="","",INDEX(Akaun!$D$5:$D$150,MATCH(C4362,Akaun!$A$5:$A$150,0)))</f>
        <v/>
      </c>
    </row>
    <row r="4363" customFormat="false" ht="15" hidden="false" customHeight="true" outlineLevel="0" collapsed="false">
      <c r="G4363" s="1" t="str">
        <f aca="false">IF(C4363="","",INDEX(Akaun!$F$5:$F$150,MATCH(C4363,Akaun!$A$5:$A$150,0)))</f>
        <v/>
      </c>
      <c r="H4363" s="1" t="str">
        <f aca="false">IF(C4363="","",INDEX(Akaun!$D$5:$D$150,MATCH(C4363,Akaun!$A$5:$A$150,0)))</f>
        <v/>
      </c>
    </row>
    <row r="4364" customFormat="false" ht="15" hidden="false" customHeight="true" outlineLevel="0" collapsed="false">
      <c r="G4364" s="1" t="str">
        <f aca="false">IF(C4364="","",INDEX(Akaun!$F$5:$F$150,MATCH(C4364,Akaun!$A$5:$A$150,0)))</f>
        <v/>
      </c>
      <c r="H4364" s="1" t="str">
        <f aca="false">IF(C4364="","",INDEX(Akaun!$D$5:$D$150,MATCH(C4364,Akaun!$A$5:$A$150,0)))</f>
        <v/>
      </c>
    </row>
    <row r="4365" customFormat="false" ht="15" hidden="false" customHeight="true" outlineLevel="0" collapsed="false">
      <c r="G4365" s="1" t="str">
        <f aca="false">IF(C4365="","",INDEX(Akaun!$F$5:$F$150,MATCH(C4365,Akaun!$A$5:$A$150,0)))</f>
        <v/>
      </c>
      <c r="H4365" s="1" t="str">
        <f aca="false">IF(C4365="","",INDEX(Akaun!$D$5:$D$150,MATCH(C4365,Akaun!$A$5:$A$150,0)))</f>
        <v/>
      </c>
    </row>
    <row r="4366" customFormat="false" ht="15" hidden="false" customHeight="true" outlineLevel="0" collapsed="false">
      <c r="G4366" s="1" t="str">
        <f aca="false">IF(C4366="","",INDEX(Akaun!$F$5:$F$150,MATCH(C4366,Akaun!$A$5:$A$150,0)))</f>
        <v/>
      </c>
      <c r="H4366" s="1" t="str">
        <f aca="false">IF(C4366="","",INDEX(Akaun!$D$5:$D$150,MATCH(C4366,Akaun!$A$5:$A$150,0)))</f>
        <v/>
      </c>
    </row>
    <row r="4367" customFormat="false" ht="15" hidden="false" customHeight="true" outlineLevel="0" collapsed="false">
      <c r="G4367" s="1" t="str">
        <f aca="false">IF(C4367="","",INDEX(Akaun!$F$5:$F$150,MATCH(C4367,Akaun!$A$5:$A$150,0)))</f>
        <v/>
      </c>
      <c r="H4367" s="1" t="str">
        <f aca="false">IF(C4367="","",INDEX(Akaun!$D$5:$D$150,MATCH(C4367,Akaun!$A$5:$A$150,0)))</f>
        <v/>
      </c>
    </row>
    <row r="4368" customFormat="false" ht="15" hidden="false" customHeight="true" outlineLevel="0" collapsed="false">
      <c r="G4368" s="1" t="str">
        <f aca="false">IF(C4368="","",INDEX(Akaun!$F$5:$F$150,MATCH(C4368,Akaun!$A$5:$A$150,0)))</f>
        <v/>
      </c>
      <c r="H4368" s="1" t="str">
        <f aca="false">IF(C4368="","",INDEX(Akaun!$D$5:$D$150,MATCH(C4368,Akaun!$A$5:$A$150,0)))</f>
        <v/>
      </c>
    </row>
    <row r="4369" customFormat="false" ht="15" hidden="false" customHeight="true" outlineLevel="0" collapsed="false">
      <c r="G4369" s="1" t="str">
        <f aca="false">IF(C4369="","",INDEX(Akaun!$F$5:$F$150,MATCH(C4369,Akaun!$A$5:$A$150,0)))</f>
        <v/>
      </c>
      <c r="H4369" s="1" t="str">
        <f aca="false">IF(C4369="","",INDEX(Akaun!$D$5:$D$150,MATCH(C4369,Akaun!$A$5:$A$150,0)))</f>
        <v/>
      </c>
    </row>
    <row r="4370" customFormat="false" ht="15" hidden="false" customHeight="true" outlineLevel="0" collapsed="false">
      <c r="G4370" s="1" t="str">
        <f aca="false">IF(C4370="","",INDEX(Akaun!$F$5:$F$150,MATCH(C4370,Akaun!$A$5:$A$150,0)))</f>
        <v/>
      </c>
      <c r="H4370" s="1" t="str">
        <f aca="false">IF(C4370="","",INDEX(Akaun!$D$5:$D$150,MATCH(C4370,Akaun!$A$5:$A$150,0)))</f>
        <v/>
      </c>
    </row>
    <row r="4371" customFormat="false" ht="15" hidden="false" customHeight="true" outlineLevel="0" collapsed="false">
      <c r="G4371" s="1" t="str">
        <f aca="false">IF(C4371="","",INDEX(Akaun!$F$5:$F$150,MATCH(C4371,Akaun!$A$5:$A$150,0)))</f>
        <v/>
      </c>
      <c r="H4371" s="1" t="str">
        <f aca="false">IF(C4371="","",INDEX(Akaun!$D$5:$D$150,MATCH(C4371,Akaun!$A$5:$A$150,0)))</f>
        <v/>
      </c>
    </row>
    <row r="4372" customFormat="false" ht="15" hidden="false" customHeight="true" outlineLevel="0" collapsed="false">
      <c r="G4372" s="1" t="str">
        <f aca="false">IF(C4372="","",INDEX(Akaun!$F$5:$F$150,MATCH(C4372,Akaun!$A$5:$A$150,0)))</f>
        <v/>
      </c>
      <c r="H4372" s="1" t="str">
        <f aca="false">IF(C4372="","",INDEX(Akaun!$D$5:$D$150,MATCH(C4372,Akaun!$A$5:$A$150,0)))</f>
        <v/>
      </c>
    </row>
    <row r="4373" customFormat="false" ht="15" hidden="false" customHeight="true" outlineLevel="0" collapsed="false">
      <c r="G4373" s="1" t="str">
        <f aca="false">IF(C4373="","",INDEX(Akaun!$F$5:$F$150,MATCH(C4373,Akaun!$A$5:$A$150,0)))</f>
        <v/>
      </c>
      <c r="H4373" s="1" t="str">
        <f aca="false">IF(C4373="","",INDEX(Akaun!$D$5:$D$150,MATCH(C4373,Akaun!$A$5:$A$150,0)))</f>
        <v/>
      </c>
    </row>
    <row r="4374" customFormat="false" ht="15" hidden="false" customHeight="true" outlineLevel="0" collapsed="false">
      <c r="G4374" s="1" t="str">
        <f aca="false">IF(C4374="","",INDEX(Akaun!$F$5:$F$150,MATCH(C4374,Akaun!$A$5:$A$150,0)))</f>
        <v/>
      </c>
      <c r="H4374" s="1" t="str">
        <f aca="false">IF(C4374="","",INDEX(Akaun!$D$5:$D$150,MATCH(C4374,Akaun!$A$5:$A$150,0)))</f>
        <v/>
      </c>
    </row>
    <row r="4375" customFormat="false" ht="15" hidden="false" customHeight="true" outlineLevel="0" collapsed="false">
      <c r="G4375" s="1" t="str">
        <f aca="false">IF(C4375="","",INDEX(Akaun!$F$5:$F$150,MATCH(C4375,Akaun!$A$5:$A$150,0)))</f>
        <v/>
      </c>
      <c r="H4375" s="1" t="str">
        <f aca="false">IF(C4375="","",INDEX(Akaun!$D$5:$D$150,MATCH(C4375,Akaun!$A$5:$A$150,0)))</f>
        <v/>
      </c>
    </row>
    <row r="4376" customFormat="false" ht="15" hidden="false" customHeight="true" outlineLevel="0" collapsed="false">
      <c r="G4376" s="1" t="str">
        <f aca="false">IF(C4376="","",INDEX(Akaun!$F$5:$F$150,MATCH(C4376,Akaun!$A$5:$A$150,0)))</f>
        <v/>
      </c>
      <c r="H4376" s="1" t="str">
        <f aca="false">IF(C4376="","",INDEX(Akaun!$D$5:$D$150,MATCH(C4376,Akaun!$A$5:$A$150,0)))</f>
        <v/>
      </c>
    </row>
    <row r="4377" customFormat="false" ht="15" hidden="false" customHeight="true" outlineLevel="0" collapsed="false">
      <c r="G4377" s="1" t="str">
        <f aca="false">IF(C4377="","",INDEX(Akaun!$F$5:$F$150,MATCH(C4377,Akaun!$A$5:$A$150,0)))</f>
        <v/>
      </c>
      <c r="H4377" s="1" t="str">
        <f aca="false">IF(C4377="","",INDEX(Akaun!$D$5:$D$150,MATCH(C4377,Akaun!$A$5:$A$150,0)))</f>
        <v/>
      </c>
    </row>
    <row r="4378" customFormat="false" ht="15" hidden="false" customHeight="true" outlineLevel="0" collapsed="false">
      <c r="G4378" s="1" t="str">
        <f aca="false">IF(C4378="","",INDEX(Akaun!$F$5:$F$150,MATCH(C4378,Akaun!$A$5:$A$150,0)))</f>
        <v/>
      </c>
      <c r="H4378" s="1" t="str">
        <f aca="false">IF(C4378="","",INDEX(Akaun!$D$5:$D$150,MATCH(C4378,Akaun!$A$5:$A$150,0)))</f>
        <v/>
      </c>
    </row>
    <row r="4379" customFormat="false" ht="15" hidden="false" customHeight="true" outlineLevel="0" collapsed="false">
      <c r="G4379" s="1" t="str">
        <f aca="false">IF(C4379="","",INDEX(Akaun!$F$5:$F$150,MATCH(C4379,Akaun!$A$5:$A$150,0)))</f>
        <v/>
      </c>
      <c r="H4379" s="1" t="str">
        <f aca="false">IF(C4379="","",INDEX(Akaun!$D$5:$D$150,MATCH(C4379,Akaun!$A$5:$A$150,0)))</f>
        <v/>
      </c>
    </row>
    <row r="4380" customFormat="false" ht="15" hidden="false" customHeight="true" outlineLevel="0" collapsed="false">
      <c r="G4380" s="1" t="str">
        <f aca="false">IF(C4380="","",INDEX(Akaun!$F$5:$F$150,MATCH(C4380,Akaun!$A$5:$A$150,0)))</f>
        <v/>
      </c>
      <c r="H4380" s="1" t="str">
        <f aca="false">IF(C4380="","",INDEX(Akaun!$D$5:$D$150,MATCH(C4380,Akaun!$A$5:$A$150,0)))</f>
        <v/>
      </c>
    </row>
    <row r="4381" customFormat="false" ht="15" hidden="false" customHeight="true" outlineLevel="0" collapsed="false">
      <c r="G4381" s="1" t="str">
        <f aca="false">IF(C4381="","",INDEX(Akaun!$F$5:$F$150,MATCH(C4381,Akaun!$A$5:$A$150,0)))</f>
        <v/>
      </c>
      <c r="H4381" s="1" t="str">
        <f aca="false">IF(C4381="","",INDEX(Akaun!$D$5:$D$150,MATCH(C4381,Akaun!$A$5:$A$150,0)))</f>
        <v/>
      </c>
    </row>
    <row r="4382" customFormat="false" ht="15" hidden="false" customHeight="true" outlineLevel="0" collapsed="false">
      <c r="G4382" s="1" t="str">
        <f aca="false">IF(C4382="","",INDEX(Akaun!$F$5:$F$150,MATCH(C4382,Akaun!$A$5:$A$150,0)))</f>
        <v/>
      </c>
      <c r="H4382" s="1" t="str">
        <f aca="false">IF(C4382="","",INDEX(Akaun!$D$5:$D$150,MATCH(C4382,Akaun!$A$5:$A$150,0)))</f>
        <v/>
      </c>
    </row>
    <row r="4383" customFormat="false" ht="15" hidden="false" customHeight="true" outlineLevel="0" collapsed="false">
      <c r="G4383" s="1" t="str">
        <f aca="false">IF(C4383="","",INDEX(Akaun!$F$5:$F$150,MATCH(C4383,Akaun!$A$5:$A$150,0)))</f>
        <v/>
      </c>
      <c r="H4383" s="1" t="str">
        <f aca="false">IF(C4383="","",INDEX(Akaun!$D$5:$D$150,MATCH(C4383,Akaun!$A$5:$A$150,0)))</f>
        <v/>
      </c>
    </row>
    <row r="4384" customFormat="false" ht="15" hidden="false" customHeight="true" outlineLevel="0" collapsed="false">
      <c r="G4384" s="1" t="str">
        <f aca="false">IF(C4384="","",INDEX(Akaun!$F$5:$F$150,MATCH(C4384,Akaun!$A$5:$A$150,0)))</f>
        <v/>
      </c>
      <c r="H4384" s="1" t="str">
        <f aca="false">IF(C4384="","",INDEX(Akaun!$D$5:$D$150,MATCH(C4384,Akaun!$A$5:$A$150,0)))</f>
        <v/>
      </c>
    </row>
    <row r="4385" customFormat="false" ht="15" hidden="false" customHeight="true" outlineLevel="0" collapsed="false">
      <c r="G4385" s="1" t="str">
        <f aca="false">IF(C4385="","",INDEX(Akaun!$F$5:$F$150,MATCH(C4385,Akaun!$A$5:$A$150,0)))</f>
        <v/>
      </c>
      <c r="H4385" s="1" t="str">
        <f aca="false">IF(C4385="","",INDEX(Akaun!$D$5:$D$150,MATCH(C4385,Akaun!$A$5:$A$150,0)))</f>
        <v/>
      </c>
    </row>
    <row r="4386" customFormat="false" ht="15" hidden="false" customHeight="true" outlineLevel="0" collapsed="false">
      <c r="G4386" s="1" t="str">
        <f aca="false">IF(C4386="","",INDEX(Akaun!$F$5:$F$150,MATCH(C4386,Akaun!$A$5:$A$150,0)))</f>
        <v/>
      </c>
      <c r="H4386" s="1" t="str">
        <f aca="false">IF(C4386="","",INDEX(Akaun!$D$5:$D$150,MATCH(C4386,Akaun!$A$5:$A$150,0)))</f>
        <v/>
      </c>
    </row>
    <row r="4387" customFormat="false" ht="15" hidden="false" customHeight="true" outlineLevel="0" collapsed="false">
      <c r="G4387" s="1" t="str">
        <f aca="false">IF(C4387="","",INDEX(Akaun!$F$5:$F$150,MATCH(C4387,Akaun!$A$5:$A$150,0)))</f>
        <v/>
      </c>
      <c r="H4387" s="1" t="str">
        <f aca="false">IF(C4387="","",INDEX(Akaun!$D$5:$D$150,MATCH(C4387,Akaun!$A$5:$A$150,0)))</f>
        <v/>
      </c>
    </row>
    <row r="4388" customFormat="false" ht="15" hidden="false" customHeight="true" outlineLevel="0" collapsed="false">
      <c r="G4388" s="1" t="str">
        <f aca="false">IF(C4388="","",INDEX(Akaun!$F$5:$F$150,MATCH(C4388,Akaun!$A$5:$A$150,0)))</f>
        <v/>
      </c>
      <c r="H4388" s="1" t="str">
        <f aca="false">IF(C4388="","",INDEX(Akaun!$D$5:$D$150,MATCH(C4388,Akaun!$A$5:$A$150,0)))</f>
        <v/>
      </c>
    </row>
    <row r="4389" customFormat="false" ht="15" hidden="false" customHeight="true" outlineLevel="0" collapsed="false">
      <c r="G4389" s="1" t="str">
        <f aca="false">IF(C4389="","",INDEX(Akaun!$F$5:$F$150,MATCH(C4389,Akaun!$A$5:$A$150,0)))</f>
        <v/>
      </c>
      <c r="H4389" s="1" t="str">
        <f aca="false">IF(C4389="","",INDEX(Akaun!$D$5:$D$150,MATCH(C4389,Akaun!$A$5:$A$150,0)))</f>
        <v/>
      </c>
    </row>
    <row r="4390" customFormat="false" ht="15" hidden="false" customHeight="true" outlineLevel="0" collapsed="false">
      <c r="G4390" s="1" t="str">
        <f aca="false">IF(C4390="","",INDEX(Akaun!$F$5:$F$150,MATCH(C4390,Akaun!$A$5:$A$150,0)))</f>
        <v/>
      </c>
      <c r="H4390" s="1" t="str">
        <f aca="false">IF(C4390="","",INDEX(Akaun!$D$5:$D$150,MATCH(C4390,Akaun!$A$5:$A$150,0)))</f>
        <v/>
      </c>
    </row>
    <row r="4391" customFormat="false" ht="15" hidden="false" customHeight="true" outlineLevel="0" collapsed="false">
      <c r="G4391" s="1" t="str">
        <f aca="false">IF(C4391="","",INDEX(Akaun!$F$5:$F$150,MATCH(C4391,Akaun!$A$5:$A$150,0)))</f>
        <v/>
      </c>
      <c r="H4391" s="1" t="str">
        <f aca="false">IF(C4391="","",INDEX(Akaun!$D$5:$D$150,MATCH(C4391,Akaun!$A$5:$A$150,0)))</f>
        <v/>
      </c>
    </row>
    <row r="4392" customFormat="false" ht="15" hidden="false" customHeight="true" outlineLevel="0" collapsed="false">
      <c r="G4392" s="1" t="str">
        <f aca="false">IF(C4392="","",INDEX(Akaun!$F$5:$F$150,MATCH(C4392,Akaun!$A$5:$A$150,0)))</f>
        <v/>
      </c>
      <c r="H4392" s="1" t="str">
        <f aca="false">IF(C4392="","",INDEX(Akaun!$D$5:$D$150,MATCH(C4392,Akaun!$A$5:$A$150,0)))</f>
        <v/>
      </c>
    </row>
    <row r="4393" customFormat="false" ht="15" hidden="false" customHeight="true" outlineLevel="0" collapsed="false">
      <c r="G4393" s="1" t="str">
        <f aca="false">IF(C4393="","",INDEX(Akaun!$F$5:$F$150,MATCH(C4393,Akaun!$A$5:$A$150,0)))</f>
        <v/>
      </c>
      <c r="H4393" s="1" t="str">
        <f aca="false">IF(C4393="","",INDEX(Akaun!$D$5:$D$150,MATCH(C4393,Akaun!$A$5:$A$150,0)))</f>
        <v/>
      </c>
    </row>
    <row r="4394" customFormat="false" ht="15" hidden="false" customHeight="true" outlineLevel="0" collapsed="false">
      <c r="G4394" s="1" t="str">
        <f aca="false">IF(C4394="","",INDEX(Akaun!$F$5:$F$150,MATCH(C4394,Akaun!$A$5:$A$150,0)))</f>
        <v/>
      </c>
      <c r="H4394" s="1" t="str">
        <f aca="false">IF(C4394="","",INDEX(Akaun!$D$5:$D$150,MATCH(C4394,Akaun!$A$5:$A$150,0)))</f>
        <v/>
      </c>
    </row>
    <row r="4395" customFormat="false" ht="15" hidden="false" customHeight="true" outlineLevel="0" collapsed="false">
      <c r="G4395" s="1" t="str">
        <f aca="false">IF(C4395="","",INDEX(Akaun!$F$5:$F$150,MATCH(C4395,Akaun!$A$5:$A$150,0)))</f>
        <v/>
      </c>
      <c r="H4395" s="1" t="str">
        <f aca="false">IF(C4395="","",INDEX(Akaun!$D$5:$D$150,MATCH(C4395,Akaun!$A$5:$A$150,0)))</f>
        <v/>
      </c>
    </row>
    <row r="4396" customFormat="false" ht="15" hidden="false" customHeight="true" outlineLevel="0" collapsed="false">
      <c r="G4396" s="1" t="str">
        <f aca="false">IF(C4396="","",INDEX(Akaun!$F$5:$F$150,MATCH(C4396,Akaun!$A$5:$A$150,0)))</f>
        <v/>
      </c>
      <c r="H4396" s="1" t="str">
        <f aca="false">IF(C4396="","",INDEX(Akaun!$D$5:$D$150,MATCH(C4396,Akaun!$A$5:$A$150,0)))</f>
        <v/>
      </c>
    </row>
    <row r="4397" customFormat="false" ht="15" hidden="false" customHeight="true" outlineLevel="0" collapsed="false">
      <c r="G4397" s="1" t="str">
        <f aca="false">IF(C4397="","",INDEX(Akaun!$F$5:$F$150,MATCH(C4397,Akaun!$A$5:$A$150,0)))</f>
        <v/>
      </c>
      <c r="H4397" s="1" t="str">
        <f aca="false">IF(C4397="","",INDEX(Akaun!$D$5:$D$150,MATCH(C4397,Akaun!$A$5:$A$150,0)))</f>
        <v/>
      </c>
    </row>
    <row r="4398" customFormat="false" ht="15" hidden="false" customHeight="true" outlineLevel="0" collapsed="false">
      <c r="G4398" s="1" t="str">
        <f aca="false">IF(C4398="","",INDEX(Akaun!$F$5:$F$150,MATCH(C4398,Akaun!$A$5:$A$150,0)))</f>
        <v/>
      </c>
      <c r="H4398" s="1" t="str">
        <f aca="false">IF(C4398="","",INDEX(Akaun!$D$5:$D$150,MATCH(C4398,Akaun!$A$5:$A$150,0)))</f>
        <v/>
      </c>
    </row>
    <row r="4399" customFormat="false" ht="15" hidden="false" customHeight="true" outlineLevel="0" collapsed="false">
      <c r="G4399" s="1" t="str">
        <f aca="false">IF(C4399="","",INDEX(Akaun!$F$5:$F$150,MATCH(C4399,Akaun!$A$5:$A$150,0)))</f>
        <v/>
      </c>
      <c r="H4399" s="1" t="str">
        <f aca="false">IF(C4399="","",INDEX(Akaun!$D$5:$D$150,MATCH(C4399,Akaun!$A$5:$A$150,0)))</f>
        <v/>
      </c>
    </row>
    <row r="4400" customFormat="false" ht="15" hidden="false" customHeight="true" outlineLevel="0" collapsed="false">
      <c r="G4400" s="1" t="str">
        <f aca="false">IF(C4400="","",INDEX(Akaun!$F$5:$F$150,MATCH(C4400,Akaun!$A$5:$A$150,0)))</f>
        <v/>
      </c>
      <c r="H4400" s="1" t="str">
        <f aca="false">IF(C4400="","",INDEX(Akaun!$D$5:$D$150,MATCH(C4400,Akaun!$A$5:$A$150,0)))</f>
        <v/>
      </c>
    </row>
    <row r="4401" customFormat="false" ht="15" hidden="false" customHeight="true" outlineLevel="0" collapsed="false">
      <c r="G4401" s="1" t="str">
        <f aca="false">IF(C4401="","",INDEX(Akaun!$F$5:$F$150,MATCH(C4401,Akaun!$A$5:$A$150,0)))</f>
        <v/>
      </c>
      <c r="H4401" s="1" t="str">
        <f aca="false">IF(C4401="","",INDEX(Akaun!$D$5:$D$150,MATCH(C4401,Akaun!$A$5:$A$150,0)))</f>
        <v/>
      </c>
    </row>
    <row r="4402" customFormat="false" ht="15" hidden="false" customHeight="true" outlineLevel="0" collapsed="false">
      <c r="G4402" s="1" t="str">
        <f aca="false">IF(C4402="","",INDEX(Akaun!$F$5:$F$150,MATCH(C4402,Akaun!$A$5:$A$150,0)))</f>
        <v/>
      </c>
      <c r="H4402" s="1" t="str">
        <f aca="false">IF(C4402="","",INDEX(Akaun!$D$5:$D$150,MATCH(C4402,Akaun!$A$5:$A$150,0)))</f>
        <v/>
      </c>
    </row>
    <row r="4403" customFormat="false" ht="15" hidden="false" customHeight="true" outlineLevel="0" collapsed="false">
      <c r="G4403" s="1" t="str">
        <f aca="false">IF(C4403="","",INDEX(Akaun!$F$5:$F$150,MATCH(C4403,Akaun!$A$5:$A$150,0)))</f>
        <v/>
      </c>
      <c r="H4403" s="1" t="str">
        <f aca="false">IF(C4403="","",INDEX(Akaun!$D$5:$D$150,MATCH(C4403,Akaun!$A$5:$A$150,0)))</f>
        <v/>
      </c>
    </row>
    <row r="4404" customFormat="false" ht="15" hidden="false" customHeight="true" outlineLevel="0" collapsed="false">
      <c r="G4404" s="1" t="str">
        <f aca="false">IF(C4404="","",INDEX(Akaun!$F$5:$F$150,MATCH(C4404,Akaun!$A$5:$A$150,0)))</f>
        <v/>
      </c>
      <c r="H4404" s="1" t="str">
        <f aca="false">IF(C4404="","",INDEX(Akaun!$D$5:$D$150,MATCH(C4404,Akaun!$A$5:$A$150,0)))</f>
        <v/>
      </c>
    </row>
    <row r="4405" customFormat="false" ht="15" hidden="false" customHeight="true" outlineLevel="0" collapsed="false">
      <c r="G4405" s="1" t="str">
        <f aca="false">IF(C4405="","",INDEX(Akaun!$F$5:$F$150,MATCH(C4405,Akaun!$A$5:$A$150,0)))</f>
        <v/>
      </c>
      <c r="H4405" s="1" t="str">
        <f aca="false">IF(C4405="","",INDEX(Akaun!$D$5:$D$150,MATCH(C4405,Akaun!$A$5:$A$150,0)))</f>
        <v/>
      </c>
    </row>
    <row r="4406" customFormat="false" ht="15" hidden="false" customHeight="true" outlineLevel="0" collapsed="false">
      <c r="G4406" s="1" t="str">
        <f aca="false">IF(C4406="","",INDEX(Akaun!$F$5:$F$150,MATCH(C4406,Akaun!$A$5:$A$150,0)))</f>
        <v/>
      </c>
      <c r="H4406" s="1" t="str">
        <f aca="false">IF(C4406="","",INDEX(Akaun!$D$5:$D$150,MATCH(C4406,Akaun!$A$5:$A$150,0)))</f>
        <v/>
      </c>
    </row>
    <row r="4407" customFormat="false" ht="15" hidden="false" customHeight="true" outlineLevel="0" collapsed="false">
      <c r="G4407" s="1" t="str">
        <f aca="false">IF(C4407="","",INDEX(Akaun!$F$5:$F$150,MATCH(C4407,Akaun!$A$5:$A$150,0)))</f>
        <v/>
      </c>
      <c r="H4407" s="1" t="str">
        <f aca="false">IF(C4407="","",INDEX(Akaun!$D$5:$D$150,MATCH(C4407,Akaun!$A$5:$A$150,0)))</f>
        <v/>
      </c>
    </row>
    <row r="4408" customFormat="false" ht="15" hidden="false" customHeight="true" outlineLevel="0" collapsed="false">
      <c r="G4408" s="1" t="str">
        <f aca="false">IF(C4408="","",INDEX(Akaun!$F$5:$F$150,MATCH(C4408,Akaun!$A$5:$A$150,0)))</f>
        <v/>
      </c>
      <c r="H4408" s="1" t="str">
        <f aca="false">IF(C4408="","",INDEX(Akaun!$D$5:$D$150,MATCH(C4408,Akaun!$A$5:$A$150,0)))</f>
        <v/>
      </c>
    </row>
    <row r="4409" customFormat="false" ht="15" hidden="false" customHeight="true" outlineLevel="0" collapsed="false">
      <c r="G4409" s="1" t="str">
        <f aca="false">IF(C4409="","",INDEX(Akaun!$F$5:$F$150,MATCH(C4409,Akaun!$A$5:$A$150,0)))</f>
        <v/>
      </c>
      <c r="H4409" s="1" t="str">
        <f aca="false">IF(C4409="","",INDEX(Akaun!$D$5:$D$150,MATCH(C4409,Akaun!$A$5:$A$150,0)))</f>
        <v/>
      </c>
    </row>
    <row r="4410" customFormat="false" ht="15" hidden="false" customHeight="true" outlineLevel="0" collapsed="false">
      <c r="G4410" s="1" t="str">
        <f aca="false">IF(C4410="","",INDEX(Akaun!$F$5:$F$150,MATCH(C4410,Akaun!$A$5:$A$150,0)))</f>
        <v/>
      </c>
      <c r="H4410" s="1" t="str">
        <f aca="false">IF(C4410="","",INDEX(Akaun!$D$5:$D$150,MATCH(C4410,Akaun!$A$5:$A$150,0)))</f>
        <v/>
      </c>
    </row>
    <row r="4411" customFormat="false" ht="15" hidden="false" customHeight="true" outlineLevel="0" collapsed="false">
      <c r="G4411" s="1" t="str">
        <f aca="false">IF(C4411="","",INDEX(Akaun!$F$5:$F$150,MATCH(C4411,Akaun!$A$5:$A$150,0)))</f>
        <v/>
      </c>
      <c r="H4411" s="1" t="str">
        <f aca="false">IF(C4411="","",INDEX(Akaun!$D$5:$D$150,MATCH(C4411,Akaun!$A$5:$A$150,0)))</f>
        <v/>
      </c>
    </row>
    <row r="4412" customFormat="false" ht="15" hidden="false" customHeight="true" outlineLevel="0" collapsed="false">
      <c r="G4412" s="1" t="str">
        <f aca="false">IF(C4412="","",INDEX(Akaun!$F$5:$F$150,MATCH(C4412,Akaun!$A$5:$A$150,0)))</f>
        <v/>
      </c>
      <c r="H4412" s="1" t="str">
        <f aca="false">IF(C4412="","",INDEX(Akaun!$D$5:$D$150,MATCH(C4412,Akaun!$A$5:$A$150,0)))</f>
        <v/>
      </c>
    </row>
    <row r="4413" customFormat="false" ht="15" hidden="false" customHeight="true" outlineLevel="0" collapsed="false">
      <c r="G4413" s="1" t="str">
        <f aca="false">IF(C4413="","",INDEX(Akaun!$F$5:$F$150,MATCH(C4413,Akaun!$A$5:$A$150,0)))</f>
        <v/>
      </c>
      <c r="H4413" s="1" t="str">
        <f aca="false">IF(C4413="","",INDEX(Akaun!$D$5:$D$150,MATCH(C4413,Akaun!$A$5:$A$150,0)))</f>
        <v/>
      </c>
    </row>
    <row r="4414" customFormat="false" ht="15" hidden="false" customHeight="true" outlineLevel="0" collapsed="false">
      <c r="G4414" s="1" t="str">
        <f aca="false">IF(C4414="","",INDEX(Akaun!$F$5:$F$150,MATCH(C4414,Akaun!$A$5:$A$150,0)))</f>
        <v/>
      </c>
      <c r="H4414" s="1" t="str">
        <f aca="false">IF(C4414="","",INDEX(Akaun!$D$5:$D$150,MATCH(C4414,Akaun!$A$5:$A$150,0)))</f>
        <v/>
      </c>
    </row>
    <row r="4415" customFormat="false" ht="15" hidden="false" customHeight="true" outlineLevel="0" collapsed="false">
      <c r="G4415" s="1" t="str">
        <f aca="false">IF(C4415="","",INDEX(Akaun!$F$5:$F$150,MATCH(C4415,Akaun!$A$5:$A$150,0)))</f>
        <v/>
      </c>
      <c r="H4415" s="1" t="str">
        <f aca="false">IF(C4415="","",INDEX(Akaun!$D$5:$D$150,MATCH(C4415,Akaun!$A$5:$A$150,0)))</f>
        <v/>
      </c>
    </row>
    <row r="4416" customFormat="false" ht="15" hidden="false" customHeight="true" outlineLevel="0" collapsed="false">
      <c r="G4416" s="1" t="str">
        <f aca="false">IF(C4416="","",INDEX(Akaun!$F$5:$F$150,MATCH(C4416,Akaun!$A$5:$A$150,0)))</f>
        <v/>
      </c>
      <c r="H4416" s="1" t="str">
        <f aca="false">IF(C4416="","",INDEX(Akaun!$D$5:$D$150,MATCH(C4416,Akaun!$A$5:$A$150,0)))</f>
        <v/>
      </c>
    </row>
    <row r="4417" customFormat="false" ht="15" hidden="false" customHeight="true" outlineLevel="0" collapsed="false">
      <c r="G4417" s="1" t="str">
        <f aca="false">IF(C4417="","",INDEX(Akaun!$F$5:$F$150,MATCH(C4417,Akaun!$A$5:$A$150,0)))</f>
        <v/>
      </c>
      <c r="H4417" s="1" t="str">
        <f aca="false">IF(C4417="","",INDEX(Akaun!$D$5:$D$150,MATCH(C4417,Akaun!$A$5:$A$150,0)))</f>
        <v/>
      </c>
    </row>
    <row r="4418" customFormat="false" ht="15" hidden="false" customHeight="true" outlineLevel="0" collapsed="false">
      <c r="G4418" s="1" t="str">
        <f aca="false">IF(C4418="","",INDEX(Akaun!$F$5:$F$150,MATCH(C4418,Akaun!$A$5:$A$150,0)))</f>
        <v/>
      </c>
      <c r="H4418" s="1" t="str">
        <f aca="false">IF(C4418="","",INDEX(Akaun!$D$5:$D$150,MATCH(C4418,Akaun!$A$5:$A$150,0)))</f>
        <v/>
      </c>
    </row>
    <row r="4419" customFormat="false" ht="15" hidden="false" customHeight="true" outlineLevel="0" collapsed="false">
      <c r="G4419" s="1" t="str">
        <f aca="false">IF(C4419="","",INDEX(Akaun!$F$5:$F$150,MATCH(C4419,Akaun!$A$5:$A$150,0)))</f>
        <v/>
      </c>
      <c r="H4419" s="1" t="str">
        <f aca="false">IF(C4419="","",INDEX(Akaun!$D$5:$D$150,MATCH(C4419,Akaun!$A$5:$A$150,0)))</f>
        <v/>
      </c>
    </row>
    <row r="4420" customFormat="false" ht="15" hidden="false" customHeight="true" outlineLevel="0" collapsed="false">
      <c r="G4420" s="1" t="str">
        <f aca="false">IF(C4420="","",INDEX(Akaun!$F$5:$F$150,MATCH(C4420,Akaun!$A$5:$A$150,0)))</f>
        <v/>
      </c>
      <c r="H4420" s="1" t="str">
        <f aca="false">IF(C4420="","",INDEX(Akaun!$D$5:$D$150,MATCH(C4420,Akaun!$A$5:$A$150,0)))</f>
        <v/>
      </c>
    </row>
    <row r="4421" customFormat="false" ht="15" hidden="false" customHeight="true" outlineLevel="0" collapsed="false">
      <c r="G4421" s="1" t="str">
        <f aca="false">IF(C4421="","",INDEX(Akaun!$F$5:$F$150,MATCH(C4421,Akaun!$A$5:$A$150,0)))</f>
        <v/>
      </c>
      <c r="H4421" s="1" t="str">
        <f aca="false">IF(C4421="","",INDEX(Akaun!$D$5:$D$150,MATCH(C4421,Akaun!$A$5:$A$150,0)))</f>
        <v/>
      </c>
    </row>
    <row r="4422" customFormat="false" ht="15" hidden="false" customHeight="true" outlineLevel="0" collapsed="false">
      <c r="G4422" s="1" t="str">
        <f aca="false">IF(C4422="","",INDEX(Akaun!$F$5:$F$150,MATCH(C4422,Akaun!$A$5:$A$150,0)))</f>
        <v/>
      </c>
      <c r="H4422" s="1" t="str">
        <f aca="false">IF(C4422="","",INDEX(Akaun!$D$5:$D$150,MATCH(C4422,Akaun!$A$5:$A$150,0)))</f>
        <v/>
      </c>
    </row>
    <row r="4423" customFormat="false" ht="15" hidden="false" customHeight="true" outlineLevel="0" collapsed="false">
      <c r="G4423" s="1" t="str">
        <f aca="false">IF(C4423="","",INDEX(Akaun!$F$5:$F$150,MATCH(C4423,Akaun!$A$5:$A$150,0)))</f>
        <v/>
      </c>
      <c r="H4423" s="1" t="str">
        <f aca="false">IF(C4423="","",INDEX(Akaun!$D$5:$D$150,MATCH(C4423,Akaun!$A$5:$A$150,0)))</f>
        <v/>
      </c>
    </row>
    <row r="4424" customFormat="false" ht="15" hidden="false" customHeight="true" outlineLevel="0" collapsed="false">
      <c r="G4424" s="1" t="str">
        <f aca="false">IF(C4424="","",INDEX(Akaun!$F$5:$F$150,MATCH(C4424,Akaun!$A$5:$A$150,0)))</f>
        <v/>
      </c>
      <c r="H4424" s="1" t="str">
        <f aca="false">IF(C4424="","",INDEX(Akaun!$D$5:$D$150,MATCH(C4424,Akaun!$A$5:$A$150,0)))</f>
        <v/>
      </c>
    </row>
    <row r="4425" customFormat="false" ht="15" hidden="false" customHeight="true" outlineLevel="0" collapsed="false">
      <c r="G4425" s="1" t="str">
        <f aca="false">IF(C4425="","",INDEX(Akaun!$F$5:$F$150,MATCH(C4425,Akaun!$A$5:$A$150,0)))</f>
        <v/>
      </c>
      <c r="H4425" s="1" t="str">
        <f aca="false">IF(C4425="","",INDEX(Akaun!$D$5:$D$150,MATCH(C4425,Akaun!$A$5:$A$150,0)))</f>
        <v/>
      </c>
    </row>
    <row r="4426" customFormat="false" ht="15" hidden="false" customHeight="true" outlineLevel="0" collapsed="false">
      <c r="G4426" s="1" t="str">
        <f aca="false">IF(C4426="","",INDEX(Akaun!$F$5:$F$150,MATCH(C4426,Akaun!$A$5:$A$150,0)))</f>
        <v/>
      </c>
      <c r="H4426" s="1" t="str">
        <f aca="false">IF(C4426="","",INDEX(Akaun!$D$5:$D$150,MATCH(C4426,Akaun!$A$5:$A$150,0)))</f>
        <v/>
      </c>
    </row>
    <row r="4427" customFormat="false" ht="15" hidden="false" customHeight="true" outlineLevel="0" collapsed="false">
      <c r="G4427" s="1" t="str">
        <f aca="false">IF(C4427="","",INDEX(Akaun!$F$5:$F$150,MATCH(C4427,Akaun!$A$5:$A$150,0)))</f>
        <v/>
      </c>
      <c r="H4427" s="1" t="str">
        <f aca="false">IF(C4427="","",INDEX(Akaun!$D$5:$D$150,MATCH(C4427,Akaun!$A$5:$A$150,0)))</f>
        <v/>
      </c>
    </row>
    <row r="4428" customFormat="false" ht="15" hidden="false" customHeight="true" outlineLevel="0" collapsed="false">
      <c r="G4428" s="1" t="str">
        <f aca="false">IF(C4428="","",INDEX(Akaun!$F$5:$F$150,MATCH(C4428,Akaun!$A$5:$A$150,0)))</f>
        <v/>
      </c>
      <c r="H4428" s="1" t="str">
        <f aca="false">IF(C4428="","",INDEX(Akaun!$D$5:$D$150,MATCH(C4428,Akaun!$A$5:$A$150,0)))</f>
        <v/>
      </c>
    </row>
    <row r="4429" customFormat="false" ht="15" hidden="false" customHeight="true" outlineLevel="0" collapsed="false">
      <c r="G4429" s="1" t="str">
        <f aca="false">IF(C4429="","",INDEX(Akaun!$F$5:$F$150,MATCH(C4429,Akaun!$A$5:$A$150,0)))</f>
        <v/>
      </c>
      <c r="H4429" s="1" t="str">
        <f aca="false">IF(C4429="","",INDEX(Akaun!$D$5:$D$150,MATCH(C4429,Akaun!$A$5:$A$150,0)))</f>
        <v/>
      </c>
    </row>
    <row r="4430" customFormat="false" ht="15" hidden="false" customHeight="true" outlineLevel="0" collapsed="false">
      <c r="G4430" s="1" t="str">
        <f aca="false">IF(C4430="","",INDEX(Akaun!$F$5:$F$150,MATCH(C4430,Akaun!$A$5:$A$150,0)))</f>
        <v/>
      </c>
      <c r="H4430" s="1" t="str">
        <f aca="false">IF(C4430="","",INDEX(Akaun!$D$5:$D$150,MATCH(C4430,Akaun!$A$5:$A$150,0)))</f>
        <v/>
      </c>
    </row>
    <row r="4431" customFormat="false" ht="15" hidden="false" customHeight="true" outlineLevel="0" collapsed="false">
      <c r="G4431" s="1" t="str">
        <f aca="false">IF(C4431="","",INDEX(Akaun!$F$5:$F$150,MATCH(C4431,Akaun!$A$5:$A$150,0)))</f>
        <v/>
      </c>
      <c r="H4431" s="1" t="str">
        <f aca="false">IF(C4431="","",INDEX(Akaun!$D$5:$D$150,MATCH(C4431,Akaun!$A$5:$A$150,0)))</f>
        <v/>
      </c>
    </row>
    <row r="4432" customFormat="false" ht="15" hidden="false" customHeight="true" outlineLevel="0" collapsed="false">
      <c r="G4432" s="1" t="str">
        <f aca="false">IF(C4432="","",INDEX(Akaun!$F$5:$F$150,MATCH(C4432,Akaun!$A$5:$A$150,0)))</f>
        <v/>
      </c>
      <c r="H4432" s="1" t="str">
        <f aca="false">IF(C4432="","",INDEX(Akaun!$D$5:$D$150,MATCH(C4432,Akaun!$A$5:$A$150,0)))</f>
        <v/>
      </c>
    </row>
    <row r="4433" customFormat="false" ht="15" hidden="false" customHeight="true" outlineLevel="0" collapsed="false">
      <c r="G4433" s="1" t="str">
        <f aca="false">IF(C4433="","",INDEX(Akaun!$F$5:$F$150,MATCH(C4433,Akaun!$A$5:$A$150,0)))</f>
        <v/>
      </c>
      <c r="H4433" s="1" t="str">
        <f aca="false">IF(C4433="","",INDEX(Akaun!$D$5:$D$150,MATCH(C4433,Akaun!$A$5:$A$150,0)))</f>
        <v/>
      </c>
    </row>
    <row r="4434" customFormat="false" ht="15" hidden="false" customHeight="true" outlineLevel="0" collapsed="false">
      <c r="G4434" s="1" t="str">
        <f aca="false">IF(C4434="","",INDEX(Akaun!$F$5:$F$150,MATCH(C4434,Akaun!$A$5:$A$150,0)))</f>
        <v/>
      </c>
      <c r="H4434" s="1" t="str">
        <f aca="false">IF(C4434="","",INDEX(Akaun!$D$5:$D$150,MATCH(C4434,Akaun!$A$5:$A$150,0)))</f>
        <v/>
      </c>
    </row>
    <row r="4435" customFormat="false" ht="15" hidden="false" customHeight="true" outlineLevel="0" collapsed="false">
      <c r="G4435" s="1" t="str">
        <f aca="false">IF(C4435="","",INDEX(Akaun!$F$5:$F$150,MATCH(C4435,Akaun!$A$5:$A$150,0)))</f>
        <v/>
      </c>
      <c r="H4435" s="1" t="str">
        <f aca="false">IF(C4435="","",INDEX(Akaun!$D$5:$D$150,MATCH(C4435,Akaun!$A$5:$A$150,0)))</f>
        <v/>
      </c>
    </row>
    <row r="4436" customFormat="false" ht="15" hidden="false" customHeight="true" outlineLevel="0" collapsed="false">
      <c r="G4436" s="1" t="str">
        <f aca="false">IF(C4436="","",INDEX(Akaun!$F$5:$F$150,MATCH(C4436,Akaun!$A$5:$A$150,0)))</f>
        <v/>
      </c>
      <c r="H4436" s="1" t="str">
        <f aca="false">IF(C4436="","",INDEX(Akaun!$D$5:$D$150,MATCH(C4436,Akaun!$A$5:$A$150,0)))</f>
        <v/>
      </c>
    </row>
    <row r="4437" customFormat="false" ht="15" hidden="false" customHeight="true" outlineLevel="0" collapsed="false">
      <c r="G4437" s="1" t="str">
        <f aca="false">IF(C4437="","",INDEX(Akaun!$F$5:$F$150,MATCH(C4437,Akaun!$A$5:$A$150,0)))</f>
        <v/>
      </c>
      <c r="H4437" s="1" t="str">
        <f aca="false">IF(C4437="","",INDEX(Akaun!$D$5:$D$150,MATCH(C4437,Akaun!$A$5:$A$150,0)))</f>
        <v/>
      </c>
    </row>
    <row r="4438" customFormat="false" ht="15" hidden="false" customHeight="true" outlineLevel="0" collapsed="false">
      <c r="G4438" s="1" t="str">
        <f aca="false">IF(C4438="","",INDEX(Akaun!$F$5:$F$150,MATCH(C4438,Akaun!$A$5:$A$150,0)))</f>
        <v/>
      </c>
      <c r="H4438" s="1" t="str">
        <f aca="false">IF(C4438="","",INDEX(Akaun!$D$5:$D$150,MATCH(C4438,Akaun!$A$5:$A$150,0)))</f>
        <v/>
      </c>
    </row>
    <row r="4439" customFormat="false" ht="15" hidden="false" customHeight="true" outlineLevel="0" collapsed="false">
      <c r="G4439" s="1" t="str">
        <f aca="false">IF(C4439="","",INDEX(Akaun!$F$5:$F$150,MATCH(C4439,Akaun!$A$5:$A$150,0)))</f>
        <v/>
      </c>
      <c r="H4439" s="1" t="str">
        <f aca="false">IF(C4439="","",INDEX(Akaun!$D$5:$D$150,MATCH(C4439,Akaun!$A$5:$A$150,0)))</f>
        <v/>
      </c>
    </row>
    <row r="4440" customFormat="false" ht="15" hidden="false" customHeight="true" outlineLevel="0" collapsed="false">
      <c r="G4440" s="1" t="str">
        <f aca="false">IF(C4440="","",INDEX(Akaun!$F$5:$F$150,MATCH(C4440,Akaun!$A$5:$A$150,0)))</f>
        <v/>
      </c>
      <c r="H4440" s="1" t="str">
        <f aca="false">IF(C4440="","",INDEX(Akaun!$D$5:$D$150,MATCH(C4440,Akaun!$A$5:$A$150,0)))</f>
        <v/>
      </c>
    </row>
    <row r="4441" customFormat="false" ht="15" hidden="false" customHeight="true" outlineLevel="0" collapsed="false">
      <c r="G4441" s="1" t="str">
        <f aca="false">IF(C4441="","",INDEX(Akaun!$F$5:$F$150,MATCH(C4441,Akaun!$A$5:$A$150,0)))</f>
        <v/>
      </c>
      <c r="H4441" s="1" t="str">
        <f aca="false">IF(C4441="","",INDEX(Akaun!$D$5:$D$150,MATCH(C4441,Akaun!$A$5:$A$150,0)))</f>
        <v/>
      </c>
    </row>
    <row r="4442" customFormat="false" ht="15" hidden="false" customHeight="true" outlineLevel="0" collapsed="false">
      <c r="G4442" s="1" t="str">
        <f aca="false">IF(C4442="","",INDEX(Akaun!$F$5:$F$150,MATCH(C4442,Akaun!$A$5:$A$150,0)))</f>
        <v/>
      </c>
      <c r="H4442" s="1" t="str">
        <f aca="false">IF(C4442="","",INDEX(Akaun!$D$5:$D$150,MATCH(C4442,Akaun!$A$5:$A$150,0)))</f>
        <v/>
      </c>
    </row>
    <row r="4443" customFormat="false" ht="15" hidden="false" customHeight="true" outlineLevel="0" collapsed="false">
      <c r="G4443" s="1" t="str">
        <f aca="false">IF(C4443="","",INDEX(Akaun!$F$5:$F$150,MATCH(C4443,Akaun!$A$5:$A$150,0)))</f>
        <v/>
      </c>
      <c r="H4443" s="1" t="str">
        <f aca="false">IF(C4443="","",INDEX(Akaun!$D$5:$D$150,MATCH(C4443,Akaun!$A$5:$A$150,0)))</f>
        <v/>
      </c>
    </row>
    <row r="4444" customFormat="false" ht="15" hidden="false" customHeight="true" outlineLevel="0" collapsed="false">
      <c r="G4444" s="1" t="str">
        <f aca="false">IF(C4444="","",INDEX(Akaun!$F$5:$F$150,MATCH(C4444,Akaun!$A$5:$A$150,0)))</f>
        <v/>
      </c>
      <c r="H4444" s="1" t="str">
        <f aca="false">IF(C4444="","",INDEX(Akaun!$D$5:$D$150,MATCH(C4444,Akaun!$A$5:$A$150,0)))</f>
        <v/>
      </c>
    </row>
    <row r="4445" customFormat="false" ht="15" hidden="false" customHeight="true" outlineLevel="0" collapsed="false">
      <c r="G4445" s="1" t="str">
        <f aca="false">IF(C4445="","",INDEX(Akaun!$F$5:$F$150,MATCH(C4445,Akaun!$A$5:$A$150,0)))</f>
        <v/>
      </c>
      <c r="H4445" s="1" t="str">
        <f aca="false">IF(C4445="","",INDEX(Akaun!$D$5:$D$150,MATCH(C4445,Akaun!$A$5:$A$150,0)))</f>
        <v/>
      </c>
    </row>
    <row r="4446" customFormat="false" ht="15" hidden="false" customHeight="true" outlineLevel="0" collapsed="false">
      <c r="G4446" s="1" t="str">
        <f aca="false">IF(C4446="","",INDEX(Akaun!$F$5:$F$150,MATCH(C4446,Akaun!$A$5:$A$150,0)))</f>
        <v/>
      </c>
      <c r="H4446" s="1" t="str">
        <f aca="false">IF(C4446="","",INDEX(Akaun!$D$5:$D$150,MATCH(C4446,Akaun!$A$5:$A$150,0)))</f>
        <v/>
      </c>
    </row>
    <row r="4447" customFormat="false" ht="15" hidden="false" customHeight="true" outlineLevel="0" collapsed="false">
      <c r="G4447" s="1" t="str">
        <f aca="false">IF(C4447="","",INDEX(Akaun!$F$5:$F$150,MATCH(C4447,Akaun!$A$5:$A$150,0)))</f>
        <v/>
      </c>
      <c r="H4447" s="1" t="str">
        <f aca="false">IF(C4447="","",INDEX(Akaun!$D$5:$D$150,MATCH(C4447,Akaun!$A$5:$A$150,0)))</f>
        <v/>
      </c>
    </row>
    <row r="4448" customFormat="false" ht="15" hidden="false" customHeight="true" outlineLevel="0" collapsed="false">
      <c r="G4448" s="1" t="str">
        <f aca="false">IF(C4448="","",INDEX(Akaun!$F$5:$F$150,MATCH(C4448,Akaun!$A$5:$A$150,0)))</f>
        <v/>
      </c>
      <c r="H4448" s="1" t="str">
        <f aca="false">IF(C4448="","",INDEX(Akaun!$D$5:$D$150,MATCH(C4448,Akaun!$A$5:$A$150,0)))</f>
        <v/>
      </c>
    </row>
    <row r="4449" customFormat="false" ht="15" hidden="false" customHeight="true" outlineLevel="0" collapsed="false">
      <c r="G4449" s="1" t="str">
        <f aca="false">IF(C4449="","",INDEX(Akaun!$F$5:$F$150,MATCH(C4449,Akaun!$A$5:$A$150,0)))</f>
        <v/>
      </c>
      <c r="H4449" s="1" t="str">
        <f aca="false">IF(C4449="","",INDEX(Akaun!$D$5:$D$150,MATCH(C4449,Akaun!$A$5:$A$150,0)))</f>
        <v/>
      </c>
    </row>
    <row r="4450" customFormat="false" ht="15" hidden="false" customHeight="true" outlineLevel="0" collapsed="false">
      <c r="G4450" s="1" t="str">
        <f aca="false">IF(C4450="","",INDEX(Akaun!$F$5:$F$150,MATCH(C4450,Akaun!$A$5:$A$150,0)))</f>
        <v/>
      </c>
      <c r="H4450" s="1" t="str">
        <f aca="false">IF(C4450="","",INDEX(Akaun!$D$5:$D$150,MATCH(C4450,Akaun!$A$5:$A$150,0)))</f>
        <v/>
      </c>
    </row>
    <row r="4451" customFormat="false" ht="15" hidden="false" customHeight="true" outlineLevel="0" collapsed="false">
      <c r="G4451" s="1" t="str">
        <f aca="false">IF(C4451="","",INDEX(Akaun!$F$5:$F$150,MATCH(C4451,Akaun!$A$5:$A$150,0)))</f>
        <v/>
      </c>
      <c r="H4451" s="1" t="str">
        <f aca="false">IF(C4451="","",INDEX(Akaun!$D$5:$D$150,MATCH(C4451,Akaun!$A$5:$A$150,0)))</f>
        <v/>
      </c>
    </row>
    <row r="4452" customFormat="false" ht="15" hidden="false" customHeight="true" outlineLevel="0" collapsed="false">
      <c r="G4452" s="1" t="str">
        <f aca="false">IF(C4452="","",INDEX(Akaun!$F$5:$F$150,MATCH(C4452,Akaun!$A$5:$A$150,0)))</f>
        <v/>
      </c>
      <c r="H4452" s="1" t="str">
        <f aca="false">IF(C4452="","",INDEX(Akaun!$D$5:$D$150,MATCH(C4452,Akaun!$A$5:$A$150,0)))</f>
        <v/>
      </c>
    </row>
    <row r="4453" customFormat="false" ht="15" hidden="false" customHeight="true" outlineLevel="0" collapsed="false">
      <c r="G4453" s="1" t="str">
        <f aca="false">IF(C4453="","",INDEX(Akaun!$F$5:$F$150,MATCH(C4453,Akaun!$A$5:$A$150,0)))</f>
        <v/>
      </c>
      <c r="H4453" s="1" t="str">
        <f aca="false">IF(C4453="","",INDEX(Akaun!$D$5:$D$150,MATCH(C4453,Akaun!$A$5:$A$150,0)))</f>
        <v/>
      </c>
    </row>
    <row r="4454" customFormat="false" ht="15" hidden="false" customHeight="true" outlineLevel="0" collapsed="false">
      <c r="G4454" s="1" t="str">
        <f aca="false">IF(C4454="","",INDEX(Akaun!$F$5:$F$150,MATCH(C4454,Akaun!$A$5:$A$150,0)))</f>
        <v/>
      </c>
      <c r="H4454" s="1" t="str">
        <f aca="false">IF(C4454="","",INDEX(Akaun!$D$5:$D$150,MATCH(C4454,Akaun!$A$5:$A$150,0)))</f>
        <v/>
      </c>
    </row>
    <row r="4455" customFormat="false" ht="15" hidden="false" customHeight="true" outlineLevel="0" collapsed="false">
      <c r="G4455" s="1" t="str">
        <f aca="false">IF(C4455="","",INDEX(Akaun!$F$5:$F$150,MATCH(C4455,Akaun!$A$5:$A$150,0)))</f>
        <v/>
      </c>
      <c r="H4455" s="1" t="str">
        <f aca="false">IF(C4455="","",INDEX(Akaun!$D$5:$D$150,MATCH(C4455,Akaun!$A$5:$A$150,0)))</f>
        <v/>
      </c>
    </row>
    <row r="4456" customFormat="false" ht="15" hidden="false" customHeight="true" outlineLevel="0" collapsed="false">
      <c r="G4456" s="1" t="str">
        <f aca="false">IF(C4456="","",INDEX(Akaun!$F$5:$F$150,MATCH(C4456,Akaun!$A$5:$A$150,0)))</f>
        <v/>
      </c>
      <c r="H4456" s="1" t="str">
        <f aca="false">IF(C4456="","",INDEX(Akaun!$D$5:$D$150,MATCH(C4456,Akaun!$A$5:$A$150,0)))</f>
        <v/>
      </c>
    </row>
    <row r="4457" customFormat="false" ht="15" hidden="false" customHeight="true" outlineLevel="0" collapsed="false">
      <c r="G4457" s="1" t="str">
        <f aca="false">IF(C4457="","",INDEX(Akaun!$F$5:$F$150,MATCH(C4457,Akaun!$A$5:$A$150,0)))</f>
        <v/>
      </c>
      <c r="H4457" s="1" t="str">
        <f aca="false">IF(C4457="","",INDEX(Akaun!$D$5:$D$150,MATCH(C4457,Akaun!$A$5:$A$150,0)))</f>
        <v/>
      </c>
    </row>
    <row r="4458" customFormat="false" ht="15" hidden="false" customHeight="true" outlineLevel="0" collapsed="false">
      <c r="G4458" s="1" t="str">
        <f aca="false">IF(C4458="","",INDEX(Akaun!$F$5:$F$150,MATCH(C4458,Akaun!$A$5:$A$150,0)))</f>
        <v/>
      </c>
      <c r="H4458" s="1" t="str">
        <f aca="false">IF(C4458="","",INDEX(Akaun!$D$5:$D$150,MATCH(C4458,Akaun!$A$5:$A$150,0)))</f>
        <v/>
      </c>
    </row>
    <row r="4459" customFormat="false" ht="15" hidden="false" customHeight="true" outlineLevel="0" collapsed="false">
      <c r="G4459" s="1" t="str">
        <f aca="false">IF(C4459="","",INDEX(Akaun!$F$5:$F$150,MATCH(C4459,Akaun!$A$5:$A$150,0)))</f>
        <v/>
      </c>
      <c r="H4459" s="1" t="str">
        <f aca="false">IF(C4459="","",INDEX(Akaun!$D$5:$D$150,MATCH(C4459,Akaun!$A$5:$A$150,0)))</f>
        <v/>
      </c>
    </row>
    <row r="4460" customFormat="false" ht="15" hidden="false" customHeight="true" outlineLevel="0" collapsed="false">
      <c r="G4460" s="1" t="str">
        <f aca="false">IF(C4460="","",INDEX(Akaun!$F$5:$F$150,MATCH(C4460,Akaun!$A$5:$A$150,0)))</f>
        <v/>
      </c>
      <c r="H4460" s="1" t="str">
        <f aca="false">IF(C4460="","",INDEX(Akaun!$D$5:$D$150,MATCH(C4460,Akaun!$A$5:$A$150,0)))</f>
        <v/>
      </c>
    </row>
    <row r="4461" customFormat="false" ht="15" hidden="false" customHeight="true" outlineLevel="0" collapsed="false">
      <c r="G4461" s="1" t="str">
        <f aca="false">IF(C4461="","",INDEX(Akaun!$F$5:$F$150,MATCH(C4461,Akaun!$A$5:$A$150,0)))</f>
        <v/>
      </c>
      <c r="H4461" s="1" t="str">
        <f aca="false">IF(C4461="","",INDEX(Akaun!$D$5:$D$150,MATCH(C4461,Akaun!$A$5:$A$150,0)))</f>
        <v/>
      </c>
    </row>
    <row r="4462" customFormat="false" ht="15" hidden="false" customHeight="true" outlineLevel="0" collapsed="false">
      <c r="G4462" s="1" t="str">
        <f aca="false">IF(C4462="","",INDEX(Akaun!$F$5:$F$150,MATCH(C4462,Akaun!$A$5:$A$150,0)))</f>
        <v/>
      </c>
      <c r="H4462" s="1" t="str">
        <f aca="false">IF(C4462="","",INDEX(Akaun!$D$5:$D$150,MATCH(C4462,Akaun!$A$5:$A$150,0)))</f>
        <v/>
      </c>
    </row>
    <row r="4463" customFormat="false" ht="15" hidden="false" customHeight="true" outlineLevel="0" collapsed="false">
      <c r="G4463" s="1" t="str">
        <f aca="false">IF(C4463="","",INDEX(Akaun!$F$5:$F$150,MATCH(C4463,Akaun!$A$5:$A$150,0)))</f>
        <v/>
      </c>
      <c r="H4463" s="1" t="str">
        <f aca="false">IF(C4463="","",INDEX(Akaun!$D$5:$D$150,MATCH(C4463,Akaun!$A$5:$A$150,0)))</f>
        <v/>
      </c>
    </row>
    <row r="4464" customFormat="false" ht="15" hidden="false" customHeight="true" outlineLevel="0" collapsed="false">
      <c r="G4464" s="1" t="str">
        <f aca="false">IF(C4464="","",INDEX(Akaun!$F$5:$F$150,MATCH(C4464,Akaun!$A$5:$A$150,0)))</f>
        <v/>
      </c>
      <c r="H4464" s="1" t="str">
        <f aca="false">IF(C4464="","",INDEX(Akaun!$D$5:$D$150,MATCH(C4464,Akaun!$A$5:$A$150,0)))</f>
        <v/>
      </c>
    </row>
    <row r="4465" customFormat="false" ht="15" hidden="false" customHeight="true" outlineLevel="0" collapsed="false">
      <c r="G4465" s="1" t="str">
        <f aca="false">IF(C4465="","",INDEX(Akaun!$F$5:$F$150,MATCH(C4465,Akaun!$A$5:$A$150,0)))</f>
        <v/>
      </c>
      <c r="H4465" s="1" t="str">
        <f aca="false">IF(C4465="","",INDEX(Akaun!$D$5:$D$150,MATCH(C4465,Akaun!$A$5:$A$150,0)))</f>
        <v/>
      </c>
    </row>
    <row r="4466" customFormat="false" ht="15" hidden="false" customHeight="true" outlineLevel="0" collapsed="false">
      <c r="G4466" s="1" t="str">
        <f aca="false">IF(C4466="","",INDEX(Akaun!$F$5:$F$150,MATCH(C4466,Akaun!$A$5:$A$150,0)))</f>
        <v/>
      </c>
      <c r="H4466" s="1" t="str">
        <f aca="false">IF(C4466="","",INDEX(Akaun!$D$5:$D$150,MATCH(C4466,Akaun!$A$5:$A$150,0)))</f>
        <v/>
      </c>
    </row>
    <row r="4467" customFormat="false" ht="15" hidden="false" customHeight="true" outlineLevel="0" collapsed="false">
      <c r="G4467" s="1" t="str">
        <f aca="false">IF(C4467="","",INDEX(Akaun!$F$5:$F$150,MATCH(C4467,Akaun!$A$5:$A$150,0)))</f>
        <v/>
      </c>
      <c r="H4467" s="1" t="str">
        <f aca="false">IF(C4467="","",INDEX(Akaun!$D$5:$D$150,MATCH(C4467,Akaun!$A$5:$A$150,0)))</f>
        <v/>
      </c>
    </row>
    <row r="4468" customFormat="false" ht="15" hidden="false" customHeight="true" outlineLevel="0" collapsed="false">
      <c r="G4468" s="1" t="str">
        <f aca="false">IF(C4468="","",INDEX(Akaun!$F$5:$F$150,MATCH(C4468,Akaun!$A$5:$A$150,0)))</f>
        <v/>
      </c>
      <c r="H4468" s="1" t="str">
        <f aca="false">IF(C4468="","",INDEX(Akaun!$D$5:$D$150,MATCH(C4468,Akaun!$A$5:$A$150,0)))</f>
        <v/>
      </c>
    </row>
    <row r="4469" customFormat="false" ht="15" hidden="false" customHeight="true" outlineLevel="0" collapsed="false">
      <c r="G4469" s="1" t="str">
        <f aca="false">IF(C4469="","",INDEX(Akaun!$F$5:$F$150,MATCH(C4469,Akaun!$A$5:$A$150,0)))</f>
        <v/>
      </c>
      <c r="H4469" s="1" t="str">
        <f aca="false">IF(C4469="","",INDEX(Akaun!$D$5:$D$150,MATCH(C4469,Akaun!$A$5:$A$150,0)))</f>
        <v/>
      </c>
    </row>
    <row r="4470" customFormat="false" ht="15" hidden="false" customHeight="true" outlineLevel="0" collapsed="false">
      <c r="G4470" s="1" t="str">
        <f aca="false">IF(C4470="","",INDEX(Akaun!$F$5:$F$150,MATCH(C4470,Akaun!$A$5:$A$150,0)))</f>
        <v/>
      </c>
      <c r="H4470" s="1" t="str">
        <f aca="false">IF(C4470="","",INDEX(Akaun!$D$5:$D$150,MATCH(C4470,Akaun!$A$5:$A$150,0)))</f>
        <v/>
      </c>
    </row>
    <row r="4471" customFormat="false" ht="15" hidden="false" customHeight="true" outlineLevel="0" collapsed="false">
      <c r="G4471" s="1" t="str">
        <f aca="false">IF(C4471="","",INDEX(Akaun!$F$5:$F$150,MATCH(C4471,Akaun!$A$5:$A$150,0)))</f>
        <v/>
      </c>
      <c r="H4471" s="1" t="str">
        <f aca="false">IF(C4471="","",INDEX(Akaun!$D$5:$D$150,MATCH(C4471,Akaun!$A$5:$A$150,0)))</f>
        <v/>
      </c>
    </row>
    <row r="4472" customFormat="false" ht="15" hidden="false" customHeight="true" outlineLevel="0" collapsed="false">
      <c r="G4472" s="1" t="str">
        <f aca="false">IF(C4472="","",INDEX(Akaun!$F$5:$F$150,MATCH(C4472,Akaun!$A$5:$A$150,0)))</f>
        <v/>
      </c>
      <c r="H4472" s="1" t="str">
        <f aca="false">IF(C4472="","",INDEX(Akaun!$D$5:$D$150,MATCH(C4472,Akaun!$A$5:$A$150,0)))</f>
        <v/>
      </c>
    </row>
    <row r="4473" customFormat="false" ht="15" hidden="false" customHeight="true" outlineLevel="0" collapsed="false">
      <c r="G4473" s="1" t="str">
        <f aca="false">IF(C4473="","",INDEX(Akaun!$F$5:$F$150,MATCH(C4473,Akaun!$A$5:$A$150,0)))</f>
        <v/>
      </c>
      <c r="H4473" s="1" t="str">
        <f aca="false">IF(C4473="","",INDEX(Akaun!$D$5:$D$150,MATCH(C4473,Akaun!$A$5:$A$150,0)))</f>
        <v/>
      </c>
    </row>
    <row r="4474" customFormat="false" ht="15" hidden="false" customHeight="true" outlineLevel="0" collapsed="false">
      <c r="G4474" s="1" t="str">
        <f aca="false">IF(C4474="","",INDEX(Akaun!$F$5:$F$150,MATCH(C4474,Akaun!$A$5:$A$150,0)))</f>
        <v/>
      </c>
      <c r="H4474" s="1" t="str">
        <f aca="false">IF(C4474="","",INDEX(Akaun!$D$5:$D$150,MATCH(C4474,Akaun!$A$5:$A$150,0)))</f>
        <v/>
      </c>
    </row>
    <row r="4475" customFormat="false" ht="15" hidden="false" customHeight="true" outlineLevel="0" collapsed="false">
      <c r="G4475" s="1" t="str">
        <f aca="false">IF(C4475="","",INDEX(Akaun!$F$5:$F$150,MATCH(C4475,Akaun!$A$5:$A$150,0)))</f>
        <v/>
      </c>
      <c r="H4475" s="1" t="str">
        <f aca="false">IF(C4475="","",INDEX(Akaun!$D$5:$D$150,MATCH(C4475,Akaun!$A$5:$A$150,0)))</f>
        <v/>
      </c>
    </row>
    <row r="4476" customFormat="false" ht="15" hidden="false" customHeight="true" outlineLevel="0" collapsed="false">
      <c r="G4476" s="1" t="str">
        <f aca="false">IF(C4476="","",INDEX(Akaun!$F$5:$F$150,MATCH(C4476,Akaun!$A$5:$A$150,0)))</f>
        <v/>
      </c>
      <c r="H4476" s="1" t="str">
        <f aca="false">IF(C4476="","",INDEX(Akaun!$D$5:$D$150,MATCH(C4476,Akaun!$A$5:$A$150,0)))</f>
        <v/>
      </c>
    </row>
    <row r="4477" customFormat="false" ht="15" hidden="false" customHeight="true" outlineLevel="0" collapsed="false">
      <c r="G4477" s="1" t="str">
        <f aca="false">IF(C4477="","",INDEX(Akaun!$F$5:$F$150,MATCH(C4477,Akaun!$A$5:$A$150,0)))</f>
        <v/>
      </c>
      <c r="H4477" s="1" t="str">
        <f aca="false">IF(C4477="","",INDEX(Akaun!$D$5:$D$150,MATCH(C4477,Akaun!$A$5:$A$150,0)))</f>
        <v/>
      </c>
    </row>
    <row r="4478" customFormat="false" ht="15" hidden="false" customHeight="true" outlineLevel="0" collapsed="false">
      <c r="G4478" s="1" t="str">
        <f aca="false">IF(C4478="","",INDEX(Akaun!$F$5:$F$150,MATCH(C4478,Akaun!$A$5:$A$150,0)))</f>
        <v/>
      </c>
      <c r="H4478" s="1" t="str">
        <f aca="false">IF(C4478="","",INDEX(Akaun!$D$5:$D$150,MATCH(C4478,Akaun!$A$5:$A$150,0)))</f>
        <v/>
      </c>
    </row>
    <row r="4479" customFormat="false" ht="15" hidden="false" customHeight="true" outlineLevel="0" collapsed="false">
      <c r="G4479" s="1" t="str">
        <f aca="false">IF(C4479="","",INDEX(Akaun!$F$5:$F$150,MATCH(C4479,Akaun!$A$5:$A$150,0)))</f>
        <v/>
      </c>
      <c r="H4479" s="1" t="str">
        <f aca="false">IF(C4479="","",INDEX(Akaun!$D$5:$D$150,MATCH(C4479,Akaun!$A$5:$A$150,0)))</f>
        <v/>
      </c>
    </row>
    <row r="4480" customFormat="false" ht="15" hidden="false" customHeight="true" outlineLevel="0" collapsed="false">
      <c r="G4480" s="1" t="str">
        <f aca="false">IF(C4480="","",INDEX(Akaun!$F$5:$F$150,MATCH(C4480,Akaun!$A$5:$A$150,0)))</f>
        <v/>
      </c>
      <c r="H4480" s="1" t="str">
        <f aca="false">IF(C4480="","",INDEX(Akaun!$D$5:$D$150,MATCH(C4480,Akaun!$A$5:$A$150,0)))</f>
        <v/>
      </c>
    </row>
    <row r="4481" customFormat="false" ht="15" hidden="false" customHeight="true" outlineLevel="0" collapsed="false">
      <c r="G4481" s="1" t="str">
        <f aca="false">IF(C4481="","",INDEX(Akaun!$F$5:$F$150,MATCH(C4481,Akaun!$A$5:$A$150,0)))</f>
        <v/>
      </c>
      <c r="H4481" s="1" t="str">
        <f aca="false">IF(C4481="","",INDEX(Akaun!$D$5:$D$150,MATCH(C4481,Akaun!$A$5:$A$150,0)))</f>
        <v/>
      </c>
    </row>
    <row r="4482" customFormat="false" ht="15" hidden="false" customHeight="true" outlineLevel="0" collapsed="false">
      <c r="G4482" s="1" t="str">
        <f aca="false">IF(C4482="","",INDEX(Akaun!$F$5:$F$150,MATCH(C4482,Akaun!$A$5:$A$150,0)))</f>
        <v/>
      </c>
      <c r="H4482" s="1" t="str">
        <f aca="false">IF(C4482="","",INDEX(Akaun!$D$5:$D$150,MATCH(C4482,Akaun!$A$5:$A$150,0)))</f>
        <v/>
      </c>
    </row>
    <row r="4483" customFormat="false" ht="15" hidden="false" customHeight="true" outlineLevel="0" collapsed="false">
      <c r="G4483" s="1" t="str">
        <f aca="false">IF(C4483="","",INDEX(Akaun!$F$5:$F$150,MATCH(C4483,Akaun!$A$5:$A$150,0)))</f>
        <v/>
      </c>
      <c r="H4483" s="1" t="str">
        <f aca="false">IF(C4483="","",INDEX(Akaun!$D$5:$D$150,MATCH(C4483,Akaun!$A$5:$A$150,0)))</f>
        <v/>
      </c>
    </row>
    <row r="4484" customFormat="false" ht="15" hidden="false" customHeight="true" outlineLevel="0" collapsed="false">
      <c r="G4484" s="1" t="str">
        <f aca="false">IF(C4484="","",INDEX(Akaun!$F$5:$F$150,MATCH(C4484,Akaun!$A$5:$A$150,0)))</f>
        <v/>
      </c>
      <c r="H4484" s="1" t="str">
        <f aca="false">IF(C4484="","",INDEX(Akaun!$D$5:$D$150,MATCH(C4484,Akaun!$A$5:$A$150,0)))</f>
        <v/>
      </c>
    </row>
    <row r="4485" customFormat="false" ht="15" hidden="false" customHeight="true" outlineLevel="0" collapsed="false">
      <c r="G4485" s="1" t="str">
        <f aca="false">IF(C4485="","",INDEX(Akaun!$F$5:$F$150,MATCH(C4485,Akaun!$A$5:$A$150,0)))</f>
        <v/>
      </c>
      <c r="H4485" s="1" t="str">
        <f aca="false">IF(C4485="","",INDEX(Akaun!$D$5:$D$150,MATCH(C4485,Akaun!$A$5:$A$150,0)))</f>
        <v/>
      </c>
    </row>
    <row r="4486" customFormat="false" ht="15" hidden="false" customHeight="true" outlineLevel="0" collapsed="false">
      <c r="G4486" s="1" t="str">
        <f aca="false">IF(C4486="","",INDEX(Akaun!$F$5:$F$150,MATCH(C4486,Akaun!$A$5:$A$150,0)))</f>
        <v/>
      </c>
      <c r="H4486" s="1" t="str">
        <f aca="false">IF(C4486="","",INDEX(Akaun!$D$5:$D$150,MATCH(C4486,Akaun!$A$5:$A$150,0)))</f>
        <v/>
      </c>
    </row>
    <row r="4487" customFormat="false" ht="15" hidden="false" customHeight="true" outlineLevel="0" collapsed="false">
      <c r="G4487" s="1" t="str">
        <f aca="false">IF(C4487="","",INDEX(Akaun!$F$5:$F$150,MATCH(C4487,Akaun!$A$5:$A$150,0)))</f>
        <v/>
      </c>
      <c r="H4487" s="1" t="str">
        <f aca="false">IF(C4487="","",INDEX(Akaun!$D$5:$D$150,MATCH(C4487,Akaun!$A$5:$A$150,0)))</f>
        <v/>
      </c>
    </row>
    <row r="4488" customFormat="false" ht="15" hidden="false" customHeight="true" outlineLevel="0" collapsed="false">
      <c r="G4488" s="1" t="str">
        <f aca="false">IF(C4488="","",INDEX(Akaun!$F$5:$F$150,MATCH(C4488,Akaun!$A$5:$A$150,0)))</f>
        <v/>
      </c>
      <c r="H4488" s="1" t="str">
        <f aca="false">IF(C4488="","",INDEX(Akaun!$D$5:$D$150,MATCH(C4488,Akaun!$A$5:$A$150,0)))</f>
        <v/>
      </c>
    </row>
    <row r="4489" customFormat="false" ht="15" hidden="false" customHeight="true" outlineLevel="0" collapsed="false">
      <c r="G4489" s="1" t="str">
        <f aca="false">IF(C4489="","",INDEX(Akaun!$F$5:$F$150,MATCH(C4489,Akaun!$A$5:$A$150,0)))</f>
        <v/>
      </c>
      <c r="H4489" s="1" t="str">
        <f aca="false">IF(C4489="","",INDEX(Akaun!$D$5:$D$150,MATCH(C4489,Akaun!$A$5:$A$150,0)))</f>
        <v/>
      </c>
    </row>
    <row r="4490" customFormat="false" ht="15" hidden="false" customHeight="true" outlineLevel="0" collapsed="false">
      <c r="G4490" s="1" t="str">
        <f aca="false">IF(C4490="","",INDEX(Akaun!$F$5:$F$150,MATCH(C4490,Akaun!$A$5:$A$150,0)))</f>
        <v/>
      </c>
      <c r="H4490" s="1" t="str">
        <f aca="false">IF(C4490="","",INDEX(Akaun!$D$5:$D$150,MATCH(C4490,Akaun!$A$5:$A$150,0)))</f>
        <v/>
      </c>
    </row>
    <row r="4491" customFormat="false" ht="15" hidden="false" customHeight="true" outlineLevel="0" collapsed="false">
      <c r="G4491" s="1" t="str">
        <f aca="false">IF(C4491="","",INDEX(Akaun!$F$5:$F$150,MATCH(C4491,Akaun!$A$5:$A$150,0)))</f>
        <v/>
      </c>
      <c r="H4491" s="1" t="str">
        <f aca="false">IF(C4491="","",INDEX(Akaun!$D$5:$D$150,MATCH(C4491,Akaun!$A$5:$A$150,0)))</f>
        <v/>
      </c>
    </row>
    <row r="4492" customFormat="false" ht="15" hidden="false" customHeight="true" outlineLevel="0" collapsed="false">
      <c r="G4492" s="1" t="str">
        <f aca="false">IF(C4492="","",INDEX(Akaun!$F$5:$F$150,MATCH(C4492,Akaun!$A$5:$A$150,0)))</f>
        <v/>
      </c>
      <c r="H4492" s="1" t="str">
        <f aca="false">IF(C4492="","",INDEX(Akaun!$D$5:$D$150,MATCH(C4492,Akaun!$A$5:$A$150,0)))</f>
        <v/>
      </c>
    </row>
    <row r="4493" customFormat="false" ht="15" hidden="false" customHeight="true" outlineLevel="0" collapsed="false">
      <c r="G4493" s="1" t="str">
        <f aca="false">IF(C4493="","",INDEX(Akaun!$F$5:$F$150,MATCH(C4493,Akaun!$A$5:$A$150,0)))</f>
        <v/>
      </c>
      <c r="H4493" s="1" t="str">
        <f aca="false">IF(C4493="","",INDEX(Akaun!$D$5:$D$150,MATCH(C4493,Akaun!$A$5:$A$150,0)))</f>
        <v/>
      </c>
    </row>
    <row r="4494" customFormat="false" ht="15" hidden="false" customHeight="true" outlineLevel="0" collapsed="false">
      <c r="G4494" s="1" t="str">
        <f aca="false">IF(C4494="","",INDEX(Akaun!$F$5:$F$150,MATCH(C4494,Akaun!$A$5:$A$150,0)))</f>
        <v/>
      </c>
      <c r="H4494" s="1" t="str">
        <f aca="false">IF(C4494="","",INDEX(Akaun!$D$5:$D$150,MATCH(C4494,Akaun!$A$5:$A$150,0)))</f>
        <v/>
      </c>
    </row>
    <row r="4495" customFormat="false" ht="15" hidden="false" customHeight="true" outlineLevel="0" collapsed="false">
      <c r="G4495" s="1" t="str">
        <f aca="false">IF(C4495="","",INDEX(Akaun!$F$5:$F$150,MATCH(C4495,Akaun!$A$5:$A$150,0)))</f>
        <v/>
      </c>
      <c r="H4495" s="1" t="str">
        <f aca="false">IF(C4495="","",INDEX(Akaun!$D$5:$D$150,MATCH(C4495,Akaun!$A$5:$A$150,0)))</f>
        <v/>
      </c>
    </row>
    <row r="4496" customFormat="false" ht="15" hidden="false" customHeight="true" outlineLevel="0" collapsed="false">
      <c r="G4496" s="1" t="str">
        <f aca="false">IF(C4496="","",INDEX(Akaun!$F$5:$F$150,MATCH(C4496,Akaun!$A$5:$A$150,0)))</f>
        <v/>
      </c>
      <c r="H4496" s="1" t="str">
        <f aca="false">IF(C4496="","",INDEX(Akaun!$D$5:$D$150,MATCH(C4496,Akaun!$A$5:$A$150,0)))</f>
        <v/>
      </c>
    </row>
    <row r="4497" customFormat="false" ht="15" hidden="false" customHeight="true" outlineLevel="0" collapsed="false">
      <c r="G4497" s="1" t="str">
        <f aca="false">IF(C4497="","",INDEX(Akaun!$F$5:$F$150,MATCH(C4497,Akaun!$A$5:$A$150,0)))</f>
        <v/>
      </c>
      <c r="H4497" s="1" t="str">
        <f aca="false">IF(C4497="","",INDEX(Akaun!$D$5:$D$150,MATCH(C4497,Akaun!$A$5:$A$150,0)))</f>
        <v/>
      </c>
    </row>
    <row r="4498" customFormat="false" ht="15" hidden="false" customHeight="true" outlineLevel="0" collapsed="false">
      <c r="G4498" s="1" t="str">
        <f aca="false">IF(C4498="","",INDEX(Akaun!$F$5:$F$150,MATCH(C4498,Akaun!$A$5:$A$150,0)))</f>
        <v/>
      </c>
      <c r="H4498" s="1" t="str">
        <f aca="false">IF(C4498="","",INDEX(Akaun!$D$5:$D$150,MATCH(C4498,Akaun!$A$5:$A$150,0)))</f>
        <v/>
      </c>
    </row>
    <row r="4499" customFormat="false" ht="15" hidden="false" customHeight="true" outlineLevel="0" collapsed="false">
      <c r="G4499" s="1" t="str">
        <f aca="false">IF(C4499="","",INDEX(Akaun!$F$5:$F$150,MATCH(C4499,Akaun!$A$5:$A$150,0)))</f>
        <v/>
      </c>
      <c r="H4499" s="1" t="str">
        <f aca="false">IF(C4499="","",INDEX(Akaun!$D$5:$D$150,MATCH(C4499,Akaun!$A$5:$A$150,0)))</f>
        <v/>
      </c>
    </row>
    <row r="4500" customFormat="false" ht="15" hidden="false" customHeight="true" outlineLevel="0" collapsed="false">
      <c r="G4500" s="1" t="str">
        <f aca="false">IF(C4500="","",INDEX(Akaun!$F$5:$F$150,MATCH(C4500,Akaun!$A$5:$A$150,0)))</f>
        <v/>
      </c>
      <c r="H4500" s="1" t="str">
        <f aca="false">IF(C4500="","",INDEX(Akaun!$D$5:$D$150,MATCH(C4500,Akaun!$A$5:$A$150,0)))</f>
        <v/>
      </c>
    </row>
    <row r="4501" customFormat="false" ht="15" hidden="false" customHeight="true" outlineLevel="0" collapsed="false">
      <c r="G4501" s="1" t="str">
        <f aca="false">IF(C4501="","",INDEX(Akaun!$F$5:$F$150,MATCH(C4501,Akaun!$A$5:$A$150,0)))</f>
        <v/>
      </c>
      <c r="H4501" s="1" t="str">
        <f aca="false">IF(C4501="","",INDEX(Akaun!$D$5:$D$150,MATCH(C4501,Akaun!$A$5:$A$150,0)))</f>
        <v/>
      </c>
    </row>
    <row r="4502" customFormat="false" ht="15" hidden="false" customHeight="true" outlineLevel="0" collapsed="false">
      <c r="G4502" s="1" t="str">
        <f aca="false">IF(C4502="","",INDEX(Akaun!$F$5:$F$150,MATCH(C4502,Akaun!$A$5:$A$150,0)))</f>
        <v/>
      </c>
      <c r="H4502" s="1" t="str">
        <f aca="false">IF(C4502="","",INDEX(Akaun!$D$5:$D$150,MATCH(C4502,Akaun!$A$5:$A$150,0)))</f>
        <v/>
      </c>
    </row>
    <row r="4503" customFormat="false" ht="15" hidden="false" customHeight="true" outlineLevel="0" collapsed="false">
      <c r="G4503" s="1" t="str">
        <f aca="false">IF(C4503="","",INDEX(Akaun!$F$5:$F$150,MATCH(C4503,Akaun!$A$5:$A$150,0)))</f>
        <v/>
      </c>
      <c r="H4503" s="1" t="str">
        <f aca="false">IF(C4503="","",INDEX(Akaun!$D$5:$D$150,MATCH(C4503,Akaun!$A$5:$A$150,0)))</f>
        <v/>
      </c>
    </row>
    <row r="4504" customFormat="false" ht="15" hidden="false" customHeight="true" outlineLevel="0" collapsed="false">
      <c r="G4504" s="1" t="str">
        <f aca="false">IF(C4504="","",INDEX(Akaun!$F$5:$F$150,MATCH(C4504,Akaun!$A$5:$A$150,0)))</f>
        <v/>
      </c>
      <c r="H4504" s="1" t="str">
        <f aca="false">IF(C4504="","",INDEX(Akaun!$D$5:$D$150,MATCH(C4504,Akaun!$A$5:$A$150,0)))</f>
        <v/>
      </c>
    </row>
    <row r="4505" customFormat="false" ht="15" hidden="false" customHeight="true" outlineLevel="0" collapsed="false">
      <c r="G4505" s="1" t="str">
        <f aca="false">IF(C4505="","",INDEX(Akaun!$F$5:$F$150,MATCH(C4505,Akaun!$A$5:$A$150,0)))</f>
        <v/>
      </c>
      <c r="H4505" s="1" t="str">
        <f aca="false">IF(C4505="","",INDEX(Akaun!$D$5:$D$150,MATCH(C4505,Akaun!$A$5:$A$150,0)))</f>
        <v/>
      </c>
    </row>
    <row r="4506" customFormat="false" ht="15" hidden="false" customHeight="true" outlineLevel="0" collapsed="false">
      <c r="G4506" s="1" t="str">
        <f aca="false">IF(C4506="","",INDEX(Akaun!$F$5:$F$150,MATCH(C4506,Akaun!$A$5:$A$150,0)))</f>
        <v/>
      </c>
      <c r="H4506" s="1" t="str">
        <f aca="false">IF(C4506="","",INDEX(Akaun!$D$5:$D$150,MATCH(C4506,Akaun!$A$5:$A$150,0)))</f>
        <v/>
      </c>
    </row>
    <row r="4507" customFormat="false" ht="15" hidden="false" customHeight="true" outlineLevel="0" collapsed="false">
      <c r="G4507" s="1" t="str">
        <f aca="false">IF(C4507="","",INDEX(Akaun!$F$5:$F$150,MATCH(C4507,Akaun!$A$5:$A$150,0)))</f>
        <v/>
      </c>
      <c r="H4507" s="1" t="str">
        <f aca="false">IF(C4507="","",INDEX(Akaun!$D$5:$D$150,MATCH(C4507,Akaun!$A$5:$A$150,0)))</f>
        <v/>
      </c>
    </row>
    <row r="4508" customFormat="false" ht="15" hidden="false" customHeight="true" outlineLevel="0" collapsed="false">
      <c r="G4508" s="1" t="str">
        <f aca="false">IF(C4508="","",INDEX(Akaun!$F$5:$F$150,MATCH(C4508,Akaun!$A$5:$A$150,0)))</f>
        <v/>
      </c>
      <c r="H4508" s="1" t="str">
        <f aca="false">IF(C4508="","",INDEX(Akaun!$D$5:$D$150,MATCH(C4508,Akaun!$A$5:$A$150,0)))</f>
        <v/>
      </c>
    </row>
    <row r="4509" customFormat="false" ht="15" hidden="false" customHeight="true" outlineLevel="0" collapsed="false">
      <c r="G4509" s="1" t="str">
        <f aca="false">IF(C4509="","",INDEX(Akaun!$F$5:$F$150,MATCH(C4509,Akaun!$A$5:$A$150,0)))</f>
        <v/>
      </c>
      <c r="H4509" s="1" t="str">
        <f aca="false">IF(C4509="","",INDEX(Akaun!$D$5:$D$150,MATCH(C4509,Akaun!$A$5:$A$150,0)))</f>
        <v/>
      </c>
    </row>
    <row r="4510" customFormat="false" ht="15" hidden="false" customHeight="true" outlineLevel="0" collapsed="false">
      <c r="G4510" s="1" t="str">
        <f aca="false">IF(C4510="","",INDEX(Akaun!$F$5:$F$150,MATCH(C4510,Akaun!$A$5:$A$150,0)))</f>
        <v/>
      </c>
      <c r="H4510" s="1" t="str">
        <f aca="false">IF(C4510="","",INDEX(Akaun!$D$5:$D$150,MATCH(C4510,Akaun!$A$5:$A$150,0)))</f>
        <v/>
      </c>
    </row>
    <row r="4511" customFormat="false" ht="15" hidden="false" customHeight="true" outlineLevel="0" collapsed="false">
      <c r="G4511" s="1" t="str">
        <f aca="false">IF(C4511="","",INDEX(Akaun!$F$5:$F$150,MATCH(C4511,Akaun!$A$5:$A$150,0)))</f>
        <v/>
      </c>
      <c r="H4511" s="1" t="str">
        <f aca="false">IF(C4511="","",INDEX(Akaun!$D$5:$D$150,MATCH(C4511,Akaun!$A$5:$A$150,0)))</f>
        <v/>
      </c>
    </row>
    <row r="4512" customFormat="false" ht="15" hidden="false" customHeight="true" outlineLevel="0" collapsed="false">
      <c r="G4512" s="1" t="str">
        <f aca="false">IF(C4512="","",INDEX(Akaun!$F$5:$F$150,MATCH(C4512,Akaun!$A$5:$A$150,0)))</f>
        <v/>
      </c>
      <c r="H4512" s="1" t="str">
        <f aca="false">IF(C4512="","",INDEX(Akaun!$D$5:$D$150,MATCH(C4512,Akaun!$A$5:$A$150,0)))</f>
        <v/>
      </c>
    </row>
    <row r="4513" customFormat="false" ht="15" hidden="false" customHeight="true" outlineLevel="0" collapsed="false">
      <c r="G4513" s="1" t="str">
        <f aca="false">IF(C4513="","",INDEX(Akaun!$F$5:$F$150,MATCH(C4513,Akaun!$A$5:$A$150,0)))</f>
        <v/>
      </c>
      <c r="H4513" s="1" t="str">
        <f aca="false">IF(C4513="","",INDEX(Akaun!$D$5:$D$150,MATCH(C4513,Akaun!$A$5:$A$150,0)))</f>
        <v/>
      </c>
    </row>
    <row r="4514" customFormat="false" ht="15" hidden="false" customHeight="true" outlineLevel="0" collapsed="false">
      <c r="G4514" s="1" t="str">
        <f aca="false">IF(C4514="","",INDEX(Akaun!$F$5:$F$150,MATCH(C4514,Akaun!$A$5:$A$150,0)))</f>
        <v/>
      </c>
      <c r="H4514" s="1" t="str">
        <f aca="false">IF(C4514="","",INDEX(Akaun!$D$5:$D$150,MATCH(C4514,Akaun!$A$5:$A$150,0)))</f>
        <v/>
      </c>
    </row>
    <row r="4515" customFormat="false" ht="15" hidden="false" customHeight="true" outlineLevel="0" collapsed="false">
      <c r="G4515" s="1" t="str">
        <f aca="false">IF(C4515="","",INDEX(Akaun!$F$5:$F$150,MATCH(C4515,Akaun!$A$5:$A$150,0)))</f>
        <v/>
      </c>
      <c r="H4515" s="1" t="str">
        <f aca="false">IF(C4515="","",INDEX(Akaun!$D$5:$D$150,MATCH(C4515,Akaun!$A$5:$A$150,0)))</f>
        <v/>
      </c>
    </row>
    <row r="4516" customFormat="false" ht="15" hidden="false" customHeight="true" outlineLevel="0" collapsed="false">
      <c r="G4516" s="1" t="str">
        <f aca="false">IF(C4516="","",INDEX(Akaun!$F$5:$F$150,MATCH(C4516,Akaun!$A$5:$A$150,0)))</f>
        <v/>
      </c>
      <c r="H4516" s="1" t="str">
        <f aca="false">IF(C4516="","",INDEX(Akaun!$D$5:$D$150,MATCH(C4516,Akaun!$A$5:$A$150,0)))</f>
        <v/>
      </c>
    </row>
    <row r="4517" customFormat="false" ht="15" hidden="false" customHeight="true" outlineLevel="0" collapsed="false">
      <c r="G4517" s="1" t="str">
        <f aca="false">IF(C4517="","",INDEX(Akaun!$F$5:$F$150,MATCH(C4517,Akaun!$A$5:$A$150,0)))</f>
        <v/>
      </c>
      <c r="H4517" s="1" t="str">
        <f aca="false">IF(C4517="","",INDEX(Akaun!$D$5:$D$150,MATCH(C4517,Akaun!$A$5:$A$150,0)))</f>
        <v/>
      </c>
    </row>
    <row r="4518" customFormat="false" ht="15" hidden="false" customHeight="true" outlineLevel="0" collapsed="false">
      <c r="G4518" s="1" t="str">
        <f aca="false">IF(C4518="","",INDEX(Akaun!$F$5:$F$150,MATCH(C4518,Akaun!$A$5:$A$150,0)))</f>
        <v/>
      </c>
      <c r="H4518" s="1" t="str">
        <f aca="false">IF(C4518="","",INDEX(Akaun!$D$5:$D$150,MATCH(C4518,Akaun!$A$5:$A$150,0)))</f>
        <v/>
      </c>
    </row>
    <row r="4519" customFormat="false" ht="15" hidden="false" customHeight="true" outlineLevel="0" collapsed="false">
      <c r="G4519" s="1" t="str">
        <f aca="false">IF(C4519="","",INDEX(Akaun!$F$5:$F$150,MATCH(C4519,Akaun!$A$5:$A$150,0)))</f>
        <v/>
      </c>
      <c r="H4519" s="1" t="str">
        <f aca="false">IF(C4519="","",INDEX(Akaun!$D$5:$D$150,MATCH(C4519,Akaun!$A$5:$A$150,0)))</f>
        <v/>
      </c>
    </row>
    <row r="4520" customFormat="false" ht="15" hidden="false" customHeight="true" outlineLevel="0" collapsed="false">
      <c r="G4520" s="1" t="str">
        <f aca="false">IF(C4520="","",INDEX(Akaun!$F$5:$F$150,MATCH(C4520,Akaun!$A$5:$A$150,0)))</f>
        <v/>
      </c>
      <c r="H4520" s="1" t="str">
        <f aca="false">IF(C4520="","",INDEX(Akaun!$D$5:$D$150,MATCH(C4520,Akaun!$A$5:$A$150,0)))</f>
        <v/>
      </c>
    </row>
    <row r="4521" customFormat="false" ht="15" hidden="false" customHeight="true" outlineLevel="0" collapsed="false">
      <c r="G4521" s="1" t="str">
        <f aca="false">IF(C4521="","",INDEX(Akaun!$F$5:$F$150,MATCH(C4521,Akaun!$A$5:$A$150,0)))</f>
        <v/>
      </c>
      <c r="H4521" s="1" t="str">
        <f aca="false">IF(C4521="","",INDEX(Akaun!$D$5:$D$150,MATCH(C4521,Akaun!$A$5:$A$150,0)))</f>
        <v/>
      </c>
    </row>
    <row r="4522" customFormat="false" ht="15" hidden="false" customHeight="true" outlineLevel="0" collapsed="false">
      <c r="G4522" s="1" t="str">
        <f aca="false">IF(C4522="","",INDEX(Akaun!$F$5:$F$150,MATCH(C4522,Akaun!$A$5:$A$150,0)))</f>
        <v/>
      </c>
      <c r="H4522" s="1" t="str">
        <f aca="false">IF(C4522="","",INDEX(Akaun!$D$5:$D$150,MATCH(C4522,Akaun!$A$5:$A$150,0)))</f>
        <v/>
      </c>
    </row>
    <row r="4523" customFormat="false" ht="15" hidden="false" customHeight="true" outlineLevel="0" collapsed="false">
      <c r="G4523" s="1" t="str">
        <f aca="false">IF(C4523="","",INDEX(Akaun!$F$5:$F$150,MATCH(C4523,Akaun!$A$5:$A$150,0)))</f>
        <v/>
      </c>
      <c r="H4523" s="1" t="str">
        <f aca="false">IF(C4523="","",INDEX(Akaun!$D$5:$D$150,MATCH(C4523,Akaun!$A$5:$A$150,0)))</f>
        <v/>
      </c>
    </row>
    <row r="4524" customFormat="false" ht="15" hidden="false" customHeight="true" outlineLevel="0" collapsed="false">
      <c r="G4524" s="1" t="str">
        <f aca="false">IF(C4524="","",INDEX(Akaun!$F$5:$F$150,MATCH(C4524,Akaun!$A$5:$A$150,0)))</f>
        <v/>
      </c>
      <c r="H4524" s="1" t="str">
        <f aca="false">IF(C4524="","",INDEX(Akaun!$D$5:$D$150,MATCH(C4524,Akaun!$A$5:$A$150,0)))</f>
        <v/>
      </c>
    </row>
    <row r="4525" customFormat="false" ht="15" hidden="false" customHeight="true" outlineLevel="0" collapsed="false">
      <c r="G4525" s="1" t="str">
        <f aca="false">IF(C4525="","",INDEX(Akaun!$F$5:$F$150,MATCH(C4525,Akaun!$A$5:$A$150,0)))</f>
        <v/>
      </c>
      <c r="H4525" s="1" t="str">
        <f aca="false">IF(C4525="","",INDEX(Akaun!$D$5:$D$150,MATCH(C4525,Akaun!$A$5:$A$150,0)))</f>
        <v/>
      </c>
    </row>
    <row r="4526" customFormat="false" ht="15" hidden="false" customHeight="true" outlineLevel="0" collapsed="false">
      <c r="G4526" s="1" t="str">
        <f aca="false">IF(C4526="","",INDEX(Akaun!$F$5:$F$150,MATCH(C4526,Akaun!$A$5:$A$150,0)))</f>
        <v/>
      </c>
      <c r="H4526" s="1" t="str">
        <f aca="false">IF(C4526="","",INDEX(Akaun!$D$5:$D$150,MATCH(C4526,Akaun!$A$5:$A$150,0)))</f>
        <v/>
      </c>
    </row>
    <row r="4527" customFormat="false" ht="15" hidden="false" customHeight="true" outlineLevel="0" collapsed="false">
      <c r="G4527" s="1" t="str">
        <f aca="false">IF(C4527="","",INDEX(Akaun!$F$5:$F$150,MATCH(C4527,Akaun!$A$5:$A$150,0)))</f>
        <v/>
      </c>
      <c r="H4527" s="1" t="str">
        <f aca="false">IF(C4527="","",INDEX(Akaun!$D$5:$D$150,MATCH(C4527,Akaun!$A$5:$A$150,0)))</f>
        <v/>
      </c>
    </row>
    <row r="4528" customFormat="false" ht="15" hidden="false" customHeight="true" outlineLevel="0" collapsed="false">
      <c r="G4528" s="1" t="str">
        <f aca="false">IF(C4528="","",INDEX(Akaun!$F$5:$F$150,MATCH(C4528,Akaun!$A$5:$A$150,0)))</f>
        <v/>
      </c>
      <c r="H4528" s="1" t="str">
        <f aca="false">IF(C4528="","",INDEX(Akaun!$D$5:$D$150,MATCH(C4528,Akaun!$A$5:$A$150,0)))</f>
        <v/>
      </c>
    </row>
    <row r="4529" customFormat="false" ht="15" hidden="false" customHeight="true" outlineLevel="0" collapsed="false">
      <c r="G4529" s="1" t="str">
        <f aca="false">IF(C4529="","",INDEX(Akaun!$F$5:$F$150,MATCH(C4529,Akaun!$A$5:$A$150,0)))</f>
        <v/>
      </c>
      <c r="H4529" s="1" t="str">
        <f aca="false">IF(C4529="","",INDEX(Akaun!$D$5:$D$150,MATCH(C4529,Akaun!$A$5:$A$150,0)))</f>
        <v/>
      </c>
    </row>
    <row r="4530" customFormat="false" ht="15" hidden="false" customHeight="true" outlineLevel="0" collapsed="false">
      <c r="G4530" s="1" t="str">
        <f aca="false">IF(C4530="","",INDEX(Akaun!$F$5:$F$150,MATCH(C4530,Akaun!$A$5:$A$150,0)))</f>
        <v/>
      </c>
      <c r="H4530" s="1" t="str">
        <f aca="false">IF(C4530="","",INDEX(Akaun!$D$5:$D$150,MATCH(C4530,Akaun!$A$5:$A$150,0)))</f>
        <v/>
      </c>
    </row>
    <row r="4531" customFormat="false" ht="15" hidden="false" customHeight="true" outlineLevel="0" collapsed="false">
      <c r="G4531" s="1" t="str">
        <f aca="false">IF(C4531="","",INDEX(Akaun!$F$5:$F$150,MATCH(C4531,Akaun!$A$5:$A$150,0)))</f>
        <v/>
      </c>
      <c r="H4531" s="1" t="str">
        <f aca="false">IF(C4531="","",INDEX(Akaun!$D$5:$D$150,MATCH(C4531,Akaun!$A$5:$A$150,0)))</f>
        <v/>
      </c>
    </row>
    <row r="4532" customFormat="false" ht="15" hidden="false" customHeight="true" outlineLevel="0" collapsed="false">
      <c r="G4532" s="1" t="str">
        <f aca="false">IF(C4532="","",INDEX(Akaun!$F$5:$F$150,MATCH(C4532,Akaun!$A$5:$A$150,0)))</f>
        <v/>
      </c>
      <c r="H4532" s="1" t="str">
        <f aca="false">IF(C4532="","",INDEX(Akaun!$D$5:$D$150,MATCH(C4532,Akaun!$A$5:$A$150,0)))</f>
        <v/>
      </c>
    </row>
    <row r="4533" customFormat="false" ht="15" hidden="false" customHeight="true" outlineLevel="0" collapsed="false">
      <c r="G4533" s="1" t="str">
        <f aca="false">IF(C4533="","",INDEX(Akaun!$F$5:$F$150,MATCH(C4533,Akaun!$A$5:$A$150,0)))</f>
        <v/>
      </c>
      <c r="H4533" s="1" t="str">
        <f aca="false">IF(C4533="","",INDEX(Akaun!$D$5:$D$150,MATCH(C4533,Akaun!$A$5:$A$150,0)))</f>
        <v/>
      </c>
    </row>
    <row r="4534" customFormat="false" ht="15" hidden="false" customHeight="true" outlineLevel="0" collapsed="false">
      <c r="G4534" s="1" t="str">
        <f aca="false">IF(C4534="","",INDEX(Akaun!$F$5:$F$150,MATCH(C4534,Akaun!$A$5:$A$150,0)))</f>
        <v/>
      </c>
      <c r="H4534" s="1" t="str">
        <f aca="false">IF(C4534="","",INDEX(Akaun!$D$5:$D$150,MATCH(C4534,Akaun!$A$5:$A$150,0)))</f>
        <v/>
      </c>
    </row>
    <row r="4535" customFormat="false" ht="15" hidden="false" customHeight="true" outlineLevel="0" collapsed="false">
      <c r="G4535" s="1" t="str">
        <f aca="false">IF(C4535="","",INDEX(Akaun!$F$5:$F$150,MATCH(C4535,Akaun!$A$5:$A$150,0)))</f>
        <v/>
      </c>
      <c r="H4535" s="1" t="str">
        <f aca="false">IF(C4535="","",INDEX(Akaun!$D$5:$D$150,MATCH(C4535,Akaun!$A$5:$A$150,0)))</f>
        <v/>
      </c>
    </row>
    <row r="4536" customFormat="false" ht="15" hidden="false" customHeight="true" outlineLevel="0" collapsed="false">
      <c r="G4536" s="1" t="str">
        <f aca="false">IF(C4536="","",INDEX(Akaun!$F$5:$F$150,MATCH(C4536,Akaun!$A$5:$A$150,0)))</f>
        <v/>
      </c>
      <c r="H4536" s="1" t="str">
        <f aca="false">IF(C4536="","",INDEX(Akaun!$D$5:$D$150,MATCH(C4536,Akaun!$A$5:$A$150,0)))</f>
        <v/>
      </c>
    </row>
    <row r="4537" customFormat="false" ht="15" hidden="false" customHeight="true" outlineLevel="0" collapsed="false">
      <c r="G4537" s="1" t="str">
        <f aca="false">IF(C4537="","",INDEX(Akaun!$F$5:$F$150,MATCH(C4537,Akaun!$A$5:$A$150,0)))</f>
        <v/>
      </c>
      <c r="H4537" s="1" t="str">
        <f aca="false">IF(C4537="","",INDEX(Akaun!$D$5:$D$150,MATCH(C4537,Akaun!$A$5:$A$150,0)))</f>
        <v/>
      </c>
    </row>
    <row r="4538" customFormat="false" ht="15" hidden="false" customHeight="true" outlineLevel="0" collapsed="false">
      <c r="G4538" s="1" t="str">
        <f aca="false">IF(C4538="","",INDEX(Akaun!$F$5:$F$150,MATCH(C4538,Akaun!$A$5:$A$150,0)))</f>
        <v/>
      </c>
      <c r="H4538" s="1" t="str">
        <f aca="false">IF(C4538="","",INDEX(Akaun!$D$5:$D$150,MATCH(C4538,Akaun!$A$5:$A$150,0)))</f>
        <v/>
      </c>
    </row>
    <row r="4539" customFormat="false" ht="15" hidden="false" customHeight="true" outlineLevel="0" collapsed="false">
      <c r="G4539" s="1" t="str">
        <f aca="false">IF(C4539="","",INDEX(Akaun!$F$5:$F$150,MATCH(C4539,Akaun!$A$5:$A$150,0)))</f>
        <v/>
      </c>
      <c r="H4539" s="1" t="str">
        <f aca="false">IF(C4539="","",INDEX(Akaun!$D$5:$D$150,MATCH(C4539,Akaun!$A$5:$A$150,0)))</f>
        <v/>
      </c>
    </row>
    <row r="4540" customFormat="false" ht="15" hidden="false" customHeight="true" outlineLevel="0" collapsed="false">
      <c r="G4540" s="1" t="str">
        <f aca="false">IF(C4540="","",INDEX(Akaun!$F$5:$F$150,MATCH(C4540,Akaun!$A$5:$A$150,0)))</f>
        <v/>
      </c>
      <c r="H4540" s="1" t="str">
        <f aca="false">IF(C4540="","",INDEX(Akaun!$D$5:$D$150,MATCH(C4540,Akaun!$A$5:$A$150,0)))</f>
        <v/>
      </c>
    </row>
    <row r="4541" customFormat="false" ht="15" hidden="false" customHeight="true" outlineLevel="0" collapsed="false">
      <c r="G4541" s="1" t="str">
        <f aca="false">IF(C4541="","",INDEX(Akaun!$F$5:$F$150,MATCH(C4541,Akaun!$A$5:$A$150,0)))</f>
        <v/>
      </c>
      <c r="H4541" s="1" t="str">
        <f aca="false">IF(C4541="","",INDEX(Akaun!$D$5:$D$150,MATCH(C4541,Akaun!$A$5:$A$150,0)))</f>
        <v/>
      </c>
    </row>
    <row r="4542" customFormat="false" ht="15" hidden="false" customHeight="true" outlineLevel="0" collapsed="false">
      <c r="G4542" s="1" t="str">
        <f aca="false">IF(C4542="","",INDEX(Akaun!$F$5:$F$150,MATCH(C4542,Akaun!$A$5:$A$150,0)))</f>
        <v/>
      </c>
      <c r="H4542" s="1" t="str">
        <f aca="false">IF(C4542="","",INDEX(Akaun!$D$5:$D$150,MATCH(C4542,Akaun!$A$5:$A$150,0)))</f>
        <v/>
      </c>
    </row>
    <row r="4543" customFormat="false" ht="15" hidden="false" customHeight="true" outlineLevel="0" collapsed="false">
      <c r="G4543" s="1" t="str">
        <f aca="false">IF(C4543="","",INDEX(Akaun!$F$5:$F$150,MATCH(C4543,Akaun!$A$5:$A$150,0)))</f>
        <v/>
      </c>
      <c r="H4543" s="1" t="str">
        <f aca="false">IF(C4543="","",INDEX(Akaun!$D$5:$D$150,MATCH(C4543,Akaun!$A$5:$A$150,0)))</f>
        <v/>
      </c>
    </row>
    <row r="4544" customFormat="false" ht="15" hidden="false" customHeight="true" outlineLevel="0" collapsed="false">
      <c r="G4544" s="1" t="str">
        <f aca="false">IF(C4544="","",INDEX(Akaun!$F$5:$F$150,MATCH(C4544,Akaun!$A$5:$A$150,0)))</f>
        <v/>
      </c>
      <c r="H4544" s="1" t="str">
        <f aca="false">IF(C4544="","",INDEX(Akaun!$D$5:$D$150,MATCH(C4544,Akaun!$A$5:$A$150,0)))</f>
        <v/>
      </c>
    </row>
    <row r="4545" customFormat="false" ht="15" hidden="false" customHeight="true" outlineLevel="0" collapsed="false">
      <c r="G4545" s="1" t="str">
        <f aca="false">IF(C4545="","",INDEX(Akaun!$F$5:$F$150,MATCH(C4545,Akaun!$A$5:$A$150,0)))</f>
        <v/>
      </c>
      <c r="H4545" s="1" t="str">
        <f aca="false">IF(C4545="","",INDEX(Akaun!$D$5:$D$150,MATCH(C4545,Akaun!$A$5:$A$150,0)))</f>
        <v/>
      </c>
    </row>
    <row r="4546" customFormat="false" ht="15" hidden="false" customHeight="true" outlineLevel="0" collapsed="false">
      <c r="G4546" s="1" t="str">
        <f aca="false">IF(C4546="","",INDEX(Akaun!$F$5:$F$150,MATCH(C4546,Akaun!$A$5:$A$150,0)))</f>
        <v/>
      </c>
      <c r="H4546" s="1" t="str">
        <f aca="false">IF(C4546="","",INDEX(Akaun!$D$5:$D$150,MATCH(C4546,Akaun!$A$5:$A$150,0)))</f>
        <v/>
      </c>
    </row>
    <row r="4547" customFormat="false" ht="15" hidden="false" customHeight="true" outlineLevel="0" collapsed="false">
      <c r="G4547" s="1" t="str">
        <f aca="false">IF(C4547="","",INDEX(Akaun!$F$5:$F$150,MATCH(C4547,Akaun!$A$5:$A$150,0)))</f>
        <v/>
      </c>
      <c r="H4547" s="1" t="str">
        <f aca="false">IF(C4547="","",INDEX(Akaun!$D$5:$D$150,MATCH(C4547,Akaun!$A$5:$A$150,0)))</f>
        <v/>
      </c>
    </row>
    <row r="4548" customFormat="false" ht="15" hidden="false" customHeight="true" outlineLevel="0" collapsed="false">
      <c r="G4548" s="1" t="str">
        <f aca="false">IF(C4548="","",INDEX(Akaun!$F$5:$F$150,MATCH(C4548,Akaun!$A$5:$A$150,0)))</f>
        <v/>
      </c>
      <c r="H4548" s="1" t="str">
        <f aca="false">IF(C4548="","",INDEX(Akaun!$D$5:$D$150,MATCH(C4548,Akaun!$A$5:$A$150,0)))</f>
        <v/>
      </c>
    </row>
    <row r="4549" customFormat="false" ht="15" hidden="false" customHeight="true" outlineLevel="0" collapsed="false">
      <c r="G4549" s="1" t="str">
        <f aca="false">IF(C4549="","",INDEX(Akaun!$F$5:$F$150,MATCH(C4549,Akaun!$A$5:$A$150,0)))</f>
        <v/>
      </c>
      <c r="H4549" s="1" t="str">
        <f aca="false">IF(C4549="","",INDEX(Akaun!$D$5:$D$150,MATCH(C4549,Akaun!$A$5:$A$150,0)))</f>
        <v/>
      </c>
    </row>
    <row r="4550" customFormat="false" ht="15" hidden="false" customHeight="true" outlineLevel="0" collapsed="false">
      <c r="G4550" s="1" t="str">
        <f aca="false">IF(C4550="","",INDEX(Akaun!$F$5:$F$150,MATCH(C4550,Akaun!$A$5:$A$150,0)))</f>
        <v/>
      </c>
      <c r="H4550" s="1" t="str">
        <f aca="false">IF(C4550="","",INDEX(Akaun!$D$5:$D$150,MATCH(C4550,Akaun!$A$5:$A$150,0)))</f>
        <v/>
      </c>
    </row>
    <row r="4551" customFormat="false" ht="15" hidden="false" customHeight="true" outlineLevel="0" collapsed="false">
      <c r="G4551" s="1" t="str">
        <f aca="false">IF(C4551="","",INDEX(Akaun!$F$5:$F$150,MATCH(C4551,Akaun!$A$5:$A$150,0)))</f>
        <v/>
      </c>
      <c r="H4551" s="1" t="str">
        <f aca="false">IF(C4551="","",INDEX(Akaun!$D$5:$D$150,MATCH(C4551,Akaun!$A$5:$A$150,0)))</f>
        <v/>
      </c>
    </row>
    <row r="4552" customFormat="false" ht="15" hidden="false" customHeight="true" outlineLevel="0" collapsed="false">
      <c r="G4552" s="1" t="str">
        <f aca="false">IF(C4552="","",INDEX(Akaun!$F$5:$F$150,MATCH(C4552,Akaun!$A$5:$A$150,0)))</f>
        <v/>
      </c>
      <c r="H4552" s="1" t="str">
        <f aca="false">IF(C4552="","",INDEX(Akaun!$D$5:$D$150,MATCH(C4552,Akaun!$A$5:$A$150,0)))</f>
        <v/>
      </c>
    </row>
    <row r="4553" customFormat="false" ht="15" hidden="false" customHeight="true" outlineLevel="0" collapsed="false">
      <c r="G4553" s="1" t="str">
        <f aca="false">IF(C4553="","",INDEX(Akaun!$F$5:$F$150,MATCH(C4553,Akaun!$A$5:$A$150,0)))</f>
        <v/>
      </c>
      <c r="H4553" s="1" t="str">
        <f aca="false">IF(C4553="","",INDEX(Akaun!$D$5:$D$150,MATCH(C4553,Akaun!$A$5:$A$150,0)))</f>
        <v/>
      </c>
    </row>
    <row r="4554" customFormat="false" ht="15" hidden="false" customHeight="true" outlineLevel="0" collapsed="false">
      <c r="G4554" s="1" t="str">
        <f aca="false">IF(C4554="","",INDEX(Akaun!$F$5:$F$150,MATCH(C4554,Akaun!$A$5:$A$150,0)))</f>
        <v/>
      </c>
      <c r="H4554" s="1" t="str">
        <f aca="false">IF(C4554="","",INDEX(Akaun!$D$5:$D$150,MATCH(C4554,Akaun!$A$5:$A$150,0)))</f>
        <v/>
      </c>
    </row>
    <row r="4555" customFormat="false" ht="15" hidden="false" customHeight="true" outlineLevel="0" collapsed="false">
      <c r="G4555" s="1" t="str">
        <f aca="false">IF(C4555="","",INDEX(Akaun!$F$5:$F$150,MATCH(C4555,Akaun!$A$5:$A$150,0)))</f>
        <v/>
      </c>
      <c r="H4555" s="1" t="str">
        <f aca="false">IF(C4555="","",INDEX(Akaun!$D$5:$D$150,MATCH(C4555,Akaun!$A$5:$A$150,0)))</f>
        <v/>
      </c>
    </row>
    <row r="4556" customFormat="false" ht="15" hidden="false" customHeight="true" outlineLevel="0" collapsed="false">
      <c r="G4556" s="1" t="str">
        <f aca="false">IF(C4556="","",INDEX(Akaun!$F$5:$F$150,MATCH(C4556,Akaun!$A$5:$A$150,0)))</f>
        <v/>
      </c>
      <c r="H4556" s="1" t="str">
        <f aca="false">IF(C4556="","",INDEX(Akaun!$D$5:$D$150,MATCH(C4556,Akaun!$A$5:$A$150,0)))</f>
        <v/>
      </c>
    </row>
    <row r="4557" customFormat="false" ht="15" hidden="false" customHeight="true" outlineLevel="0" collapsed="false">
      <c r="G4557" s="1" t="str">
        <f aca="false">IF(C4557="","",INDEX(Akaun!$F$5:$F$150,MATCH(C4557,Akaun!$A$5:$A$150,0)))</f>
        <v/>
      </c>
      <c r="H4557" s="1" t="str">
        <f aca="false">IF(C4557="","",INDEX(Akaun!$D$5:$D$150,MATCH(C4557,Akaun!$A$5:$A$150,0)))</f>
        <v/>
      </c>
    </row>
    <row r="4558" customFormat="false" ht="15" hidden="false" customHeight="true" outlineLevel="0" collapsed="false">
      <c r="G4558" s="1" t="str">
        <f aca="false">IF(C4558="","",INDEX(Akaun!$F$5:$F$150,MATCH(C4558,Akaun!$A$5:$A$150,0)))</f>
        <v/>
      </c>
      <c r="H4558" s="1" t="str">
        <f aca="false">IF(C4558="","",INDEX(Akaun!$D$5:$D$150,MATCH(C4558,Akaun!$A$5:$A$150,0)))</f>
        <v/>
      </c>
    </row>
    <row r="4559" customFormat="false" ht="15" hidden="false" customHeight="true" outlineLevel="0" collapsed="false">
      <c r="G4559" s="1" t="str">
        <f aca="false">IF(C4559="","",INDEX(Akaun!$F$5:$F$150,MATCH(C4559,Akaun!$A$5:$A$150,0)))</f>
        <v/>
      </c>
      <c r="H4559" s="1" t="str">
        <f aca="false">IF(C4559="","",INDEX(Akaun!$D$5:$D$150,MATCH(C4559,Akaun!$A$5:$A$150,0)))</f>
        <v/>
      </c>
    </row>
    <row r="4560" customFormat="false" ht="15" hidden="false" customHeight="true" outlineLevel="0" collapsed="false">
      <c r="G4560" s="1" t="str">
        <f aca="false">IF(C4560="","",INDEX(Akaun!$F$5:$F$150,MATCH(C4560,Akaun!$A$5:$A$150,0)))</f>
        <v/>
      </c>
      <c r="H4560" s="1" t="str">
        <f aca="false">IF(C4560="","",INDEX(Akaun!$D$5:$D$150,MATCH(C4560,Akaun!$A$5:$A$150,0)))</f>
        <v/>
      </c>
    </row>
    <row r="4561" customFormat="false" ht="15" hidden="false" customHeight="true" outlineLevel="0" collapsed="false">
      <c r="G4561" s="1" t="str">
        <f aca="false">IF(C4561="","",INDEX(Akaun!$F$5:$F$150,MATCH(C4561,Akaun!$A$5:$A$150,0)))</f>
        <v/>
      </c>
      <c r="H4561" s="1" t="str">
        <f aca="false">IF(C4561="","",INDEX(Akaun!$D$5:$D$150,MATCH(C4561,Akaun!$A$5:$A$150,0)))</f>
        <v/>
      </c>
    </row>
    <row r="4562" customFormat="false" ht="15" hidden="false" customHeight="true" outlineLevel="0" collapsed="false">
      <c r="G4562" s="1" t="str">
        <f aca="false">IF(C4562="","",INDEX(Akaun!$F$5:$F$150,MATCH(C4562,Akaun!$A$5:$A$150,0)))</f>
        <v/>
      </c>
      <c r="H4562" s="1" t="str">
        <f aca="false">IF(C4562="","",INDEX(Akaun!$D$5:$D$150,MATCH(C4562,Akaun!$A$5:$A$150,0)))</f>
        <v/>
      </c>
    </row>
    <row r="4563" customFormat="false" ht="15" hidden="false" customHeight="true" outlineLevel="0" collapsed="false">
      <c r="G4563" s="1" t="str">
        <f aca="false">IF(C4563="","",INDEX(Akaun!$F$5:$F$150,MATCH(C4563,Akaun!$A$5:$A$150,0)))</f>
        <v/>
      </c>
      <c r="H4563" s="1" t="str">
        <f aca="false">IF(C4563="","",INDEX(Akaun!$D$5:$D$150,MATCH(C4563,Akaun!$A$5:$A$150,0)))</f>
        <v/>
      </c>
    </row>
    <row r="4564" customFormat="false" ht="15" hidden="false" customHeight="true" outlineLevel="0" collapsed="false">
      <c r="G4564" s="1" t="str">
        <f aca="false">IF(C4564="","",INDEX(Akaun!$F$5:$F$150,MATCH(C4564,Akaun!$A$5:$A$150,0)))</f>
        <v/>
      </c>
      <c r="H4564" s="1" t="str">
        <f aca="false">IF(C4564="","",INDEX(Akaun!$D$5:$D$150,MATCH(C4564,Akaun!$A$5:$A$150,0)))</f>
        <v/>
      </c>
    </row>
    <row r="4565" customFormat="false" ht="15" hidden="false" customHeight="true" outlineLevel="0" collapsed="false">
      <c r="G4565" s="1" t="str">
        <f aca="false">IF(C4565="","",INDEX(Akaun!$F$5:$F$150,MATCH(C4565,Akaun!$A$5:$A$150,0)))</f>
        <v/>
      </c>
      <c r="H4565" s="1" t="str">
        <f aca="false">IF(C4565="","",INDEX(Akaun!$D$5:$D$150,MATCH(C4565,Akaun!$A$5:$A$150,0)))</f>
        <v/>
      </c>
    </row>
    <row r="4566" customFormat="false" ht="15" hidden="false" customHeight="true" outlineLevel="0" collapsed="false">
      <c r="G4566" s="1" t="str">
        <f aca="false">IF(C4566="","",INDEX(Akaun!$F$5:$F$150,MATCH(C4566,Akaun!$A$5:$A$150,0)))</f>
        <v/>
      </c>
      <c r="H4566" s="1" t="str">
        <f aca="false">IF(C4566="","",INDEX(Akaun!$D$5:$D$150,MATCH(C4566,Akaun!$A$5:$A$150,0)))</f>
        <v/>
      </c>
    </row>
    <row r="4567" customFormat="false" ht="15" hidden="false" customHeight="true" outlineLevel="0" collapsed="false">
      <c r="G4567" s="1" t="str">
        <f aca="false">IF(C4567="","",INDEX(Akaun!$F$5:$F$150,MATCH(C4567,Akaun!$A$5:$A$150,0)))</f>
        <v/>
      </c>
      <c r="H4567" s="1" t="str">
        <f aca="false">IF(C4567="","",INDEX(Akaun!$D$5:$D$150,MATCH(C4567,Akaun!$A$5:$A$150,0)))</f>
        <v/>
      </c>
    </row>
    <row r="4568" customFormat="false" ht="15" hidden="false" customHeight="true" outlineLevel="0" collapsed="false">
      <c r="G4568" s="1" t="str">
        <f aca="false">IF(C4568="","",INDEX(Akaun!$F$5:$F$150,MATCH(C4568,Akaun!$A$5:$A$150,0)))</f>
        <v/>
      </c>
      <c r="H4568" s="1" t="str">
        <f aca="false">IF(C4568="","",INDEX(Akaun!$D$5:$D$150,MATCH(C4568,Akaun!$A$5:$A$150,0)))</f>
        <v/>
      </c>
    </row>
    <row r="4569" customFormat="false" ht="15" hidden="false" customHeight="true" outlineLevel="0" collapsed="false">
      <c r="G4569" s="1" t="str">
        <f aca="false">IF(C4569="","",INDEX(Akaun!$F$5:$F$150,MATCH(C4569,Akaun!$A$5:$A$150,0)))</f>
        <v/>
      </c>
      <c r="H4569" s="1" t="str">
        <f aca="false">IF(C4569="","",INDEX(Akaun!$D$5:$D$150,MATCH(C4569,Akaun!$A$5:$A$150,0)))</f>
        <v/>
      </c>
    </row>
    <row r="4570" customFormat="false" ht="15" hidden="false" customHeight="true" outlineLevel="0" collapsed="false">
      <c r="G4570" s="1" t="str">
        <f aca="false">IF(C4570="","",INDEX(Akaun!$F$5:$F$150,MATCH(C4570,Akaun!$A$5:$A$150,0)))</f>
        <v/>
      </c>
      <c r="H4570" s="1" t="str">
        <f aca="false">IF(C4570="","",INDEX(Akaun!$D$5:$D$150,MATCH(C4570,Akaun!$A$5:$A$150,0)))</f>
        <v/>
      </c>
    </row>
    <row r="4571" customFormat="false" ht="15" hidden="false" customHeight="true" outlineLevel="0" collapsed="false">
      <c r="G4571" s="1" t="str">
        <f aca="false">IF(C4571="","",INDEX(Akaun!$F$5:$F$150,MATCH(C4571,Akaun!$A$5:$A$150,0)))</f>
        <v/>
      </c>
      <c r="H4571" s="1" t="str">
        <f aca="false">IF(C4571="","",INDEX(Akaun!$D$5:$D$150,MATCH(C4571,Akaun!$A$5:$A$150,0)))</f>
        <v/>
      </c>
    </row>
    <row r="4572" customFormat="false" ht="15" hidden="false" customHeight="true" outlineLevel="0" collapsed="false">
      <c r="G4572" s="1" t="str">
        <f aca="false">IF(C4572="","",INDEX(Akaun!$F$5:$F$150,MATCH(C4572,Akaun!$A$5:$A$150,0)))</f>
        <v/>
      </c>
      <c r="H4572" s="1" t="str">
        <f aca="false">IF(C4572="","",INDEX(Akaun!$D$5:$D$150,MATCH(C4572,Akaun!$A$5:$A$150,0)))</f>
        <v/>
      </c>
    </row>
    <row r="4573" customFormat="false" ht="15" hidden="false" customHeight="true" outlineLevel="0" collapsed="false">
      <c r="G4573" s="1" t="str">
        <f aca="false">IF(C4573="","",INDEX(Akaun!$F$5:$F$150,MATCH(C4573,Akaun!$A$5:$A$150,0)))</f>
        <v/>
      </c>
      <c r="H4573" s="1" t="str">
        <f aca="false">IF(C4573="","",INDEX(Akaun!$D$5:$D$150,MATCH(C4573,Akaun!$A$5:$A$150,0)))</f>
        <v/>
      </c>
    </row>
    <row r="4574" customFormat="false" ht="15" hidden="false" customHeight="true" outlineLevel="0" collapsed="false">
      <c r="G4574" s="1" t="str">
        <f aca="false">IF(C4574="","",INDEX(Akaun!$F$5:$F$150,MATCH(C4574,Akaun!$A$5:$A$150,0)))</f>
        <v/>
      </c>
      <c r="H4574" s="1" t="str">
        <f aca="false">IF(C4574="","",INDEX(Akaun!$D$5:$D$150,MATCH(C4574,Akaun!$A$5:$A$150,0)))</f>
        <v/>
      </c>
    </row>
    <row r="4575" customFormat="false" ht="15" hidden="false" customHeight="true" outlineLevel="0" collapsed="false">
      <c r="G4575" s="1" t="str">
        <f aca="false">IF(C4575="","",INDEX(Akaun!$F$5:$F$150,MATCH(C4575,Akaun!$A$5:$A$150,0)))</f>
        <v/>
      </c>
      <c r="H4575" s="1" t="str">
        <f aca="false">IF(C4575="","",INDEX(Akaun!$D$5:$D$150,MATCH(C4575,Akaun!$A$5:$A$150,0)))</f>
        <v/>
      </c>
    </row>
    <row r="4576" customFormat="false" ht="15" hidden="false" customHeight="true" outlineLevel="0" collapsed="false">
      <c r="G4576" s="1" t="str">
        <f aca="false">IF(C4576="","",INDEX(Akaun!$F$5:$F$150,MATCH(C4576,Akaun!$A$5:$A$150,0)))</f>
        <v/>
      </c>
      <c r="H4576" s="1" t="str">
        <f aca="false">IF(C4576="","",INDEX(Akaun!$D$5:$D$150,MATCH(C4576,Akaun!$A$5:$A$150,0)))</f>
        <v/>
      </c>
    </row>
    <row r="4577" customFormat="false" ht="15" hidden="false" customHeight="true" outlineLevel="0" collapsed="false">
      <c r="G4577" s="1" t="str">
        <f aca="false">IF(C4577="","",INDEX(Akaun!$F$5:$F$150,MATCH(C4577,Akaun!$A$5:$A$150,0)))</f>
        <v/>
      </c>
      <c r="H4577" s="1" t="str">
        <f aca="false">IF(C4577="","",INDEX(Akaun!$D$5:$D$150,MATCH(C4577,Akaun!$A$5:$A$150,0)))</f>
        <v/>
      </c>
    </row>
    <row r="4578" customFormat="false" ht="15" hidden="false" customHeight="true" outlineLevel="0" collapsed="false">
      <c r="G4578" s="1" t="str">
        <f aca="false">IF(C4578="","",INDEX(Akaun!$F$5:$F$150,MATCH(C4578,Akaun!$A$5:$A$150,0)))</f>
        <v/>
      </c>
      <c r="H4578" s="1" t="str">
        <f aca="false">IF(C4578="","",INDEX(Akaun!$D$5:$D$150,MATCH(C4578,Akaun!$A$5:$A$150,0)))</f>
        <v/>
      </c>
    </row>
    <row r="4579" customFormat="false" ht="15" hidden="false" customHeight="true" outlineLevel="0" collapsed="false">
      <c r="G4579" s="1" t="str">
        <f aca="false">IF(C4579="","",INDEX(Akaun!$F$5:$F$150,MATCH(C4579,Akaun!$A$5:$A$150,0)))</f>
        <v/>
      </c>
      <c r="H4579" s="1" t="str">
        <f aca="false">IF(C4579="","",INDEX(Akaun!$D$5:$D$150,MATCH(C4579,Akaun!$A$5:$A$150,0)))</f>
        <v/>
      </c>
    </row>
    <row r="4580" customFormat="false" ht="15" hidden="false" customHeight="true" outlineLevel="0" collapsed="false">
      <c r="G4580" s="1" t="str">
        <f aca="false">IF(C4580="","",INDEX(Akaun!$F$5:$F$150,MATCH(C4580,Akaun!$A$5:$A$150,0)))</f>
        <v/>
      </c>
      <c r="H4580" s="1" t="str">
        <f aca="false">IF(C4580="","",INDEX(Akaun!$D$5:$D$150,MATCH(C4580,Akaun!$A$5:$A$150,0)))</f>
        <v/>
      </c>
    </row>
    <row r="4581" customFormat="false" ht="15" hidden="false" customHeight="true" outlineLevel="0" collapsed="false">
      <c r="G4581" s="1" t="str">
        <f aca="false">IF(C4581="","",INDEX(Akaun!$F$5:$F$150,MATCH(C4581,Akaun!$A$5:$A$150,0)))</f>
        <v/>
      </c>
      <c r="H4581" s="1" t="str">
        <f aca="false">IF(C4581="","",INDEX(Akaun!$D$5:$D$150,MATCH(C4581,Akaun!$A$5:$A$150,0)))</f>
        <v/>
      </c>
    </row>
    <row r="4582" customFormat="false" ht="15" hidden="false" customHeight="true" outlineLevel="0" collapsed="false">
      <c r="G4582" s="1" t="str">
        <f aca="false">IF(C4582="","",INDEX(Akaun!$F$5:$F$150,MATCH(C4582,Akaun!$A$5:$A$150,0)))</f>
        <v/>
      </c>
      <c r="H4582" s="1" t="str">
        <f aca="false">IF(C4582="","",INDEX(Akaun!$D$5:$D$150,MATCH(C4582,Akaun!$A$5:$A$150,0)))</f>
        <v/>
      </c>
    </row>
    <row r="4583" customFormat="false" ht="15" hidden="false" customHeight="true" outlineLevel="0" collapsed="false">
      <c r="G4583" s="1" t="str">
        <f aca="false">IF(C4583="","",INDEX(Akaun!$F$5:$F$150,MATCH(C4583,Akaun!$A$5:$A$150,0)))</f>
        <v/>
      </c>
      <c r="H4583" s="1" t="str">
        <f aca="false">IF(C4583="","",INDEX(Akaun!$D$5:$D$150,MATCH(C4583,Akaun!$A$5:$A$150,0)))</f>
        <v/>
      </c>
    </row>
    <row r="4584" customFormat="false" ht="15" hidden="false" customHeight="true" outlineLevel="0" collapsed="false">
      <c r="G4584" s="1" t="str">
        <f aca="false">IF(C4584="","",INDEX(Akaun!$F$5:$F$150,MATCH(C4584,Akaun!$A$5:$A$150,0)))</f>
        <v/>
      </c>
      <c r="H4584" s="1" t="str">
        <f aca="false">IF(C4584="","",INDEX(Akaun!$D$5:$D$150,MATCH(C4584,Akaun!$A$5:$A$150,0)))</f>
        <v/>
      </c>
    </row>
    <row r="4585" customFormat="false" ht="15" hidden="false" customHeight="true" outlineLevel="0" collapsed="false">
      <c r="G4585" s="1" t="str">
        <f aca="false">IF(C4585="","",INDEX(Akaun!$F$5:$F$150,MATCH(C4585,Akaun!$A$5:$A$150,0)))</f>
        <v/>
      </c>
      <c r="H4585" s="1" t="str">
        <f aca="false">IF(C4585="","",INDEX(Akaun!$D$5:$D$150,MATCH(C4585,Akaun!$A$5:$A$150,0)))</f>
        <v/>
      </c>
    </row>
    <row r="4586" customFormat="false" ht="15" hidden="false" customHeight="true" outlineLevel="0" collapsed="false">
      <c r="G4586" s="1" t="str">
        <f aca="false">IF(C4586="","",INDEX(Akaun!$F$5:$F$150,MATCH(C4586,Akaun!$A$5:$A$150,0)))</f>
        <v/>
      </c>
      <c r="H4586" s="1" t="str">
        <f aca="false">IF(C4586="","",INDEX(Akaun!$D$5:$D$150,MATCH(C4586,Akaun!$A$5:$A$150,0)))</f>
        <v/>
      </c>
    </row>
    <row r="4587" customFormat="false" ht="15" hidden="false" customHeight="true" outlineLevel="0" collapsed="false">
      <c r="G4587" s="1" t="str">
        <f aca="false">IF(C4587="","",INDEX(Akaun!$F$5:$F$150,MATCH(C4587,Akaun!$A$5:$A$150,0)))</f>
        <v/>
      </c>
      <c r="H4587" s="1" t="str">
        <f aca="false">IF(C4587="","",INDEX(Akaun!$D$5:$D$150,MATCH(C4587,Akaun!$A$5:$A$150,0)))</f>
        <v/>
      </c>
    </row>
    <row r="4588" customFormat="false" ht="15" hidden="false" customHeight="true" outlineLevel="0" collapsed="false">
      <c r="G4588" s="1" t="str">
        <f aca="false">IF(C4588="","",INDEX(Akaun!$F$5:$F$150,MATCH(C4588,Akaun!$A$5:$A$150,0)))</f>
        <v/>
      </c>
      <c r="H4588" s="1" t="str">
        <f aca="false">IF(C4588="","",INDEX(Akaun!$D$5:$D$150,MATCH(C4588,Akaun!$A$5:$A$150,0)))</f>
        <v/>
      </c>
    </row>
    <row r="4589" customFormat="false" ht="15" hidden="false" customHeight="true" outlineLevel="0" collapsed="false">
      <c r="G4589" s="1" t="str">
        <f aca="false">IF(C4589="","",INDEX(Akaun!$F$5:$F$150,MATCH(C4589,Akaun!$A$5:$A$150,0)))</f>
        <v/>
      </c>
      <c r="H4589" s="1" t="str">
        <f aca="false">IF(C4589="","",INDEX(Akaun!$D$5:$D$150,MATCH(C4589,Akaun!$A$5:$A$150,0)))</f>
        <v/>
      </c>
    </row>
    <row r="4590" customFormat="false" ht="15" hidden="false" customHeight="true" outlineLevel="0" collapsed="false">
      <c r="G4590" s="1" t="str">
        <f aca="false">IF(C4590="","",INDEX(Akaun!$F$5:$F$150,MATCH(C4590,Akaun!$A$5:$A$150,0)))</f>
        <v/>
      </c>
      <c r="H4590" s="1" t="str">
        <f aca="false">IF(C4590="","",INDEX(Akaun!$D$5:$D$150,MATCH(C4590,Akaun!$A$5:$A$150,0)))</f>
        <v/>
      </c>
    </row>
    <row r="4591" customFormat="false" ht="15" hidden="false" customHeight="true" outlineLevel="0" collapsed="false">
      <c r="G4591" s="1" t="str">
        <f aca="false">IF(C4591="","",INDEX(Akaun!$F$5:$F$150,MATCH(C4591,Akaun!$A$5:$A$150,0)))</f>
        <v/>
      </c>
      <c r="H4591" s="1" t="str">
        <f aca="false">IF(C4591="","",INDEX(Akaun!$D$5:$D$150,MATCH(C4591,Akaun!$A$5:$A$150,0)))</f>
        <v/>
      </c>
    </row>
    <row r="4592" customFormat="false" ht="15" hidden="false" customHeight="true" outlineLevel="0" collapsed="false">
      <c r="G4592" s="1" t="str">
        <f aca="false">IF(C4592="","",INDEX(Akaun!$F$5:$F$150,MATCH(C4592,Akaun!$A$5:$A$150,0)))</f>
        <v/>
      </c>
      <c r="H4592" s="1" t="str">
        <f aca="false">IF(C4592="","",INDEX(Akaun!$D$5:$D$150,MATCH(C4592,Akaun!$A$5:$A$150,0)))</f>
        <v/>
      </c>
    </row>
    <row r="4593" customFormat="false" ht="15" hidden="false" customHeight="true" outlineLevel="0" collapsed="false">
      <c r="G4593" s="1" t="str">
        <f aca="false">IF(C4593="","",INDEX(Akaun!$F$5:$F$150,MATCH(C4593,Akaun!$A$5:$A$150,0)))</f>
        <v/>
      </c>
      <c r="H4593" s="1" t="str">
        <f aca="false">IF(C4593="","",INDEX(Akaun!$D$5:$D$150,MATCH(C4593,Akaun!$A$5:$A$150,0)))</f>
        <v/>
      </c>
    </row>
    <row r="4594" customFormat="false" ht="15" hidden="false" customHeight="true" outlineLevel="0" collapsed="false">
      <c r="G4594" s="1" t="str">
        <f aca="false">IF(C4594="","",INDEX(Akaun!$F$5:$F$150,MATCH(C4594,Akaun!$A$5:$A$150,0)))</f>
        <v/>
      </c>
      <c r="H4594" s="1" t="str">
        <f aca="false">IF(C4594="","",INDEX(Akaun!$D$5:$D$150,MATCH(C4594,Akaun!$A$5:$A$150,0)))</f>
        <v/>
      </c>
    </row>
    <row r="4595" customFormat="false" ht="15" hidden="false" customHeight="true" outlineLevel="0" collapsed="false">
      <c r="G4595" s="1" t="str">
        <f aca="false">IF(C4595="","",INDEX(Akaun!$F$5:$F$150,MATCH(C4595,Akaun!$A$5:$A$150,0)))</f>
        <v/>
      </c>
      <c r="H4595" s="1" t="str">
        <f aca="false">IF(C4595="","",INDEX(Akaun!$D$5:$D$150,MATCH(C4595,Akaun!$A$5:$A$150,0)))</f>
        <v/>
      </c>
    </row>
    <row r="4596" customFormat="false" ht="15" hidden="false" customHeight="true" outlineLevel="0" collapsed="false">
      <c r="G4596" s="1" t="str">
        <f aca="false">IF(C4596="","",INDEX(Akaun!$F$5:$F$150,MATCH(C4596,Akaun!$A$5:$A$150,0)))</f>
        <v/>
      </c>
      <c r="H4596" s="1" t="str">
        <f aca="false">IF(C4596="","",INDEX(Akaun!$D$5:$D$150,MATCH(C4596,Akaun!$A$5:$A$150,0)))</f>
        <v/>
      </c>
    </row>
    <row r="4597" customFormat="false" ht="15" hidden="false" customHeight="true" outlineLevel="0" collapsed="false">
      <c r="G4597" s="1" t="str">
        <f aca="false">IF(C4597="","",INDEX(Akaun!$F$5:$F$150,MATCH(C4597,Akaun!$A$5:$A$150,0)))</f>
        <v/>
      </c>
      <c r="H4597" s="1" t="str">
        <f aca="false">IF(C4597="","",INDEX(Akaun!$D$5:$D$150,MATCH(C4597,Akaun!$A$5:$A$150,0)))</f>
        <v/>
      </c>
    </row>
    <row r="4598" customFormat="false" ht="15" hidden="false" customHeight="true" outlineLevel="0" collapsed="false">
      <c r="G4598" s="1" t="str">
        <f aca="false">IF(C4598="","",INDEX(Akaun!$F$5:$F$150,MATCH(C4598,Akaun!$A$5:$A$150,0)))</f>
        <v/>
      </c>
      <c r="H4598" s="1" t="str">
        <f aca="false">IF(C4598="","",INDEX(Akaun!$D$5:$D$150,MATCH(C4598,Akaun!$A$5:$A$150,0)))</f>
        <v/>
      </c>
    </row>
    <row r="4599" customFormat="false" ht="15" hidden="false" customHeight="true" outlineLevel="0" collapsed="false">
      <c r="G4599" s="1" t="str">
        <f aca="false">IF(C4599="","",INDEX(Akaun!$F$5:$F$150,MATCH(C4599,Akaun!$A$5:$A$150,0)))</f>
        <v/>
      </c>
      <c r="H4599" s="1" t="str">
        <f aca="false">IF(C4599="","",INDEX(Akaun!$D$5:$D$150,MATCH(C4599,Akaun!$A$5:$A$150,0)))</f>
        <v/>
      </c>
    </row>
    <row r="4600" customFormat="false" ht="15" hidden="false" customHeight="true" outlineLevel="0" collapsed="false">
      <c r="G4600" s="1" t="str">
        <f aca="false">IF(C4600="","",INDEX(Akaun!$F$5:$F$150,MATCH(C4600,Akaun!$A$5:$A$150,0)))</f>
        <v/>
      </c>
      <c r="H4600" s="1" t="str">
        <f aca="false">IF(C4600="","",INDEX(Akaun!$D$5:$D$150,MATCH(C4600,Akaun!$A$5:$A$150,0)))</f>
        <v/>
      </c>
    </row>
    <row r="4601" customFormat="false" ht="15" hidden="false" customHeight="true" outlineLevel="0" collapsed="false">
      <c r="G4601" s="1" t="str">
        <f aca="false">IF(C4601="","",INDEX(Akaun!$F$5:$F$150,MATCH(C4601,Akaun!$A$5:$A$150,0)))</f>
        <v/>
      </c>
      <c r="H4601" s="1" t="str">
        <f aca="false">IF(C4601="","",INDEX(Akaun!$D$5:$D$150,MATCH(C4601,Akaun!$A$5:$A$150,0)))</f>
        <v/>
      </c>
    </row>
    <row r="4602" customFormat="false" ht="15" hidden="false" customHeight="true" outlineLevel="0" collapsed="false">
      <c r="G4602" s="1" t="str">
        <f aca="false">IF(C4602="","",INDEX(Akaun!$F$5:$F$150,MATCH(C4602,Akaun!$A$5:$A$150,0)))</f>
        <v/>
      </c>
      <c r="H4602" s="1" t="str">
        <f aca="false">IF(C4602="","",INDEX(Akaun!$D$5:$D$150,MATCH(C4602,Akaun!$A$5:$A$150,0)))</f>
        <v/>
      </c>
    </row>
    <row r="4603" customFormat="false" ht="15" hidden="false" customHeight="true" outlineLevel="0" collapsed="false">
      <c r="G4603" s="1" t="str">
        <f aca="false">IF(C4603="","",INDEX(Akaun!$F$5:$F$150,MATCH(C4603,Akaun!$A$5:$A$150,0)))</f>
        <v/>
      </c>
      <c r="H4603" s="1" t="str">
        <f aca="false">IF(C4603="","",INDEX(Akaun!$D$5:$D$150,MATCH(C4603,Akaun!$A$5:$A$150,0)))</f>
        <v/>
      </c>
    </row>
    <row r="4604" customFormat="false" ht="15" hidden="false" customHeight="true" outlineLevel="0" collapsed="false">
      <c r="G4604" s="1" t="str">
        <f aca="false">IF(C4604="","",INDEX(Akaun!$F$5:$F$150,MATCH(C4604,Akaun!$A$5:$A$150,0)))</f>
        <v/>
      </c>
      <c r="H4604" s="1" t="str">
        <f aca="false">IF(C4604="","",INDEX(Akaun!$D$5:$D$150,MATCH(C4604,Akaun!$A$5:$A$150,0)))</f>
        <v/>
      </c>
    </row>
    <row r="4605" customFormat="false" ht="15" hidden="false" customHeight="true" outlineLevel="0" collapsed="false">
      <c r="G4605" s="1" t="str">
        <f aca="false">IF(C4605="","",INDEX(Akaun!$F$5:$F$150,MATCH(C4605,Akaun!$A$5:$A$150,0)))</f>
        <v/>
      </c>
      <c r="H4605" s="1" t="str">
        <f aca="false">IF(C4605="","",INDEX(Akaun!$D$5:$D$150,MATCH(C4605,Akaun!$A$5:$A$150,0)))</f>
        <v/>
      </c>
    </row>
    <row r="4606" customFormat="false" ht="15" hidden="false" customHeight="true" outlineLevel="0" collapsed="false">
      <c r="G4606" s="1" t="str">
        <f aca="false">IF(C4606="","",INDEX(Akaun!$F$5:$F$150,MATCH(C4606,Akaun!$A$5:$A$150,0)))</f>
        <v/>
      </c>
      <c r="H4606" s="1" t="str">
        <f aca="false">IF(C4606="","",INDEX(Akaun!$D$5:$D$150,MATCH(C4606,Akaun!$A$5:$A$150,0)))</f>
        <v/>
      </c>
    </row>
    <row r="4607" customFormat="false" ht="15" hidden="false" customHeight="true" outlineLevel="0" collapsed="false">
      <c r="G4607" s="1" t="str">
        <f aca="false">IF(C4607="","",INDEX(Akaun!$F$5:$F$150,MATCH(C4607,Akaun!$A$5:$A$150,0)))</f>
        <v/>
      </c>
      <c r="H4607" s="1" t="str">
        <f aca="false">IF(C4607="","",INDEX(Akaun!$D$5:$D$150,MATCH(C4607,Akaun!$A$5:$A$150,0)))</f>
        <v/>
      </c>
    </row>
    <row r="4608" customFormat="false" ht="15" hidden="false" customHeight="true" outlineLevel="0" collapsed="false">
      <c r="G4608" s="1" t="str">
        <f aca="false">IF(C4608="","",INDEX(Akaun!$F$5:$F$150,MATCH(C4608,Akaun!$A$5:$A$150,0)))</f>
        <v/>
      </c>
      <c r="H4608" s="1" t="str">
        <f aca="false">IF(C4608="","",INDEX(Akaun!$D$5:$D$150,MATCH(C4608,Akaun!$A$5:$A$150,0)))</f>
        <v/>
      </c>
    </row>
    <row r="4609" customFormat="false" ht="15" hidden="false" customHeight="true" outlineLevel="0" collapsed="false">
      <c r="G4609" s="1" t="str">
        <f aca="false">IF(C4609="","",INDEX(Akaun!$F$5:$F$150,MATCH(C4609,Akaun!$A$5:$A$150,0)))</f>
        <v/>
      </c>
      <c r="H4609" s="1" t="str">
        <f aca="false">IF(C4609="","",INDEX(Akaun!$D$5:$D$150,MATCH(C4609,Akaun!$A$5:$A$150,0)))</f>
        <v/>
      </c>
    </row>
    <row r="4610" customFormat="false" ht="15" hidden="false" customHeight="true" outlineLevel="0" collapsed="false">
      <c r="G4610" s="1" t="str">
        <f aca="false">IF(C4610="","",INDEX(Akaun!$F$5:$F$150,MATCH(C4610,Akaun!$A$5:$A$150,0)))</f>
        <v/>
      </c>
      <c r="H4610" s="1" t="str">
        <f aca="false">IF(C4610="","",INDEX(Akaun!$D$5:$D$150,MATCH(C4610,Akaun!$A$5:$A$150,0)))</f>
        <v/>
      </c>
    </row>
    <row r="4611" customFormat="false" ht="15" hidden="false" customHeight="true" outlineLevel="0" collapsed="false">
      <c r="G4611" s="1" t="str">
        <f aca="false">IF(C4611="","",INDEX(Akaun!$F$5:$F$150,MATCH(C4611,Akaun!$A$5:$A$150,0)))</f>
        <v/>
      </c>
      <c r="H4611" s="1" t="str">
        <f aca="false">IF(C4611="","",INDEX(Akaun!$D$5:$D$150,MATCH(C4611,Akaun!$A$5:$A$150,0)))</f>
        <v/>
      </c>
    </row>
    <row r="4612" customFormat="false" ht="15" hidden="false" customHeight="true" outlineLevel="0" collapsed="false">
      <c r="G4612" s="1" t="str">
        <f aca="false">IF(C4612="","",INDEX(Akaun!$F$5:$F$150,MATCH(C4612,Akaun!$A$5:$A$150,0)))</f>
        <v/>
      </c>
      <c r="H4612" s="1" t="str">
        <f aca="false">IF(C4612="","",INDEX(Akaun!$D$5:$D$150,MATCH(C4612,Akaun!$A$5:$A$150,0)))</f>
        <v/>
      </c>
    </row>
    <row r="4613" customFormat="false" ht="15" hidden="false" customHeight="true" outlineLevel="0" collapsed="false">
      <c r="G4613" s="1" t="str">
        <f aca="false">IF(C4613="","",INDEX(Akaun!$F$5:$F$150,MATCH(C4613,Akaun!$A$5:$A$150,0)))</f>
        <v/>
      </c>
      <c r="H4613" s="1" t="str">
        <f aca="false">IF(C4613="","",INDEX(Akaun!$D$5:$D$150,MATCH(C4613,Akaun!$A$5:$A$150,0)))</f>
        <v/>
      </c>
    </row>
    <row r="4614" customFormat="false" ht="15" hidden="false" customHeight="true" outlineLevel="0" collapsed="false">
      <c r="G4614" s="1" t="str">
        <f aca="false">IF(C4614="","",INDEX(Akaun!$F$5:$F$150,MATCH(C4614,Akaun!$A$5:$A$150,0)))</f>
        <v/>
      </c>
      <c r="H4614" s="1" t="str">
        <f aca="false">IF(C4614="","",INDEX(Akaun!$D$5:$D$150,MATCH(C4614,Akaun!$A$5:$A$150,0)))</f>
        <v/>
      </c>
    </row>
    <row r="4615" customFormat="false" ht="15" hidden="false" customHeight="true" outlineLevel="0" collapsed="false">
      <c r="G4615" s="1" t="str">
        <f aca="false">IF(C4615="","",INDEX(Akaun!$F$5:$F$150,MATCH(C4615,Akaun!$A$5:$A$150,0)))</f>
        <v/>
      </c>
      <c r="H4615" s="1" t="str">
        <f aca="false">IF(C4615="","",INDEX(Akaun!$D$5:$D$150,MATCH(C4615,Akaun!$A$5:$A$150,0)))</f>
        <v/>
      </c>
    </row>
    <row r="4616" customFormat="false" ht="15" hidden="false" customHeight="true" outlineLevel="0" collapsed="false">
      <c r="G4616" s="1" t="str">
        <f aca="false">IF(C4616="","",INDEX(Akaun!$F$5:$F$150,MATCH(C4616,Akaun!$A$5:$A$150,0)))</f>
        <v/>
      </c>
      <c r="H4616" s="1" t="str">
        <f aca="false">IF(C4616="","",INDEX(Akaun!$D$5:$D$150,MATCH(C4616,Akaun!$A$5:$A$150,0)))</f>
        <v/>
      </c>
    </row>
    <row r="4617" customFormat="false" ht="15" hidden="false" customHeight="true" outlineLevel="0" collapsed="false">
      <c r="G4617" s="1" t="str">
        <f aca="false">IF(C4617="","",INDEX(Akaun!$F$5:$F$150,MATCH(C4617,Akaun!$A$5:$A$150,0)))</f>
        <v/>
      </c>
      <c r="H4617" s="1" t="str">
        <f aca="false">IF(C4617="","",INDEX(Akaun!$D$5:$D$150,MATCH(C4617,Akaun!$A$5:$A$150,0)))</f>
        <v/>
      </c>
    </row>
    <row r="4618" customFormat="false" ht="15" hidden="false" customHeight="true" outlineLevel="0" collapsed="false">
      <c r="G4618" s="1" t="str">
        <f aca="false">IF(C4618="","",INDEX(Akaun!$F$5:$F$150,MATCH(C4618,Akaun!$A$5:$A$150,0)))</f>
        <v/>
      </c>
      <c r="H4618" s="1" t="str">
        <f aca="false">IF(C4618="","",INDEX(Akaun!$D$5:$D$150,MATCH(C4618,Akaun!$A$5:$A$150,0)))</f>
        <v/>
      </c>
    </row>
    <row r="4619" customFormat="false" ht="15" hidden="false" customHeight="true" outlineLevel="0" collapsed="false">
      <c r="G4619" s="1" t="str">
        <f aca="false">IF(C4619="","",INDEX(Akaun!$F$5:$F$150,MATCH(C4619,Akaun!$A$5:$A$150,0)))</f>
        <v/>
      </c>
      <c r="H4619" s="1" t="str">
        <f aca="false">IF(C4619="","",INDEX(Akaun!$D$5:$D$150,MATCH(C4619,Akaun!$A$5:$A$150,0)))</f>
        <v/>
      </c>
    </row>
    <row r="4620" customFormat="false" ht="15" hidden="false" customHeight="true" outlineLevel="0" collapsed="false">
      <c r="G4620" s="1" t="str">
        <f aca="false">IF(C4620="","",INDEX(Akaun!$F$5:$F$150,MATCH(C4620,Akaun!$A$5:$A$150,0)))</f>
        <v/>
      </c>
      <c r="H4620" s="1" t="str">
        <f aca="false">IF(C4620="","",INDEX(Akaun!$D$5:$D$150,MATCH(C4620,Akaun!$A$5:$A$150,0)))</f>
        <v/>
      </c>
    </row>
    <row r="4621" customFormat="false" ht="15" hidden="false" customHeight="true" outlineLevel="0" collapsed="false">
      <c r="G4621" s="1" t="str">
        <f aca="false">IF(C4621="","",INDEX(Akaun!$F$5:$F$150,MATCH(C4621,Akaun!$A$5:$A$150,0)))</f>
        <v/>
      </c>
      <c r="H4621" s="1" t="str">
        <f aca="false">IF(C4621="","",INDEX(Akaun!$D$5:$D$150,MATCH(C4621,Akaun!$A$5:$A$150,0)))</f>
        <v/>
      </c>
    </row>
    <row r="4622" customFormat="false" ht="15" hidden="false" customHeight="true" outlineLevel="0" collapsed="false">
      <c r="G4622" s="1" t="str">
        <f aca="false">IF(C4622="","",INDEX(Akaun!$F$5:$F$150,MATCH(C4622,Akaun!$A$5:$A$150,0)))</f>
        <v/>
      </c>
      <c r="H4622" s="1" t="str">
        <f aca="false">IF(C4622="","",INDEX(Akaun!$D$5:$D$150,MATCH(C4622,Akaun!$A$5:$A$150,0)))</f>
        <v/>
      </c>
    </row>
    <row r="4623" customFormat="false" ht="15" hidden="false" customHeight="true" outlineLevel="0" collapsed="false">
      <c r="G4623" s="1" t="str">
        <f aca="false">IF(C4623="","",INDEX(Akaun!$F$5:$F$150,MATCH(C4623,Akaun!$A$5:$A$150,0)))</f>
        <v/>
      </c>
      <c r="H4623" s="1" t="str">
        <f aca="false">IF(C4623="","",INDEX(Akaun!$D$5:$D$150,MATCH(C4623,Akaun!$A$5:$A$150,0)))</f>
        <v/>
      </c>
    </row>
    <row r="4624" customFormat="false" ht="15" hidden="false" customHeight="true" outlineLevel="0" collapsed="false">
      <c r="G4624" s="1" t="str">
        <f aca="false">IF(C4624="","",INDEX(Akaun!$F$5:$F$150,MATCH(C4624,Akaun!$A$5:$A$150,0)))</f>
        <v/>
      </c>
      <c r="H4624" s="1" t="str">
        <f aca="false">IF(C4624="","",INDEX(Akaun!$D$5:$D$150,MATCH(C4624,Akaun!$A$5:$A$150,0)))</f>
        <v/>
      </c>
    </row>
    <row r="4625" customFormat="false" ht="15" hidden="false" customHeight="true" outlineLevel="0" collapsed="false">
      <c r="G4625" s="1" t="str">
        <f aca="false">IF(C4625="","",INDEX(Akaun!$F$5:$F$150,MATCH(C4625,Akaun!$A$5:$A$150,0)))</f>
        <v/>
      </c>
      <c r="H4625" s="1" t="str">
        <f aca="false">IF(C4625="","",INDEX(Akaun!$D$5:$D$150,MATCH(C4625,Akaun!$A$5:$A$150,0)))</f>
        <v/>
      </c>
    </row>
    <row r="4626" customFormat="false" ht="15" hidden="false" customHeight="true" outlineLevel="0" collapsed="false">
      <c r="G4626" s="1" t="str">
        <f aca="false">IF(C4626="","",INDEX(Akaun!$F$5:$F$150,MATCH(C4626,Akaun!$A$5:$A$150,0)))</f>
        <v/>
      </c>
      <c r="H4626" s="1" t="str">
        <f aca="false">IF(C4626="","",INDEX(Akaun!$D$5:$D$150,MATCH(C4626,Akaun!$A$5:$A$150,0)))</f>
        <v/>
      </c>
    </row>
    <row r="4627" customFormat="false" ht="15" hidden="false" customHeight="true" outlineLevel="0" collapsed="false">
      <c r="G4627" s="1" t="str">
        <f aca="false">IF(C4627="","",INDEX(Akaun!$F$5:$F$150,MATCH(C4627,Akaun!$A$5:$A$150,0)))</f>
        <v/>
      </c>
      <c r="H4627" s="1" t="str">
        <f aca="false">IF(C4627="","",INDEX(Akaun!$D$5:$D$150,MATCH(C4627,Akaun!$A$5:$A$150,0)))</f>
        <v/>
      </c>
    </row>
    <row r="4628" customFormat="false" ht="15" hidden="false" customHeight="true" outlineLevel="0" collapsed="false">
      <c r="G4628" s="1" t="str">
        <f aca="false">IF(C4628="","",INDEX(Akaun!$F$5:$F$150,MATCH(C4628,Akaun!$A$5:$A$150,0)))</f>
        <v/>
      </c>
      <c r="H4628" s="1" t="str">
        <f aca="false">IF(C4628="","",INDEX(Akaun!$D$5:$D$150,MATCH(C4628,Akaun!$A$5:$A$150,0)))</f>
        <v/>
      </c>
    </row>
    <row r="4629" customFormat="false" ht="15" hidden="false" customHeight="true" outlineLevel="0" collapsed="false">
      <c r="G4629" s="1" t="str">
        <f aca="false">IF(C4629="","",INDEX(Akaun!$F$5:$F$150,MATCH(C4629,Akaun!$A$5:$A$150,0)))</f>
        <v/>
      </c>
      <c r="H4629" s="1" t="str">
        <f aca="false">IF(C4629="","",INDEX(Akaun!$D$5:$D$150,MATCH(C4629,Akaun!$A$5:$A$150,0)))</f>
        <v/>
      </c>
    </row>
    <row r="4630" customFormat="false" ht="15" hidden="false" customHeight="true" outlineLevel="0" collapsed="false">
      <c r="G4630" s="1" t="str">
        <f aca="false">IF(C4630="","",INDEX(Akaun!$F$5:$F$150,MATCH(C4630,Akaun!$A$5:$A$150,0)))</f>
        <v/>
      </c>
      <c r="H4630" s="1" t="str">
        <f aca="false">IF(C4630="","",INDEX(Akaun!$D$5:$D$150,MATCH(C4630,Akaun!$A$5:$A$150,0)))</f>
        <v/>
      </c>
    </row>
    <row r="4631" customFormat="false" ht="15" hidden="false" customHeight="true" outlineLevel="0" collapsed="false">
      <c r="G4631" s="1" t="str">
        <f aca="false">IF(C4631="","",INDEX(Akaun!$F$5:$F$150,MATCH(C4631,Akaun!$A$5:$A$150,0)))</f>
        <v/>
      </c>
      <c r="H4631" s="1" t="str">
        <f aca="false">IF(C4631="","",INDEX(Akaun!$D$5:$D$150,MATCH(C4631,Akaun!$A$5:$A$150,0)))</f>
        <v/>
      </c>
    </row>
    <row r="4632" customFormat="false" ht="15" hidden="false" customHeight="true" outlineLevel="0" collapsed="false">
      <c r="G4632" s="1" t="str">
        <f aca="false">IF(C4632="","",INDEX(Akaun!$F$5:$F$150,MATCH(C4632,Akaun!$A$5:$A$150,0)))</f>
        <v/>
      </c>
      <c r="H4632" s="1" t="str">
        <f aca="false">IF(C4632="","",INDEX(Akaun!$D$5:$D$150,MATCH(C4632,Akaun!$A$5:$A$150,0)))</f>
        <v/>
      </c>
    </row>
    <row r="4633" customFormat="false" ht="15" hidden="false" customHeight="true" outlineLevel="0" collapsed="false">
      <c r="G4633" s="1" t="str">
        <f aca="false">IF(C4633="","",INDEX(Akaun!$F$5:$F$150,MATCH(C4633,Akaun!$A$5:$A$150,0)))</f>
        <v/>
      </c>
      <c r="H4633" s="1" t="str">
        <f aca="false">IF(C4633="","",INDEX(Akaun!$D$5:$D$150,MATCH(C4633,Akaun!$A$5:$A$150,0)))</f>
        <v/>
      </c>
    </row>
    <row r="4634" customFormat="false" ht="15" hidden="false" customHeight="true" outlineLevel="0" collapsed="false">
      <c r="G4634" s="1" t="str">
        <f aca="false">IF(C4634="","",INDEX(Akaun!$F$5:$F$150,MATCH(C4634,Akaun!$A$5:$A$150,0)))</f>
        <v/>
      </c>
      <c r="H4634" s="1" t="str">
        <f aca="false">IF(C4634="","",INDEX(Akaun!$D$5:$D$150,MATCH(C4634,Akaun!$A$5:$A$150,0)))</f>
        <v/>
      </c>
    </row>
    <row r="4635" customFormat="false" ht="15" hidden="false" customHeight="true" outlineLevel="0" collapsed="false">
      <c r="G4635" s="1" t="str">
        <f aca="false">IF(C4635="","",INDEX(Akaun!$F$5:$F$150,MATCH(C4635,Akaun!$A$5:$A$150,0)))</f>
        <v/>
      </c>
      <c r="H4635" s="1" t="str">
        <f aca="false">IF(C4635="","",INDEX(Akaun!$D$5:$D$150,MATCH(C4635,Akaun!$A$5:$A$150,0)))</f>
        <v/>
      </c>
    </row>
    <row r="4636" customFormat="false" ht="15" hidden="false" customHeight="true" outlineLevel="0" collapsed="false">
      <c r="G4636" s="1" t="str">
        <f aca="false">IF(C4636="","",INDEX(Akaun!$F$5:$F$150,MATCH(C4636,Akaun!$A$5:$A$150,0)))</f>
        <v/>
      </c>
      <c r="H4636" s="1" t="str">
        <f aca="false">IF(C4636="","",INDEX(Akaun!$D$5:$D$150,MATCH(C4636,Akaun!$A$5:$A$150,0)))</f>
        <v/>
      </c>
    </row>
    <row r="4637" customFormat="false" ht="15" hidden="false" customHeight="true" outlineLevel="0" collapsed="false">
      <c r="G4637" s="1" t="str">
        <f aca="false">IF(C4637="","",INDEX(Akaun!$F$5:$F$150,MATCH(C4637,Akaun!$A$5:$A$150,0)))</f>
        <v/>
      </c>
      <c r="H4637" s="1" t="str">
        <f aca="false">IF(C4637="","",INDEX(Akaun!$D$5:$D$150,MATCH(C4637,Akaun!$A$5:$A$150,0)))</f>
        <v/>
      </c>
    </row>
    <row r="4638" customFormat="false" ht="15" hidden="false" customHeight="true" outlineLevel="0" collapsed="false">
      <c r="G4638" s="1" t="str">
        <f aca="false">IF(C4638="","",INDEX(Akaun!$F$5:$F$150,MATCH(C4638,Akaun!$A$5:$A$150,0)))</f>
        <v/>
      </c>
      <c r="H4638" s="1" t="str">
        <f aca="false">IF(C4638="","",INDEX(Akaun!$D$5:$D$150,MATCH(C4638,Akaun!$A$5:$A$150,0)))</f>
        <v/>
      </c>
    </row>
    <row r="4639" customFormat="false" ht="15" hidden="false" customHeight="true" outlineLevel="0" collapsed="false">
      <c r="G4639" s="1" t="str">
        <f aca="false">IF(C4639="","",INDEX(Akaun!$F$5:$F$150,MATCH(C4639,Akaun!$A$5:$A$150,0)))</f>
        <v/>
      </c>
      <c r="H4639" s="1" t="str">
        <f aca="false">IF(C4639="","",INDEX(Akaun!$D$5:$D$150,MATCH(C4639,Akaun!$A$5:$A$150,0)))</f>
        <v/>
      </c>
    </row>
    <row r="4640" customFormat="false" ht="15" hidden="false" customHeight="true" outlineLevel="0" collapsed="false">
      <c r="G4640" s="1" t="str">
        <f aca="false">IF(C4640="","",INDEX(Akaun!$F$5:$F$150,MATCH(C4640,Akaun!$A$5:$A$150,0)))</f>
        <v/>
      </c>
      <c r="H4640" s="1" t="str">
        <f aca="false">IF(C4640="","",INDEX(Akaun!$D$5:$D$150,MATCH(C4640,Akaun!$A$5:$A$150,0)))</f>
        <v/>
      </c>
    </row>
    <row r="4641" customFormat="false" ht="15" hidden="false" customHeight="true" outlineLevel="0" collapsed="false">
      <c r="G4641" s="1" t="str">
        <f aca="false">IF(C4641="","",INDEX(Akaun!$F$5:$F$150,MATCH(C4641,Akaun!$A$5:$A$150,0)))</f>
        <v/>
      </c>
      <c r="H4641" s="1" t="str">
        <f aca="false">IF(C4641="","",INDEX(Akaun!$D$5:$D$150,MATCH(C4641,Akaun!$A$5:$A$150,0)))</f>
        <v/>
      </c>
    </row>
    <row r="4642" customFormat="false" ht="15" hidden="false" customHeight="true" outlineLevel="0" collapsed="false">
      <c r="G4642" s="1" t="str">
        <f aca="false">IF(C4642="","",INDEX(Akaun!$F$5:$F$150,MATCH(C4642,Akaun!$A$5:$A$150,0)))</f>
        <v/>
      </c>
      <c r="H4642" s="1" t="str">
        <f aca="false">IF(C4642="","",INDEX(Akaun!$D$5:$D$150,MATCH(C4642,Akaun!$A$5:$A$150,0)))</f>
        <v/>
      </c>
    </row>
    <row r="4643" customFormat="false" ht="15" hidden="false" customHeight="true" outlineLevel="0" collapsed="false">
      <c r="G4643" s="1" t="str">
        <f aca="false">IF(C4643="","",INDEX(Akaun!$F$5:$F$150,MATCH(C4643,Akaun!$A$5:$A$150,0)))</f>
        <v/>
      </c>
      <c r="H4643" s="1" t="str">
        <f aca="false">IF(C4643="","",INDEX(Akaun!$D$5:$D$150,MATCH(C4643,Akaun!$A$5:$A$150,0)))</f>
        <v/>
      </c>
    </row>
    <row r="4644" customFormat="false" ht="15" hidden="false" customHeight="true" outlineLevel="0" collapsed="false">
      <c r="G4644" s="1" t="str">
        <f aca="false">IF(C4644="","",INDEX(Akaun!$F$5:$F$150,MATCH(C4644,Akaun!$A$5:$A$150,0)))</f>
        <v/>
      </c>
      <c r="H4644" s="1" t="str">
        <f aca="false">IF(C4644="","",INDEX(Akaun!$D$5:$D$150,MATCH(C4644,Akaun!$A$5:$A$150,0)))</f>
        <v/>
      </c>
    </row>
    <row r="4645" customFormat="false" ht="15" hidden="false" customHeight="true" outlineLevel="0" collapsed="false">
      <c r="G4645" s="1" t="str">
        <f aca="false">IF(C4645="","",INDEX(Akaun!$F$5:$F$150,MATCH(C4645,Akaun!$A$5:$A$150,0)))</f>
        <v/>
      </c>
      <c r="H4645" s="1" t="str">
        <f aca="false">IF(C4645="","",INDEX(Akaun!$D$5:$D$150,MATCH(C4645,Akaun!$A$5:$A$150,0)))</f>
        <v/>
      </c>
    </row>
    <row r="4646" customFormat="false" ht="15" hidden="false" customHeight="true" outlineLevel="0" collapsed="false">
      <c r="G4646" s="1" t="str">
        <f aca="false">IF(C4646="","",INDEX(Akaun!$F$5:$F$150,MATCH(C4646,Akaun!$A$5:$A$150,0)))</f>
        <v/>
      </c>
      <c r="H4646" s="1" t="str">
        <f aca="false">IF(C4646="","",INDEX(Akaun!$D$5:$D$150,MATCH(C4646,Akaun!$A$5:$A$150,0)))</f>
        <v/>
      </c>
    </row>
    <row r="4647" customFormat="false" ht="15" hidden="false" customHeight="true" outlineLevel="0" collapsed="false">
      <c r="G4647" s="1" t="str">
        <f aca="false">IF(C4647="","",INDEX(Akaun!$F$5:$F$150,MATCH(C4647,Akaun!$A$5:$A$150,0)))</f>
        <v/>
      </c>
      <c r="H4647" s="1" t="str">
        <f aca="false">IF(C4647="","",INDEX(Akaun!$D$5:$D$150,MATCH(C4647,Akaun!$A$5:$A$150,0)))</f>
        <v/>
      </c>
    </row>
    <row r="4648" customFormat="false" ht="15" hidden="false" customHeight="true" outlineLevel="0" collapsed="false">
      <c r="G4648" s="1" t="str">
        <f aca="false">IF(C4648="","",INDEX(Akaun!$F$5:$F$150,MATCH(C4648,Akaun!$A$5:$A$150,0)))</f>
        <v/>
      </c>
      <c r="H4648" s="1" t="str">
        <f aca="false">IF(C4648="","",INDEX(Akaun!$D$5:$D$150,MATCH(C4648,Akaun!$A$5:$A$150,0)))</f>
        <v/>
      </c>
    </row>
    <row r="4649" customFormat="false" ht="15" hidden="false" customHeight="true" outlineLevel="0" collapsed="false">
      <c r="G4649" s="1" t="str">
        <f aca="false">IF(C4649="","",INDEX(Akaun!$F$5:$F$150,MATCH(C4649,Akaun!$A$5:$A$150,0)))</f>
        <v/>
      </c>
      <c r="H4649" s="1" t="str">
        <f aca="false">IF(C4649="","",INDEX(Akaun!$D$5:$D$150,MATCH(C4649,Akaun!$A$5:$A$150,0)))</f>
        <v/>
      </c>
    </row>
    <row r="4650" customFormat="false" ht="15" hidden="false" customHeight="true" outlineLevel="0" collapsed="false">
      <c r="G4650" s="1" t="str">
        <f aca="false">IF(C4650="","",INDEX(Akaun!$F$5:$F$150,MATCH(C4650,Akaun!$A$5:$A$150,0)))</f>
        <v/>
      </c>
      <c r="H4650" s="1" t="str">
        <f aca="false">IF(C4650="","",INDEX(Akaun!$D$5:$D$150,MATCH(C4650,Akaun!$A$5:$A$150,0)))</f>
        <v/>
      </c>
    </row>
    <row r="4651" customFormat="false" ht="15" hidden="false" customHeight="true" outlineLevel="0" collapsed="false">
      <c r="G4651" s="1" t="str">
        <f aca="false">IF(C4651="","",INDEX(Akaun!$F$5:$F$150,MATCH(C4651,Akaun!$A$5:$A$150,0)))</f>
        <v/>
      </c>
      <c r="H4651" s="1" t="str">
        <f aca="false">IF(C4651="","",INDEX(Akaun!$D$5:$D$150,MATCH(C4651,Akaun!$A$5:$A$150,0)))</f>
        <v/>
      </c>
    </row>
    <row r="4652" customFormat="false" ht="15" hidden="false" customHeight="true" outlineLevel="0" collapsed="false">
      <c r="G4652" s="1" t="str">
        <f aca="false">IF(C4652="","",INDEX(Akaun!$F$5:$F$150,MATCH(C4652,Akaun!$A$5:$A$150,0)))</f>
        <v/>
      </c>
      <c r="H4652" s="1" t="str">
        <f aca="false">IF(C4652="","",INDEX(Akaun!$D$5:$D$150,MATCH(C4652,Akaun!$A$5:$A$150,0)))</f>
        <v/>
      </c>
    </row>
    <row r="4653" customFormat="false" ht="15" hidden="false" customHeight="true" outlineLevel="0" collapsed="false">
      <c r="G4653" s="1" t="str">
        <f aca="false">IF(C4653="","",INDEX(Akaun!$F$5:$F$150,MATCH(C4653,Akaun!$A$5:$A$150,0)))</f>
        <v/>
      </c>
      <c r="H4653" s="1" t="str">
        <f aca="false">IF(C4653="","",INDEX(Akaun!$D$5:$D$150,MATCH(C4653,Akaun!$A$5:$A$150,0)))</f>
        <v/>
      </c>
    </row>
    <row r="4654" customFormat="false" ht="15" hidden="false" customHeight="true" outlineLevel="0" collapsed="false">
      <c r="G4654" s="1" t="str">
        <f aca="false">IF(C4654="","",INDEX(Akaun!$F$5:$F$150,MATCH(C4654,Akaun!$A$5:$A$150,0)))</f>
        <v/>
      </c>
      <c r="H4654" s="1" t="str">
        <f aca="false">IF(C4654="","",INDEX(Akaun!$D$5:$D$150,MATCH(C4654,Akaun!$A$5:$A$150,0)))</f>
        <v/>
      </c>
    </row>
    <row r="4655" customFormat="false" ht="15" hidden="false" customHeight="true" outlineLevel="0" collapsed="false">
      <c r="G4655" s="1" t="str">
        <f aca="false">IF(C4655="","",INDEX(Akaun!$F$5:$F$150,MATCH(C4655,Akaun!$A$5:$A$150,0)))</f>
        <v/>
      </c>
      <c r="H4655" s="1" t="str">
        <f aca="false">IF(C4655="","",INDEX(Akaun!$D$5:$D$150,MATCH(C4655,Akaun!$A$5:$A$150,0)))</f>
        <v/>
      </c>
    </row>
    <row r="4656" customFormat="false" ht="15" hidden="false" customHeight="true" outlineLevel="0" collapsed="false">
      <c r="G4656" s="1" t="str">
        <f aca="false">IF(C4656="","",INDEX(Akaun!$F$5:$F$150,MATCH(C4656,Akaun!$A$5:$A$150,0)))</f>
        <v/>
      </c>
      <c r="H4656" s="1" t="str">
        <f aca="false">IF(C4656="","",INDEX(Akaun!$D$5:$D$150,MATCH(C4656,Akaun!$A$5:$A$150,0)))</f>
        <v/>
      </c>
    </row>
    <row r="4657" customFormat="false" ht="15" hidden="false" customHeight="true" outlineLevel="0" collapsed="false">
      <c r="G4657" s="1" t="str">
        <f aca="false">IF(C4657="","",INDEX(Akaun!$F$5:$F$150,MATCH(C4657,Akaun!$A$5:$A$150,0)))</f>
        <v/>
      </c>
      <c r="H4657" s="1" t="str">
        <f aca="false">IF(C4657="","",INDEX(Akaun!$D$5:$D$150,MATCH(C4657,Akaun!$A$5:$A$150,0)))</f>
        <v/>
      </c>
    </row>
    <row r="4658" customFormat="false" ht="15" hidden="false" customHeight="true" outlineLevel="0" collapsed="false">
      <c r="G4658" s="1" t="str">
        <f aca="false">IF(C4658="","",INDEX(Akaun!$F$5:$F$150,MATCH(C4658,Akaun!$A$5:$A$150,0)))</f>
        <v/>
      </c>
      <c r="H4658" s="1" t="str">
        <f aca="false">IF(C4658="","",INDEX(Akaun!$D$5:$D$150,MATCH(C4658,Akaun!$A$5:$A$150,0)))</f>
        <v/>
      </c>
    </row>
    <row r="4659" customFormat="false" ht="15" hidden="false" customHeight="true" outlineLevel="0" collapsed="false">
      <c r="G4659" s="1" t="str">
        <f aca="false">IF(C4659="","",INDEX(Akaun!$F$5:$F$150,MATCH(C4659,Akaun!$A$5:$A$150,0)))</f>
        <v/>
      </c>
      <c r="H4659" s="1" t="str">
        <f aca="false">IF(C4659="","",INDEX(Akaun!$D$5:$D$150,MATCH(C4659,Akaun!$A$5:$A$150,0)))</f>
        <v/>
      </c>
    </row>
    <row r="4660" customFormat="false" ht="15" hidden="false" customHeight="true" outlineLevel="0" collapsed="false">
      <c r="G4660" s="1" t="str">
        <f aca="false">IF(C4660="","",INDEX(Akaun!$F$5:$F$150,MATCH(C4660,Akaun!$A$5:$A$150,0)))</f>
        <v/>
      </c>
      <c r="H4660" s="1" t="str">
        <f aca="false">IF(C4660="","",INDEX(Akaun!$D$5:$D$150,MATCH(C4660,Akaun!$A$5:$A$150,0)))</f>
        <v/>
      </c>
    </row>
    <row r="4661" customFormat="false" ht="15" hidden="false" customHeight="true" outlineLevel="0" collapsed="false">
      <c r="G4661" s="1" t="str">
        <f aca="false">IF(C4661="","",INDEX(Akaun!$F$5:$F$150,MATCH(C4661,Akaun!$A$5:$A$150,0)))</f>
        <v/>
      </c>
      <c r="H4661" s="1" t="str">
        <f aca="false">IF(C4661="","",INDEX(Akaun!$D$5:$D$150,MATCH(C4661,Akaun!$A$5:$A$150,0)))</f>
        <v/>
      </c>
    </row>
    <row r="4662" customFormat="false" ht="15" hidden="false" customHeight="true" outlineLevel="0" collapsed="false">
      <c r="G4662" s="1" t="str">
        <f aca="false">IF(C4662="","",INDEX(Akaun!$F$5:$F$150,MATCH(C4662,Akaun!$A$5:$A$150,0)))</f>
        <v/>
      </c>
      <c r="H4662" s="1" t="str">
        <f aca="false">IF(C4662="","",INDEX(Akaun!$D$5:$D$150,MATCH(C4662,Akaun!$A$5:$A$150,0)))</f>
        <v/>
      </c>
    </row>
    <row r="4663" customFormat="false" ht="15" hidden="false" customHeight="true" outlineLevel="0" collapsed="false">
      <c r="G4663" s="1" t="str">
        <f aca="false">IF(C4663="","",INDEX(Akaun!$F$5:$F$150,MATCH(C4663,Akaun!$A$5:$A$150,0)))</f>
        <v/>
      </c>
      <c r="H4663" s="1" t="str">
        <f aca="false">IF(C4663="","",INDEX(Akaun!$D$5:$D$150,MATCH(C4663,Akaun!$A$5:$A$150,0)))</f>
        <v/>
      </c>
    </row>
    <row r="4664" customFormat="false" ht="15" hidden="false" customHeight="true" outlineLevel="0" collapsed="false">
      <c r="G4664" s="1" t="str">
        <f aca="false">IF(C4664="","",INDEX(Akaun!$F$5:$F$150,MATCH(C4664,Akaun!$A$5:$A$150,0)))</f>
        <v/>
      </c>
      <c r="H4664" s="1" t="str">
        <f aca="false">IF(C4664="","",INDEX(Akaun!$D$5:$D$150,MATCH(C4664,Akaun!$A$5:$A$150,0)))</f>
        <v/>
      </c>
    </row>
    <row r="4665" customFormat="false" ht="15" hidden="false" customHeight="true" outlineLevel="0" collapsed="false">
      <c r="G4665" s="1" t="str">
        <f aca="false">IF(C4665="","",INDEX(Akaun!$F$5:$F$150,MATCH(C4665,Akaun!$A$5:$A$150,0)))</f>
        <v/>
      </c>
      <c r="H4665" s="1" t="str">
        <f aca="false">IF(C4665="","",INDEX(Akaun!$D$5:$D$150,MATCH(C4665,Akaun!$A$5:$A$150,0)))</f>
        <v/>
      </c>
    </row>
    <row r="4666" customFormat="false" ht="15" hidden="false" customHeight="true" outlineLevel="0" collapsed="false">
      <c r="G4666" s="1" t="str">
        <f aca="false">IF(C4666="","",INDEX(Akaun!$F$5:$F$150,MATCH(C4666,Akaun!$A$5:$A$150,0)))</f>
        <v/>
      </c>
      <c r="H4666" s="1" t="str">
        <f aca="false">IF(C4666="","",INDEX(Akaun!$D$5:$D$150,MATCH(C4666,Akaun!$A$5:$A$150,0)))</f>
        <v/>
      </c>
    </row>
    <row r="4667" customFormat="false" ht="15" hidden="false" customHeight="true" outlineLevel="0" collapsed="false">
      <c r="G4667" s="1" t="str">
        <f aca="false">IF(C4667="","",INDEX(Akaun!$F$5:$F$150,MATCH(C4667,Akaun!$A$5:$A$150,0)))</f>
        <v/>
      </c>
      <c r="H4667" s="1" t="str">
        <f aca="false">IF(C4667="","",INDEX(Akaun!$D$5:$D$150,MATCH(C4667,Akaun!$A$5:$A$150,0)))</f>
        <v/>
      </c>
    </row>
    <row r="4668" customFormat="false" ht="15" hidden="false" customHeight="true" outlineLevel="0" collapsed="false">
      <c r="G4668" s="1" t="str">
        <f aca="false">IF(C4668="","",INDEX(Akaun!$F$5:$F$150,MATCH(C4668,Akaun!$A$5:$A$150,0)))</f>
        <v/>
      </c>
      <c r="H4668" s="1" t="str">
        <f aca="false">IF(C4668="","",INDEX(Akaun!$D$5:$D$150,MATCH(C4668,Akaun!$A$5:$A$150,0)))</f>
        <v/>
      </c>
    </row>
    <row r="4669" customFormat="false" ht="15" hidden="false" customHeight="true" outlineLevel="0" collapsed="false">
      <c r="G4669" s="1" t="str">
        <f aca="false">IF(C4669="","",INDEX(Akaun!$F$5:$F$150,MATCH(C4669,Akaun!$A$5:$A$150,0)))</f>
        <v/>
      </c>
      <c r="H4669" s="1" t="str">
        <f aca="false">IF(C4669="","",INDEX(Akaun!$D$5:$D$150,MATCH(C4669,Akaun!$A$5:$A$150,0)))</f>
        <v/>
      </c>
    </row>
    <row r="4670" customFormat="false" ht="15" hidden="false" customHeight="true" outlineLevel="0" collapsed="false">
      <c r="G4670" s="1" t="str">
        <f aca="false">IF(C4670="","",INDEX(Akaun!$F$5:$F$150,MATCH(C4670,Akaun!$A$5:$A$150,0)))</f>
        <v/>
      </c>
      <c r="H4670" s="1" t="str">
        <f aca="false">IF(C4670="","",INDEX(Akaun!$D$5:$D$150,MATCH(C4670,Akaun!$A$5:$A$150,0)))</f>
        <v/>
      </c>
    </row>
    <row r="4671" customFormat="false" ht="15" hidden="false" customHeight="true" outlineLevel="0" collapsed="false">
      <c r="G4671" s="1" t="str">
        <f aca="false">IF(C4671="","",INDEX(Akaun!$F$5:$F$150,MATCH(C4671,Akaun!$A$5:$A$150,0)))</f>
        <v/>
      </c>
      <c r="H4671" s="1" t="str">
        <f aca="false">IF(C4671="","",INDEX(Akaun!$D$5:$D$150,MATCH(C4671,Akaun!$A$5:$A$150,0)))</f>
        <v/>
      </c>
    </row>
    <row r="4672" customFormat="false" ht="15" hidden="false" customHeight="true" outlineLevel="0" collapsed="false">
      <c r="G4672" s="1" t="str">
        <f aca="false">IF(C4672="","",INDEX(Akaun!$F$5:$F$150,MATCH(C4672,Akaun!$A$5:$A$150,0)))</f>
        <v/>
      </c>
      <c r="H4672" s="1" t="str">
        <f aca="false">IF(C4672="","",INDEX(Akaun!$D$5:$D$150,MATCH(C4672,Akaun!$A$5:$A$150,0)))</f>
        <v/>
      </c>
    </row>
    <row r="4673" customFormat="false" ht="15" hidden="false" customHeight="true" outlineLevel="0" collapsed="false">
      <c r="G4673" s="1" t="str">
        <f aca="false">IF(C4673="","",INDEX(Akaun!$F$5:$F$150,MATCH(C4673,Akaun!$A$5:$A$150,0)))</f>
        <v/>
      </c>
      <c r="H4673" s="1" t="str">
        <f aca="false">IF(C4673="","",INDEX(Akaun!$D$5:$D$150,MATCH(C4673,Akaun!$A$5:$A$150,0)))</f>
        <v/>
      </c>
    </row>
    <row r="4674" customFormat="false" ht="15" hidden="false" customHeight="true" outlineLevel="0" collapsed="false">
      <c r="G4674" s="1" t="str">
        <f aca="false">IF(C4674="","",INDEX(Akaun!$F$5:$F$150,MATCH(C4674,Akaun!$A$5:$A$150,0)))</f>
        <v/>
      </c>
      <c r="H4674" s="1" t="str">
        <f aca="false">IF(C4674="","",INDEX(Akaun!$D$5:$D$150,MATCH(C4674,Akaun!$A$5:$A$150,0)))</f>
        <v/>
      </c>
    </row>
    <row r="4675" customFormat="false" ht="15" hidden="false" customHeight="true" outlineLevel="0" collapsed="false">
      <c r="G4675" s="1" t="str">
        <f aca="false">IF(C4675="","",INDEX(Akaun!$F$5:$F$150,MATCH(C4675,Akaun!$A$5:$A$150,0)))</f>
        <v/>
      </c>
      <c r="H4675" s="1" t="str">
        <f aca="false">IF(C4675="","",INDEX(Akaun!$D$5:$D$150,MATCH(C4675,Akaun!$A$5:$A$150,0)))</f>
        <v/>
      </c>
    </row>
    <row r="4676" customFormat="false" ht="15" hidden="false" customHeight="true" outlineLevel="0" collapsed="false">
      <c r="G4676" s="1" t="str">
        <f aca="false">IF(C4676="","",INDEX(Akaun!$F$5:$F$150,MATCH(C4676,Akaun!$A$5:$A$150,0)))</f>
        <v/>
      </c>
      <c r="H4676" s="1" t="str">
        <f aca="false">IF(C4676="","",INDEX(Akaun!$D$5:$D$150,MATCH(C4676,Akaun!$A$5:$A$150,0)))</f>
        <v/>
      </c>
    </row>
    <row r="4677" customFormat="false" ht="15" hidden="false" customHeight="true" outlineLevel="0" collapsed="false">
      <c r="G4677" s="1" t="str">
        <f aca="false">IF(C4677="","",INDEX(Akaun!$F$5:$F$150,MATCH(C4677,Akaun!$A$5:$A$150,0)))</f>
        <v/>
      </c>
      <c r="H4677" s="1" t="str">
        <f aca="false">IF(C4677="","",INDEX(Akaun!$D$5:$D$150,MATCH(C4677,Akaun!$A$5:$A$150,0)))</f>
        <v/>
      </c>
    </row>
    <row r="4678" customFormat="false" ht="15" hidden="false" customHeight="true" outlineLevel="0" collapsed="false">
      <c r="G4678" s="1" t="str">
        <f aca="false">IF(C4678="","",INDEX(Akaun!$F$5:$F$150,MATCH(C4678,Akaun!$A$5:$A$150,0)))</f>
        <v/>
      </c>
      <c r="H4678" s="1" t="str">
        <f aca="false">IF(C4678="","",INDEX(Akaun!$D$5:$D$150,MATCH(C4678,Akaun!$A$5:$A$150,0)))</f>
        <v/>
      </c>
    </row>
    <row r="4679" customFormat="false" ht="15" hidden="false" customHeight="true" outlineLevel="0" collapsed="false">
      <c r="G4679" s="1" t="str">
        <f aca="false">IF(C4679="","",INDEX(Akaun!$F$5:$F$150,MATCH(C4679,Akaun!$A$5:$A$150,0)))</f>
        <v/>
      </c>
      <c r="H4679" s="1" t="str">
        <f aca="false">IF(C4679="","",INDEX(Akaun!$D$5:$D$150,MATCH(C4679,Akaun!$A$5:$A$150,0)))</f>
        <v/>
      </c>
    </row>
    <row r="4680" customFormat="false" ht="15" hidden="false" customHeight="true" outlineLevel="0" collapsed="false">
      <c r="G4680" s="1" t="str">
        <f aca="false">IF(C4680="","",INDEX(Akaun!$F$5:$F$150,MATCH(C4680,Akaun!$A$5:$A$150,0)))</f>
        <v/>
      </c>
      <c r="H4680" s="1" t="str">
        <f aca="false">IF(C4680="","",INDEX(Akaun!$D$5:$D$150,MATCH(C4680,Akaun!$A$5:$A$150,0)))</f>
        <v/>
      </c>
    </row>
    <row r="4681" customFormat="false" ht="15" hidden="false" customHeight="true" outlineLevel="0" collapsed="false">
      <c r="G4681" s="1" t="str">
        <f aca="false">IF(C4681="","",INDEX(Akaun!$F$5:$F$150,MATCH(C4681,Akaun!$A$5:$A$150,0)))</f>
        <v/>
      </c>
      <c r="H4681" s="1" t="str">
        <f aca="false">IF(C4681="","",INDEX(Akaun!$D$5:$D$150,MATCH(C4681,Akaun!$A$5:$A$150,0)))</f>
        <v/>
      </c>
    </row>
    <row r="4682" customFormat="false" ht="15" hidden="false" customHeight="true" outlineLevel="0" collapsed="false">
      <c r="G4682" s="1" t="str">
        <f aca="false">IF(C4682="","",INDEX(Akaun!$F$5:$F$150,MATCH(C4682,Akaun!$A$5:$A$150,0)))</f>
        <v/>
      </c>
      <c r="H4682" s="1" t="str">
        <f aca="false">IF(C4682="","",INDEX(Akaun!$D$5:$D$150,MATCH(C4682,Akaun!$A$5:$A$150,0)))</f>
        <v/>
      </c>
    </row>
    <row r="4683" customFormat="false" ht="15" hidden="false" customHeight="true" outlineLevel="0" collapsed="false">
      <c r="G4683" s="1" t="str">
        <f aca="false">IF(C4683="","",INDEX(Akaun!$F$5:$F$150,MATCH(C4683,Akaun!$A$5:$A$150,0)))</f>
        <v/>
      </c>
      <c r="H4683" s="1" t="str">
        <f aca="false">IF(C4683="","",INDEX(Akaun!$D$5:$D$150,MATCH(C4683,Akaun!$A$5:$A$150,0)))</f>
        <v/>
      </c>
    </row>
    <row r="4684" customFormat="false" ht="15" hidden="false" customHeight="true" outlineLevel="0" collapsed="false">
      <c r="G4684" s="1" t="str">
        <f aca="false">IF(C4684="","",INDEX(Akaun!$F$5:$F$150,MATCH(C4684,Akaun!$A$5:$A$150,0)))</f>
        <v/>
      </c>
      <c r="H4684" s="1" t="str">
        <f aca="false">IF(C4684="","",INDEX(Akaun!$D$5:$D$150,MATCH(C4684,Akaun!$A$5:$A$150,0)))</f>
        <v/>
      </c>
    </row>
    <row r="4685" customFormat="false" ht="15" hidden="false" customHeight="true" outlineLevel="0" collapsed="false">
      <c r="G4685" s="1" t="str">
        <f aca="false">IF(C4685="","",INDEX(Akaun!$F$5:$F$150,MATCH(C4685,Akaun!$A$5:$A$150,0)))</f>
        <v/>
      </c>
      <c r="H4685" s="1" t="str">
        <f aca="false">IF(C4685="","",INDEX(Akaun!$D$5:$D$150,MATCH(C4685,Akaun!$A$5:$A$150,0)))</f>
        <v/>
      </c>
    </row>
    <row r="4686" customFormat="false" ht="15" hidden="false" customHeight="true" outlineLevel="0" collapsed="false">
      <c r="G4686" s="1" t="str">
        <f aca="false">IF(C4686="","",INDEX(Akaun!$F$5:$F$150,MATCH(C4686,Akaun!$A$5:$A$150,0)))</f>
        <v/>
      </c>
      <c r="H4686" s="1" t="str">
        <f aca="false">IF(C4686="","",INDEX(Akaun!$D$5:$D$150,MATCH(C4686,Akaun!$A$5:$A$150,0)))</f>
        <v/>
      </c>
    </row>
    <row r="4687" customFormat="false" ht="15" hidden="false" customHeight="true" outlineLevel="0" collapsed="false">
      <c r="G4687" s="1" t="str">
        <f aca="false">IF(C4687="","",INDEX(Akaun!$F$5:$F$150,MATCH(C4687,Akaun!$A$5:$A$150,0)))</f>
        <v/>
      </c>
      <c r="H4687" s="1" t="str">
        <f aca="false">IF(C4687="","",INDEX(Akaun!$D$5:$D$150,MATCH(C4687,Akaun!$A$5:$A$150,0)))</f>
        <v/>
      </c>
    </row>
    <row r="4688" customFormat="false" ht="15" hidden="false" customHeight="true" outlineLevel="0" collapsed="false">
      <c r="G4688" s="1" t="str">
        <f aca="false">IF(C4688="","",INDEX(Akaun!$F$5:$F$150,MATCH(C4688,Akaun!$A$5:$A$150,0)))</f>
        <v/>
      </c>
      <c r="H4688" s="1" t="str">
        <f aca="false">IF(C4688="","",INDEX(Akaun!$D$5:$D$150,MATCH(C4688,Akaun!$A$5:$A$150,0)))</f>
        <v/>
      </c>
    </row>
    <row r="4689" customFormat="false" ht="15" hidden="false" customHeight="true" outlineLevel="0" collapsed="false">
      <c r="G4689" s="1" t="str">
        <f aca="false">IF(C4689="","",INDEX(Akaun!$F$5:$F$150,MATCH(C4689,Akaun!$A$5:$A$150,0)))</f>
        <v/>
      </c>
      <c r="H4689" s="1" t="str">
        <f aca="false">IF(C4689="","",INDEX(Akaun!$D$5:$D$150,MATCH(C4689,Akaun!$A$5:$A$150,0)))</f>
        <v/>
      </c>
    </row>
    <row r="4690" customFormat="false" ht="15" hidden="false" customHeight="true" outlineLevel="0" collapsed="false">
      <c r="G4690" s="1" t="str">
        <f aca="false">IF(C4690="","",INDEX(Akaun!$F$5:$F$150,MATCH(C4690,Akaun!$A$5:$A$150,0)))</f>
        <v/>
      </c>
      <c r="H4690" s="1" t="str">
        <f aca="false">IF(C4690="","",INDEX(Akaun!$D$5:$D$150,MATCH(C4690,Akaun!$A$5:$A$150,0)))</f>
        <v/>
      </c>
    </row>
    <row r="4691" customFormat="false" ht="15" hidden="false" customHeight="true" outlineLevel="0" collapsed="false">
      <c r="G4691" s="1" t="str">
        <f aca="false">IF(C4691="","",INDEX(Akaun!$F$5:$F$150,MATCH(C4691,Akaun!$A$5:$A$150,0)))</f>
        <v/>
      </c>
      <c r="H4691" s="1" t="str">
        <f aca="false">IF(C4691="","",INDEX(Akaun!$D$5:$D$150,MATCH(C4691,Akaun!$A$5:$A$150,0)))</f>
        <v/>
      </c>
    </row>
    <row r="4692" customFormat="false" ht="15" hidden="false" customHeight="true" outlineLevel="0" collapsed="false">
      <c r="G4692" s="1" t="str">
        <f aca="false">IF(C4692="","",INDEX(Akaun!$F$5:$F$150,MATCH(C4692,Akaun!$A$5:$A$150,0)))</f>
        <v/>
      </c>
      <c r="H4692" s="1" t="str">
        <f aca="false">IF(C4692="","",INDEX(Akaun!$D$5:$D$150,MATCH(C4692,Akaun!$A$5:$A$150,0)))</f>
        <v/>
      </c>
    </row>
    <row r="4693" customFormat="false" ht="15" hidden="false" customHeight="true" outlineLevel="0" collapsed="false">
      <c r="G4693" s="1" t="str">
        <f aca="false">IF(C4693="","",INDEX(Akaun!$F$5:$F$150,MATCH(C4693,Akaun!$A$5:$A$150,0)))</f>
        <v/>
      </c>
      <c r="H4693" s="1" t="str">
        <f aca="false">IF(C4693="","",INDEX(Akaun!$D$5:$D$150,MATCH(C4693,Akaun!$A$5:$A$150,0)))</f>
        <v/>
      </c>
    </row>
    <row r="4694" customFormat="false" ht="15" hidden="false" customHeight="true" outlineLevel="0" collapsed="false">
      <c r="G4694" s="1" t="str">
        <f aca="false">IF(C4694="","",INDEX(Akaun!$F$5:$F$150,MATCH(C4694,Akaun!$A$5:$A$150,0)))</f>
        <v/>
      </c>
      <c r="H4694" s="1" t="str">
        <f aca="false">IF(C4694="","",INDEX(Akaun!$D$5:$D$150,MATCH(C4694,Akaun!$A$5:$A$150,0)))</f>
        <v/>
      </c>
    </row>
    <row r="4695" customFormat="false" ht="15" hidden="false" customHeight="true" outlineLevel="0" collapsed="false">
      <c r="G4695" s="1" t="str">
        <f aca="false">IF(C4695="","",INDEX(Akaun!$F$5:$F$150,MATCH(C4695,Akaun!$A$5:$A$150,0)))</f>
        <v/>
      </c>
      <c r="H4695" s="1" t="str">
        <f aca="false">IF(C4695="","",INDEX(Akaun!$D$5:$D$150,MATCH(C4695,Akaun!$A$5:$A$150,0)))</f>
        <v/>
      </c>
    </row>
    <row r="4696" customFormat="false" ht="15" hidden="false" customHeight="true" outlineLevel="0" collapsed="false">
      <c r="G4696" s="1" t="str">
        <f aca="false">IF(C4696="","",INDEX(Akaun!$F$5:$F$150,MATCH(C4696,Akaun!$A$5:$A$150,0)))</f>
        <v/>
      </c>
      <c r="H4696" s="1" t="str">
        <f aca="false">IF(C4696="","",INDEX(Akaun!$D$5:$D$150,MATCH(C4696,Akaun!$A$5:$A$150,0)))</f>
        <v/>
      </c>
    </row>
    <row r="4697" customFormat="false" ht="15" hidden="false" customHeight="true" outlineLevel="0" collapsed="false">
      <c r="G4697" s="1" t="str">
        <f aca="false">IF(C4697="","",INDEX(Akaun!$F$5:$F$150,MATCH(C4697,Akaun!$A$5:$A$150,0)))</f>
        <v/>
      </c>
      <c r="H4697" s="1" t="str">
        <f aca="false">IF(C4697="","",INDEX(Akaun!$D$5:$D$150,MATCH(C4697,Akaun!$A$5:$A$150,0)))</f>
        <v/>
      </c>
    </row>
    <row r="4698" customFormat="false" ht="15" hidden="false" customHeight="true" outlineLevel="0" collapsed="false">
      <c r="G4698" s="1" t="str">
        <f aca="false">IF(C4698="","",INDEX(Akaun!$F$5:$F$150,MATCH(C4698,Akaun!$A$5:$A$150,0)))</f>
        <v/>
      </c>
      <c r="H4698" s="1" t="str">
        <f aca="false">IF(C4698="","",INDEX(Akaun!$D$5:$D$150,MATCH(C4698,Akaun!$A$5:$A$150,0)))</f>
        <v/>
      </c>
    </row>
    <row r="4699" customFormat="false" ht="15" hidden="false" customHeight="true" outlineLevel="0" collapsed="false">
      <c r="G4699" s="1" t="str">
        <f aca="false">IF(C4699="","",INDEX(Akaun!$F$5:$F$150,MATCH(C4699,Akaun!$A$5:$A$150,0)))</f>
        <v/>
      </c>
      <c r="H4699" s="1" t="str">
        <f aca="false">IF(C4699="","",INDEX(Akaun!$D$5:$D$150,MATCH(C4699,Akaun!$A$5:$A$150,0)))</f>
        <v/>
      </c>
    </row>
    <row r="4700" customFormat="false" ht="15" hidden="false" customHeight="true" outlineLevel="0" collapsed="false">
      <c r="G4700" s="1" t="str">
        <f aca="false">IF(C4700="","",INDEX(Akaun!$F$5:$F$150,MATCH(C4700,Akaun!$A$5:$A$150,0)))</f>
        <v/>
      </c>
      <c r="H4700" s="1" t="str">
        <f aca="false">IF(C4700="","",INDEX(Akaun!$D$5:$D$150,MATCH(C4700,Akaun!$A$5:$A$150,0)))</f>
        <v/>
      </c>
    </row>
    <row r="4701" customFormat="false" ht="15" hidden="false" customHeight="true" outlineLevel="0" collapsed="false">
      <c r="G4701" s="1" t="str">
        <f aca="false">IF(C4701="","",INDEX(Akaun!$F$5:$F$150,MATCH(C4701,Akaun!$A$5:$A$150,0)))</f>
        <v/>
      </c>
      <c r="H4701" s="1" t="str">
        <f aca="false">IF(C4701="","",INDEX(Akaun!$D$5:$D$150,MATCH(C4701,Akaun!$A$5:$A$150,0)))</f>
        <v/>
      </c>
    </row>
    <row r="4702" customFormat="false" ht="15" hidden="false" customHeight="true" outlineLevel="0" collapsed="false">
      <c r="G4702" s="1" t="str">
        <f aca="false">IF(C4702="","",INDEX(Akaun!$F$5:$F$150,MATCH(C4702,Akaun!$A$5:$A$150,0)))</f>
        <v/>
      </c>
      <c r="H4702" s="1" t="str">
        <f aca="false">IF(C4702="","",INDEX(Akaun!$D$5:$D$150,MATCH(C4702,Akaun!$A$5:$A$150,0)))</f>
        <v/>
      </c>
    </row>
    <row r="4703" customFormat="false" ht="15" hidden="false" customHeight="true" outlineLevel="0" collapsed="false">
      <c r="G4703" s="1" t="str">
        <f aca="false">IF(C4703="","",INDEX(Akaun!$F$5:$F$150,MATCH(C4703,Akaun!$A$5:$A$150,0)))</f>
        <v/>
      </c>
      <c r="H4703" s="1" t="str">
        <f aca="false">IF(C4703="","",INDEX(Akaun!$D$5:$D$150,MATCH(C4703,Akaun!$A$5:$A$150,0)))</f>
        <v/>
      </c>
    </row>
    <row r="4704" customFormat="false" ht="15" hidden="false" customHeight="true" outlineLevel="0" collapsed="false">
      <c r="G4704" s="1" t="str">
        <f aca="false">IF(C4704="","",INDEX(Akaun!$F$5:$F$150,MATCH(C4704,Akaun!$A$5:$A$150,0)))</f>
        <v/>
      </c>
      <c r="H4704" s="1" t="str">
        <f aca="false">IF(C4704="","",INDEX(Akaun!$D$5:$D$150,MATCH(C4704,Akaun!$A$5:$A$150,0)))</f>
        <v/>
      </c>
    </row>
    <row r="4705" customFormat="false" ht="15" hidden="false" customHeight="true" outlineLevel="0" collapsed="false">
      <c r="G4705" s="1" t="str">
        <f aca="false">IF(C4705="","",INDEX(Akaun!$F$5:$F$150,MATCH(C4705,Akaun!$A$5:$A$150,0)))</f>
        <v/>
      </c>
      <c r="H4705" s="1" t="str">
        <f aca="false">IF(C4705="","",INDEX(Akaun!$D$5:$D$150,MATCH(C4705,Akaun!$A$5:$A$150,0)))</f>
        <v/>
      </c>
    </row>
    <row r="4706" customFormat="false" ht="15" hidden="false" customHeight="true" outlineLevel="0" collapsed="false">
      <c r="G4706" s="1" t="str">
        <f aca="false">IF(C4706="","",INDEX(Akaun!$F$5:$F$150,MATCH(C4706,Akaun!$A$5:$A$150,0)))</f>
        <v/>
      </c>
      <c r="H4706" s="1" t="str">
        <f aca="false">IF(C4706="","",INDEX(Akaun!$D$5:$D$150,MATCH(C4706,Akaun!$A$5:$A$150,0)))</f>
        <v/>
      </c>
    </row>
    <row r="4707" customFormat="false" ht="15" hidden="false" customHeight="true" outlineLevel="0" collapsed="false">
      <c r="G4707" s="1" t="str">
        <f aca="false">IF(C4707="","",INDEX(Akaun!$F$5:$F$150,MATCH(C4707,Akaun!$A$5:$A$150,0)))</f>
        <v/>
      </c>
      <c r="H4707" s="1" t="str">
        <f aca="false">IF(C4707="","",INDEX(Akaun!$D$5:$D$150,MATCH(C4707,Akaun!$A$5:$A$150,0)))</f>
        <v/>
      </c>
    </row>
    <row r="4708" customFormat="false" ht="15" hidden="false" customHeight="true" outlineLevel="0" collapsed="false">
      <c r="G4708" s="1" t="str">
        <f aca="false">IF(C4708="","",INDEX(Akaun!$F$5:$F$150,MATCH(C4708,Akaun!$A$5:$A$150,0)))</f>
        <v/>
      </c>
      <c r="H4708" s="1" t="str">
        <f aca="false">IF(C4708="","",INDEX(Akaun!$D$5:$D$150,MATCH(C4708,Akaun!$A$5:$A$150,0)))</f>
        <v/>
      </c>
    </row>
    <row r="4709" customFormat="false" ht="15" hidden="false" customHeight="true" outlineLevel="0" collapsed="false">
      <c r="G4709" s="1" t="str">
        <f aca="false">IF(C4709="","",INDEX(Akaun!$F$5:$F$150,MATCH(C4709,Akaun!$A$5:$A$150,0)))</f>
        <v/>
      </c>
      <c r="H4709" s="1" t="str">
        <f aca="false">IF(C4709="","",INDEX(Akaun!$D$5:$D$150,MATCH(C4709,Akaun!$A$5:$A$150,0)))</f>
        <v/>
      </c>
    </row>
    <row r="4710" customFormat="false" ht="15" hidden="false" customHeight="true" outlineLevel="0" collapsed="false">
      <c r="G4710" s="1" t="str">
        <f aca="false">IF(C4710="","",INDEX(Akaun!$F$5:$F$150,MATCH(C4710,Akaun!$A$5:$A$150,0)))</f>
        <v/>
      </c>
      <c r="H4710" s="1" t="str">
        <f aca="false">IF(C4710="","",INDEX(Akaun!$D$5:$D$150,MATCH(C4710,Akaun!$A$5:$A$150,0)))</f>
        <v/>
      </c>
    </row>
    <row r="4711" customFormat="false" ht="15" hidden="false" customHeight="true" outlineLevel="0" collapsed="false">
      <c r="G4711" s="1" t="str">
        <f aca="false">IF(C4711="","",INDEX(Akaun!$F$5:$F$150,MATCH(C4711,Akaun!$A$5:$A$150,0)))</f>
        <v/>
      </c>
      <c r="H4711" s="1" t="str">
        <f aca="false">IF(C4711="","",INDEX(Akaun!$D$5:$D$150,MATCH(C4711,Akaun!$A$5:$A$150,0)))</f>
        <v/>
      </c>
    </row>
    <row r="4712" customFormat="false" ht="15" hidden="false" customHeight="true" outlineLevel="0" collapsed="false">
      <c r="G4712" s="1" t="str">
        <f aca="false">IF(C4712="","",INDEX(Akaun!$F$5:$F$150,MATCH(C4712,Akaun!$A$5:$A$150,0)))</f>
        <v/>
      </c>
      <c r="H4712" s="1" t="str">
        <f aca="false">IF(C4712="","",INDEX(Akaun!$D$5:$D$150,MATCH(C4712,Akaun!$A$5:$A$150,0)))</f>
        <v/>
      </c>
    </row>
    <row r="4713" customFormat="false" ht="15" hidden="false" customHeight="true" outlineLevel="0" collapsed="false">
      <c r="G4713" s="1" t="str">
        <f aca="false">IF(C4713="","",INDEX(Akaun!$F$5:$F$150,MATCH(C4713,Akaun!$A$5:$A$150,0)))</f>
        <v/>
      </c>
      <c r="H4713" s="1" t="str">
        <f aca="false">IF(C4713="","",INDEX(Akaun!$D$5:$D$150,MATCH(C4713,Akaun!$A$5:$A$150,0)))</f>
        <v/>
      </c>
    </row>
    <row r="4714" customFormat="false" ht="15" hidden="false" customHeight="true" outlineLevel="0" collapsed="false">
      <c r="G4714" s="1" t="str">
        <f aca="false">IF(C4714="","",INDEX(Akaun!$F$5:$F$150,MATCH(C4714,Akaun!$A$5:$A$150,0)))</f>
        <v/>
      </c>
      <c r="H4714" s="1" t="str">
        <f aca="false">IF(C4714="","",INDEX(Akaun!$D$5:$D$150,MATCH(C4714,Akaun!$A$5:$A$150,0)))</f>
        <v/>
      </c>
    </row>
    <row r="4715" customFormat="false" ht="15" hidden="false" customHeight="true" outlineLevel="0" collapsed="false">
      <c r="G4715" s="1" t="str">
        <f aca="false">IF(C4715="","",INDEX(Akaun!$F$5:$F$150,MATCH(C4715,Akaun!$A$5:$A$150,0)))</f>
        <v/>
      </c>
      <c r="H4715" s="1" t="str">
        <f aca="false">IF(C4715="","",INDEX(Akaun!$D$5:$D$150,MATCH(C4715,Akaun!$A$5:$A$150,0)))</f>
        <v/>
      </c>
    </row>
    <row r="4716" customFormat="false" ht="15" hidden="false" customHeight="true" outlineLevel="0" collapsed="false">
      <c r="G4716" s="1" t="str">
        <f aca="false">IF(C4716="","",INDEX(Akaun!$F$5:$F$150,MATCH(C4716,Akaun!$A$5:$A$150,0)))</f>
        <v/>
      </c>
      <c r="H4716" s="1" t="str">
        <f aca="false">IF(C4716="","",INDEX(Akaun!$D$5:$D$150,MATCH(C4716,Akaun!$A$5:$A$150,0)))</f>
        <v/>
      </c>
    </row>
    <row r="4717" customFormat="false" ht="15" hidden="false" customHeight="true" outlineLevel="0" collapsed="false">
      <c r="G4717" s="1" t="str">
        <f aca="false">IF(C4717="","",INDEX(Akaun!$F$5:$F$150,MATCH(C4717,Akaun!$A$5:$A$150,0)))</f>
        <v/>
      </c>
      <c r="H4717" s="1" t="str">
        <f aca="false">IF(C4717="","",INDEX(Akaun!$D$5:$D$150,MATCH(C4717,Akaun!$A$5:$A$150,0)))</f>
        <v/>
      </c>
    </row>
    <row r="4718" customFormat="false" ht="15" hidden="false" customHeight="true" outlineLevel="0" collapsed="false">
      <c r="G4718" s="1" t="str">
        <f aca="false">IF(C4718="","",INDEX(Akaun!$F$5:$F$150,MATCH(C4718,Akaun!$A$5:$A$150,0)))</f>
        <v/>
      </c>
      <c r="H4718" s="1" t="str">
        <f aca="false">IF(C4718="","",INDEX(Akaun!$D$5:$D$150,MATCH(C4718,Akaun!$A$5:$A$150,0)))</f>
        <v/>
      </c>
    </row>
    <row r="4719" customFormat="false" ht="15" hidden="false" customHeight="true" outlineLevel="0" collapsed="false">
      <c r="G4719" s="1" t="str">
        <f aca="false">IF(C4719="","",INDEX(Akaun!$F$5:$F$150,MATCH(C4719,Akaun!$A$5:$A$150,0)))</f>
        <v/>
      </c>
      <c r="H4719" s="1" t="str">
        <f aca="false">IF(C4719="","",INDEX(Akaun!$D$5:$D$150,MATCH(C4719,Akaun!$A$5:$A$150,0)))</f>
        <v/>
      </c>
    </row>
    <row r="4720" customFormat="false" ht="15" hidden="false" customHeight="true" outlineLevel="0" collapsed="false">
      <c r="G4720" s="1" t="str">
        <f aca="false">IF(C4720="","",INDEX(Akaun!$F$5:$F$150,MATCH(C4720,Akaun!$A$5:$A$150,0)))</f>
        <v/>
      </c>
      <c r="H4720" s="1" t="str">
        <f aca="false">IF(C4720="","",INDEX(Akaun!$D$5:$D$150,MATCH(C4720,Akaun!$A$5:$A$150,0)))</f>
        <v/>
      </c>
    </row>
    <row r="4721" customFormat="false" ht="15" hidden="false" customHeight="true" outlineLevel="0" collapsed="false">
      <c r="G4721" s="1" t="str">
        <f aca="false">IF(C4721="","",INDEX(Akaun!$F$5:$F$150,MATCH(C4721,Akaun!$A$5:$A$150,0)))</f>
        <v/>
      </c>
      <c r="H4721" s="1" t="str">
        <f aca="false">IF(C4721="","",INDEX(Akaun!$D$5:$D$150,MATCH(C4721,Akaun!$A$5:$A$150,0)))</f>
        <v/>
      </c>
    </row>
    <row r="4722" customFormat="false" ht="15" hidden="false" customHeight="true" outlineLevel="0" collapsed="false">
      <c r="G4722" s="1" t="str">
        <f aca="false">IF(C4722="","",INDEX(Akaun!$F$5:$F$150,MATCH(C4722,Akaun!$A$5:$A$150,0)))</f>
        <v/>
      </c>
      <c r="H4722" s="1" t="str">
        <f aca="false">IF(C4722="","",INDEX(Akaun!$D$5:$D$150,MATCH(C4722,Akaun!$A$5:$A$150,0)))</f>
        <v/>
      </c>
    </row>
    <row r="4723" customFormat="false" ht="15" hidden="false" customHeight="true" outlineLevel="0" collapsed="false">
      <c r="G4723" s="1" t="str">
        <f aca="false">IF(C4723="","",INDEX(Akaun!$F$5:$F$150,MATCH(C4723,Akaun!$A$5:$A$150,0)))</f>
        <v/>
      </c>
      <c r="H4723" s="1" t="str">
        <f aca="false">IF(C4723="","",INDEX(Akaun!$D$5:$D$150,MATCH(C4723,Akaun!$A$5:$A$150,0)))</f>
        <v/>
      </c>
    </row>
    <row r="4724" customFormat="false" ht="15" hidden="false" customHeight="true" outlineLevel="0" collapsed="false">
      <c r="G4724" s="1" t="str">
        <f aca="false">IF(C4724="","",INDEX(Akaun!$F$5:$F$150,MATCH(C4724,Akaun!$A$5:$A$150,0)))</f>
        <v/>
      </c>
      <c r="H4724" s="1" t="str">
        <f aca="false">IF(C4724="","",INDEX(Akaun!$D$5:$D$150,MATCH(C4724,Akaun!$A$5:$A$150,0)))</f>
        <v/>
      </c>
    </row>
    <row r="4725" customFormat="false" ht="15" hidden="false" customHeight="true" outlineLevel="0" collapsed="false">
      <c r="G4725" s="1" t="str">
        <f aca="false">IF(C4725="","",INDEX(Akaun!$F$5:$F$150,MATCH(C4725,Akaun!$A$5:$A$150,0)))</f>
        <v/>
      </c>
      <c r="H4725" s="1" t="str">
        <f aca="false">IF(C4725="","",INDEX(Akaun!$D$5:$D$150,MATCH(C4725,Akaun!$A$5:$A$150,0)))</f>
        <v/>
      </c>
    </row>
    <row r="4726" customFormat="false" ht="15" hidden="false" customHeight="true" outlineLevel="0" collapsed="false">
      <c r="G4726" s="1" t="str">
        <f aca="false">IF(C4726="","",INDEX(Akaun!$F$5:$F$150,MATCH(C4726,Akaun!$A$5:$A$150,0)))</f>
        <v/>
      </c>
      <c r="H4726" s="1" t="str">
        <f aca="false">IF(C4726="","",INDEX(Akaun!$D$5:$D$150,MATCH(C4726,Akaun!$A$5:$A$150,0)))</f>
        <v/>
      </c>
    </row>
    <row r="4727" customFormat="false" ht="15" hidden="false" customHeight="true" outlineLevel="0" collapsed="false">
      <c r="G4727" s="1" t="str">
        <f aca="false">IF(C4727="","",INDEX(Akaun!$F$5:$F$150,MATCH(C4727,Akaun!$A$5:$A$150,0)))</f>
        <v/>
      </c>
      <c r="H4727" s="1" t="str">
        <f aca="false">IF(C4727="","",INDEX(Akaun!$D$5:$D$150,MATCH(C4727,Akaun!$A$5:$A$150,0)))</f>
        <v/>
      </c>
    </row>
    <row r="4728" customFormat="false" ht="15" hidden="false" customHeight="true" outlineLevel="0" collapsed="false">
      <c r="G4728" s="1" t="str">
        <f aca="false">IF(C4728="","",INDEX(Akaun!$F$5:$F$150,MATCH(C4728,Akaun!$A$5:$A$150,0)))</f>
        <v/>
      </c>
      <c r="H4728" s="1" t="str">
        <f aca="false">IF(C4728="","",INDEX(Akaun!$D$5:$D$150,MATCH(C4728,Akaun!$A$5:$A$150,0)))</f>
        <v/>
      </c>
    </row>
    <row r="4729" customFormat="false" ht="15" hidden="false" customHeight="true" outlineLevel="0" collapsed="false">
      <c r="G4729" s="1" t="str">
        <f aca="false">IF(C4729="","",INDEX(Akaun!$F$5:$F$150,MATCH(C4729,Akaun!$A$5:$A$150,0)))</f>
        <v/>
      </c>
      <c r="H4729" s="1" t="str">
        <f aca="false">IF(C4729="","",INDEX(Akaun!$D$5:$D$150,MATCH(C4729,Akaun!$A$5:$A$150,0)))</f>
        <v/>
      </c>
    </row>
    <row r="4730" customFormat="false" ht="15" hidden="false" customHeight="true" outlineLevel="0" collapsed="false">
      <c r="G4730" s="1" t="str">
        <f aca="false">IF(C4730="","",INDEX(Akaun!$F$5:$F$150,MATCH(C4730,Akaun!$A$5:$A$150,0)))</f>
        <v/>
      </c>
      <c r="H4730" s="1" t="str">
        <f aca="false">IF(C4730="","",INDEX(Akaun!$D$5:$D$150,MATCH(C4730,Akaun!$A$5:$A$150,0)))</f>
        <v/>
      </c>
    </row>
    <row r="4731" customFormat="false" ht="15" hidden="false" customHeight="true" outlineLevel="0" collapsed="false">
      <c r="G4731" s="1" t="str">
        <f aca="false">IF(C4731="","",INDEX(Akaun!$F$5:$F$150,MATCH(C4731,Akaun!$A$5:$A$150,0)))</f>
        <v/>
      </c>
      <c r="H4731" s="1" t="str">
        <f aca="false">IF(C4731="","",INDEX(Akaun!$D$5:$D$150,MATCH(C4731,Akaun!$A$5:$A$150,0)))</f>
        <v/>
      </c>
    </row>
    <row r="4732" customFormat="false" ht="15" hidden="false" customHeight="true" outlineLevel="0" collapsed="false">
      <c r="G4732" s="1" t="str">
        <f aca="false">IF(C4732="","",INDEX(Akaun!$F$5:$F$150,MATCH(C4732,Akaun!$A$5:$A$150,0)))</f>
        <v/>
      </c>
      <c r="H4732" s="1" t="str">
        <f aca="false">IF(C4732="","",INDEX(Akaun!$D$5:$D$150,MATCH(C4732,Akaun!$A$5:$A$150,0)))</f>
        <v/>
      </c>
    </row>
    <row r="4733" customFormat="false" ht="15" hidden="false" customHeight="true" outlineLevel="0" collapsed="false">
      <c r="G4733" s="1" t="str">
        <f aca="false">IF(C4733="","",INDEX(Akaun!$F$5:$F$150,MATCH(C4733,Akaun!$A$5:$A$150,0)))</f>
        <v/>
      </c>
      <c r="H4733" s="1" t="str">
        <f aca="false">IF(C4733="","",INDEX(Akaun!$D$5:$D$150,MATCH(C4733,Akaun!$A$5:$A$150,0)))</f>
        <v/>
      </c>
    </row>
    <row r="4734" customFormat="false" ht="15" hidden="false" customHeight="true" outlineLevel="0" collapsed="false">
      <c r="G4734" s="1" t="str">
        <f aca="false">IF(C4734="","",INDEX(Akaun!$F$5:$F$150,MATCH(C4734,Akaun!$A$5:$A$150,0)))</f>
        <v/>
      </c>
      <c r="H4734" s="1" t="str">
        <f aca="false">IF(C4734="","",INDEX(Akaun!$D$5:$D$150,MATCH(C4734,Akaun!$A$5:$A$150,0)))</f>
        <v/>
      </c>
    </row>
    <row r="4735" customFormat="false" ht="15" hidden="false" customHeight="true" outlineLevel="0" collapsed="false">
      <c r="G4735" s="1" t="str">
        <f aca="false">IF(C4735="","",INDEX(Akaun!$F$5:$F$150,MATCH(C4735,Akaun!$A$5:$A$150,0)))</f>
        <v/>
      </c>
      <c r="H4735" s="1" t="str">
        <f aca="false">IF(C4735="","",INDEX(Akaun!$D$5:$D$150,MATCH(C4735,Akaun!$A$5:$A$150,0)))</f>
        <v/>
      </c>
    </row>
    <row r="4736" customFormat="false" ht="15" hidden="false" customHeight="true" outlineLevel="0" collapsed="false">
      <c r="G4736" s="1" t="str">
        <f aca="false">IF(C4736="","",INDEX(Akaun!$F$5:$F$150,MATCH(C4736,Akaun!$A$5:$A$150,0)))</f>
        <v/>
      </c>
      <c r="H4736" s="1" t="str">
        <f aca="false">IF(C4736="","",INDEX(Akaun!$D$5:$D$150,MATCH(C4736,Akaun!$A$5:$A$150,0)))</f>
        <v/>
      </c>
    </row>
    <row r="4737" customFormat="false" ht="15" hidden="false" customHeight="true" outlineLevel="0" collapsed="false">
      <c r="G4737" s="1" t="str">
        <f aca="false">IF(C4737="","",INDEX(Akaun!$F$5:$F$150,MATCH(C4737,Akaun!$A$5:$A$150,0)))</f>
        <v/>
      </c>
      <c r="H4737" s="1" t="str">
        <f aca="false">IF(C4737="","",INDEX(Akaun!$D$5:$D$150,MATCH(C4737,Akaun!$A$5:$A$150,0)))</f>
        <v/>
      </c>
    </row>
    <row r="4738" customFormat="false" ht="15" hidden="false" customHeight="true" outlineLevel="0" collapsed="false">
      <c r="G4738" s="1" t="str">
        <f aca="false">IF(C4738="","",INDEX(Akaun!$F$5:$F$150,MATCH(C4738,Akaun!$A$5:$A$150,0)))</f>
        <v/>
      </c>
      <c r="H4738" s="1" t="str">
        <f aca="false">IF(C4738="","",INDEX(Akaun!$D$5:$D$150,MATCH(C4738,Akaun!$A$5:$A$150,0)))</f>
        <v/>
      </c>
    </row>
    <row r="4739" customFormat="false" ht="15" hidden="false" customHeight="true" outlineLevel="0" collapsed="false">
      <c r="G4739" s="1" t="str">
        <f aca="false">IF(C4739="","",INDEX(Akaun!$F$5:$F$150,MATCH(C4739,Akaun!$A$5:$A$150,0)))</f>
        <v/>
      </c>
      <c r="H4739" s="1" t="str">
        <f aca="false">IF(C4739="","",INDEX(Akaun!$D$5:$D$150,MATCH(C4739,Akaun!$A$5:$A$150,0)))</f>
        <v/>
      </c>
    </row>
    <row r="4740" customFormat="false" ht="15" hidden="false" customHeight="true" outlineLevel="0" collapsed="false">
      <c r="G4740" s="1" t="str">
        <f aca="false">IF(C4740="","",INDEX(Akaun!$F$5:$F$150,MATCH(C4740,Akaun!$A$5:$A$150,0)))</f>
        <v/>
      </c>
      <c r="H4740" s="1" t="str">
        <f aca="false">IF(C4740="","",INDEX(Akaun!$D$5:$D$150,MATCH(C4740,Akaun!$A$5:$A$150,0)))</f>
        <v/>
      </c>
    </row>
    <row r="4741" customFormat="false" ht="15" hidden="false" customHeight="true" outlineLevel="0" collapsed="false">
      <c r="G4741" s="1" t="str">
        <f aca="false">IF(C4741="","",INDEX(Akaun!$F$5:$F$150,MATCH(C4741,Akaun!$A$5:$A$150,0)))</f>
        <v/>
      </c>
      <c r="H4741" s="1" t="str">
        <f aca="false">IF(C4741="","",INDEX(Akaun!$D$5:$D$150,MATCH(C4741,Akaun!$A$5:$A$150,0)))</f>
        <v/>
      </c>
    </row>
    <row r="4742" customFormat="false" ht="15" hidden="false" customHeight="true" outlineLevel="0" collapsed="false">
      <c r="G4742" s="1" t="str">
        <f aca="false">IF(C4742="","",INDEX(Akaun!$F$5:$F$150,MATCH(C4742,Akaun!$A$5:$A$150,0)))</f>
        <v/>
      </c>
      <c r="H4742" s="1" t="str">
        <f aca="false">IF(C4742="","",INDEX(Akaun!$D$5:$D$150,MATCH(C4742,Akaun!$A$5:$A$150,0)))</f>
        <v/>
      </c>
    </row>
    <row r="4743" customFormat="false" ht="15" hidden="false" customHeight="true" outlineLevel="0" collapsed="false">
      <c r="G4743" s="1" t="str">
        <f aca="false">IF(C4743="","",INDEX(Akaun!$F$5:$F$150,MATCH(C4743,Akaun!$A$5:$A$150,0)))</f>
        <v/>
      </c>
      <c r="H4743" s="1" t="str">
        <f aca="false">IF(C4743="","",INDEX(Akaun!$D$5:$D$150,MATCH(C4743,Akaun!$A$5:$A$150,0)))</f>
        <v/>
      </c>
    </row>
    <row r="4744" customFormat="false" ht="15" hidden="false" customHeight="true" outlineLevel="0" collapsed="false">
      <c r="G4744" s="1" t="str">
        <f aca="false">IF(C4744="","",INDEX(Akaun!$F$5:$F$150,MATCH(C4744,Akaun!$A$5:$A$150,0)))</f>
        <v/>
      </c>
      <c r="H4744" s="1" t="str">
        <f aca="false">IF(C4744="","",INDEX(Akaun!$D$5:$D$150,MATCH(C4744,Akaun!$A$5:$A$150,0)))</f>
        <v/>
      </c>
    </row>
    <row r="4745" customFormat="false" ht="15" hidden="false" customHeight="true" outlineLevel="0" collapsed="false">
      <c r="G4745" s="1" t="str">
        <f aca="false">IF(C4745="","",INDEX(Akaun!$F$5:$F$150,MATCH(C4745,Akaun!$A$5:$A$150,0)))</f>
        <v/>
      </c>
      <c r="H4745" s="1" t="str">
        <f aca="false">IF(C4745="","",INDEX(Akaun!$D$5:$D$150,MATCH(C4745,Akaun!$A$5:$A$150,0)))</f>
        <v/>
      </c>
    </row>
    <row r="4746" customFormat="false" ht="15" hidden="false" customHeight="true" outlineLevel="0" collapsed="false">
      <c r="G4746" s="1" t="str">
        <f aca="false">IF(C4746="","",INDEX(Akaun!$F$5:$F$150,MATCH(C4746,Akaun!$A$5:$A$150,0)))</f>
        <v/>
      </c>
      <c r="H4746" s="1" t="str">
        <f aca="false">IF(C4746="","",INDEX(Akaun!$D$5:$D$150,MATCH(C4746,Akaun!$A$5:$A$150,0)))</f>
        <v/>
      </c>
    </row>
    <row r="4747" customFormat="false" ht="15" hidden="false" customHeight="true" outlineLevel="0" collapsed="false">
      <c r="G4747" s="1" t="str">
        <f aca="false">IF(C4747="","",INDEX(Akaun!$F$5:$F$150,MATCH(C4747,Akaun!$A$5:$A$150,0)))</f>
        <v/>
      </c>
      <c r="H4747" s="1" t="str">
        <f aca="false">IF(C4747="","",INDEX(Akaun!$D$5:$D$150,MATCH(C4747,Akaun!$A$5:$A$150,0)))</f>
        <v/>
      </c>
    </row>
    <row r="4748" customFormat="false" ht="15" hidden="false" customHeight="true" outlineLevel="0" collapsed="false">
      <c r="G4748" s="1" t="str">
        <f aca="false">IF(C4748="","",INDEX(Akaun!$F$5:$F$150,MATCH(C4748,Akaun!$A$5:$A$150,0)))</f>
        <v/>
      </c>
      <c r="H4748" s="1" t="str">
        <f aca="false">IF(C4748="","",INDEX(Akaun!$D$5:$D$150,MATCH(C4748,Akaun!$A$5:$A$150,0)))</f>
        <v/>
      </c>
    </row>
    <row r="4749" customFormat="false" ht="15" hidden="false" customHeight="true" outlineLevel="0" collapsed="false">
      <c r="G4749" s="1" t="str">
        <f aca="false">IF(C4749="","",INDEX(Akaun!$F$5:$F$150,MATCH(C4749,Akaun!$A$5:$A$150,0)))</f>
        <v/>
      </c>
      <c r="H4749" s="1" t="str">
        <f aca="false">IF(C4749="","",INDEX(Akaun!$D$5:$D$150,MATCH(C4749,Akaun!$A$5:$A$150,0)))</f>
        <v/>
      </c>
    </row>
    <row r="4750" customFormat="false" ht="15" hidden="false" customHeight="true" outlineLevel="0" collapsed="false">
      <c r="G4750" s="1" t="str">
        <f aca="false">IF(C4750="","",INDEX(Akaun!$F$5:$F$150,MATCH(C4750,Akaun!$A$5:$A$150,0)))</f>
        <v/>
      </c>
      <c r="H4750" s="1" t="str">
        <f aca="false">IF(C4750="","",INDEX(Akaun!$D$5:$D$150,MATCH(C4750,Akaun!$A$5:$A$150,0)))</f>
        <v/>
      </c>
    </row>
    <row r="4751" customFormat="false" ht="15" hidden="false" customHeight="true" outlineLevel="0" collapsed="false">
      <c r="G4751" s="1" t="str">
        <f aca="false">IF(C4751="","",INDEX(Akaun!$F$5:$F$150,MATCH(C4751,Akaun!$A$5:$A$150,0)))</f>
        <v/>
      </c>
      <c r="H4751" s="1" t="str">
        <f aca="false">IF(C4751="","",INDEX(Akaun!$D$5:$D$150,MATCH(C4751,Akaun!$A$5:$A$150,0)))</f>
        <v/>
      </c>
    </row>
    <row r="4752" customFormat="false" ht="15" hidden="false" customHeight="true" outlineLevel="0" collapsed="false">
      <c r="G4752" s="1" t="str">
        <f aca="false">IF(C4752="","",INDEX(Akaun!$F$5:$F$150,MATCH(C4752,Akaun!$A$5:$A$150,0)))</f>
        <v/>
      </c>
      <c r="H4752" s="1" t="str">
        <f aca="false">IF(C4752="","",INDEX(Akaun!$D$5:$D$150,MATCH(C4752,Akaun!$A$5:$A$150,0)))</f>
        <v/>
      </c>
    </row>
    <row r="4753" customFormat="false" ht="15" hidden="false" customHeight="true" outlineLevel="0" collapsed="false">
      <c r="G4753" s="1" t="str">
        <f aca="false">IF(C4753="","",INDEX(Akaun!$F$5:$F$150,MATCH(C4753,Akaun!$A$5:$A$150,0)))</f>
        <v/>
      </c>
      <c r="H4753" s="1" t="str">
        <f aca="false">IF(C4753="","",INDEX(Akaun!$D$5:$D$150,MATCH(C4753,Akaun!$A$5:$A$150,0)))</f>
        <v/>
      </c>
    </row>
    <row r="4754" customFormat="false" ht="15" hidden="false" customHeight="true" outlineLevel="0" collapsed="false">
      <c r="G4754" s="1" t="str">
        <f aca="false">IF(C4754="","",INDEX(Akaun!$F$5:$F$150,MATCH(C4754,Akaun!$A$5:$A$150,0)))</f>
        <v/>
      </c>
      <c r="H4754" s="1" t="str">
        <f aca="false">IF(C4754="","",INDEX(Akaun!$D$5:$D$150,MATCH(C4754,Akaun!$A$5:$A$150,0)))</f>
        <v/>
      </c>
    </row>
    <row r="4755" customFormat="false" ht="15" hidden="false" customHeight="true" outlineLevel="0" collapsed="false">
      <c r="G4755" s="1" t="str">
        <f aca="false">IF(C4755="","",INDEX(Akaun!$F$5:$F$150,MATCH(C4755,Akaun!$A$5:$A$150,0)))</f>
        <v/>
      </c>
      <c r="H4755" s="1" t="str">
        <f aca="false">IF(C4755="","",INDEX(Akaun!$D$5:$D$150,MATCH(C4755,Akaun!$A$5:$A$150,0)))</f>
        <v/>
      </c>
    </row>
    <row r="4756" customFormat="false" ht="15" hidden="false" customHeight="true" outlineLevel="0" collapsed="false">
      <c r="G4756" s="1" t="str">
        <f aca="false">IF(C4756="","",INDEX(Akaun!$F$5:$F$150,MATCH(C4756,Akaun!$A$5:$A$150,0)))</f>
        <v/>
      </c>
      <c r="H4756" s="1" t="str">
        <f aca="false">IF(C4756="","",INDEX(Akaun!$D$5:$D$150,MATCH(C4756,Akaun!$A$5:$A$150,0)))</f>
        <v/>
      </c>
    </row>
    <row r="4757" customFormat="false" ht="15" hidden="false" customHeight="true" outlineLevel="0" collapsed="false">
      <c r="G4757" s="1" t="str">
        <f aca="false">IF(C4757="","",INDEX(Akaun!$F$5:$F$150,MATCH(C4757,Akaun!$A$5:$A$150,0)))</f>
        <v/>
      </c>
      <c r="H4757" s="1" t="str">
        <f aca="false">IF(C4757="","",INDEX(Akaun!$D$5:$D$150,MATCH(C4757,Akaun!$A$5:$A$150,0)))</f>
        <v/>
      </c>
    </row>
    <row r="4758" customFormat="false" ht="15" hidden="false" customHeight="true" outlineLevel="0" collapsed="false">
      <c r="G4758" s="1" t="str">
        <f aca="false">IF(C4758="","",INDEX(Akaun!$F$5:$F$150,MATCH(C4758,Akaun!$A$5:$A$150,0)))</f>
        <v/>
      </c>
      <c r="H4758" s="1" t="str">
        <f aca="false">IF(C4758="","",INDEX(Akaun!$D$5:$D$150,MATCH(C4758,Akaun!$A$5:$A$150,0)))</f>
        <v/>
      </c>
    </row>
    <row r="4759" customFormat="false" ht="15" hidden="false" customHeight="true" outlineLevel="0" collapsed="false">
      <c r="G4759" s="1" t="str">
        <f aca="false">IF(C4759="","",INDEX(Akaun!$F$5:$F$150,MATCH(C4759,Akaun!$A$5:$A$150,0)))</f>
        <v/>
      </c>
      <c r="H4759" s="1" t="str">
        <f aca="false">IF(C4759="","",INDEX(Akaun!$D$5:$D$150,MATCH(C4759,Akaun!$A$5:$A$150,0)))</f>
        <v/>
      </c>
    </row>
    <row r="4760" customFormat="false" ht="15" hidden="false" customHeight="true" outlineLevel="0" collapsed="false">
      <c r="G4760" s="1" t="str">
        <f aca="false">IF(C4760="","",INDEX(Akaun!$F$5:$F$150,MATCH(C4760,Akaun!$A$5:$A$150,0)))</f>
        <v/>
      </c>
      <c r="H4760" s="1" t="str">
        <f aca="false">IF(C4760="","",INDEX(Akaun!$D$5:$D$150,MATCH(C4760,Akaun!$A$5:$A$150,0)))</f>
        <v/>
      </c>
    </row>
    <row r="4761" customFormat="false" ht="15" hidden="false" customHeight="true" outlineLevel="0" collapsed="false">
      <c r="G4761" s="1" t="str">
        <f aca="false">IF(C4761="","",INDEX(Akaun!$F$5:$F$150,MATCH(C4761,Akaun!$A$5:$A$150,0)))</f>
        <v/>
      </c>
      <c r="H4761" s="1" t="str">
        <f aca="false">IF(C4761="","",INDEX(Akaun!$D$5:$D$150,MATCH(C4761,Akaun!$A$5:$A$150,0)))</f>
        <v/>
      </c>
    </row>
    <row r="4762" customFormat="false" ht="15" hidden="false" customHeight="true" outlineLevel="0" collapsed="false">
      <c r="G4762" s="1" t="str">
        <f aca="false">IF(C4762="","",INDEX(Akaun!$F$5:$F$150,MATCH(C4762,Akaun!$A$5:$A$150,0)))</f>
        <v/>
      </c>
      <c r="H4762" s="1" t="str">
        <f aca="false">IF(C4762="","",INDEX(Akaun!$D$5:$D$150,MATCH(C4762,Akaun!$A$5:$A$150,0)))</f>
        <v/>
      </c>
    </row>
    <row r="4763" customFormat="false" ht="15" hidden="false" customHeight="true" outlineLevel="0" collapsed="false">
      <c r="G4763" s="1" t="str">
        <f aca="false">IF(C4763="","",INDEX(Akaun!$F$5:$F$150,MATCH(C4763,Akaun!$A$5:$A$150,0)))</f>
        <v/>
      </c>
      <c r="H4763" s="1" t="str">
        <f aca="false">IF(C4763="","",INDEX(Akaun!$D$5:$D$150,MATCH(C4763,Akaun!$A$5:$A$150,0)))</f>
        <v/>
      </c>
    </row>
    <row r="4764" customFormat="false" ht="15" hidden="false" customHeight="true" outlineLevel="0" collapsed="false">
      <c r="G4764" s="1" t="str">
        <f aca="false">IF(C4764="","",INDEX(Akaun!$F$5:$F$150,MATCH(C4764,Akaun!$A$5:$A$150,0)))</f>
        <v/>
      </c>
      <c r="H4764" s="1" t="str">
        <f aca="false">IF(C4764="","",INDEX(Akaun!$D$5:$D$150,MATCH(C4764,Akaun!$A$5:$A$150,0)))</f>
        <v/>
      </c>
    </row>
    <row r="4765" customFormat="false" ht="15" hidden="false" customHeight="true" outlineLevel="0" collapsed="false">
      <c r="G4765" s="1" t="str">
        <f aca="false">IF(C4765="","",INDEX(Akaun!$F$5:$F$150,MATCH(C4765,Akaun!$A$5:$A$150,0)))</f>
        <v/>
      </c>
      <c r="H4765" s="1" t="str">
        <f aca="false">IF(C4765="","",INDEX(Akaun!$D$5:$D$150,MATCH(C4765,Akaun!$A$5:$A$150,0)))</f>
        <v/>
      </c>
    </row>
    <row r="4766" customFormat="false" ht="15" hidden="false" customHeight="true" outlineLevel="0" collapsed="false">
      <c r="G4766" s="1" t="str">
        <f aca="false">IF(C4766="","",INDEX(Akaun!$F$5:$F$150,MATCH(C4766,Akaun!$A$5:$A$150,0)))</f>
        <v/>
      </c>
      <c r="H4766" s="1" t="str">
        <f aca="false">IF(C4766="","",INDEX(Akaun!$D$5:$D$150,MATCH(C4766,Akaun!$A$5:$A$150,0)))</f>
        <v/>
      </c>
    </row>
    <row r="4767" customFormat="false" ht="15" hidden="false" customHeight="true" outlineLevel="0" collapsed="false">
      <c r="G4767" s="1" t="str">
        <f aca="false">IF(C4767="","",INDEX(Akaun!$F$5:$F$150,MATCH(C4767,Akaun!$A$5:$A$150,0)))</f>
        <v/>
      </c>
      <c r="H4767" s="1" t="str">
        <f aca="false">IF(C4767="","",INDEX(Akaun!$D$5:$D$150,MATCH(C4767,Akaun!$A$5:$A$150,0)))</f>
        <v/>
      </c>
    </row>
    <row r="4768" customFormat="false" ht="15" hidden="false" customHeight="true" outlineLevel="0" collapsed="false">
      <c r="G4768" s="1" t="str">
        <f aca="false">IF(C4768="","",INDEX(Akaun!$F$5:$F$150,MATCH(C4768,Akaun!$A$5:$A$150,0)))</f>
        <v/>
      </c>
      <c r="H4768" s="1" t="str">
        <f aca="false">IF(C4768="","",INDEX(Akaun!$D$5:$D$150,MATCH(C4768,Akaun!$A$5:$A$150,0)))</f>
        <v/>
      </c>
    </row>
    <row r="4769" customFormat="false" ht="15" hidden="false" customHeight="true" outlineLevel="0" collapsed="false">
      <c r="G4769" s="1" t="str">
        <f aca="false">IF(C4769="","",INDEX(Akaun!$F$5:$F$150,MATCH(C4769,Akaun!$A$5:$A$150,0)))</f>
        <v/>
      </c>
      <c r="H4769" s="1" t="str">
        <f aca="false">IF(C4769="","",INDEX(Akaun!$D$5:$D$150,MATCH(C4769,Akaun!$A$5:$A$150,0)))</f>
        <v/>
      </c>
    </row>
    <row r="4770" customFormat="false" ht="15" hidden="false" customHeight="true" outlineLevel="0" collapsed="false">
      <c r="G4770" s="1" t="str">
        <f aca="false">IF(C4770="","",INDEX(Akaun!$F$5:$F$150,MATCH(C4770,Akaun!$A$5:$A$150,0)))</f>
        <v/>
      </c>
      <c r="H4770" s="1" t="str">
        <f aca="false">IF(C4770="","",INDEX(Akaun!$D$5:$D$150,MATCH(C4770,Akaun!$A$5:$A$150,0)))</f>
        <v/>
      </c>
    </row>
    <row r="4771" customFormat="false" ht="15" hidden="false" customHeight="true" outlineLevel="0" collapsed="false">
      <c r="G4771" s="1" t="str">
        <f aca="false">IF(C4771="","",INDEX(Akaun!$F$5:$F$150,MATCH(C4771,Akaun!$A$5:$A$150,0)))</f>
        <v/>
      </c>
      <c r="H4771" s="1" t="str">
        <f aca="false">IF(C4771="","",INDEX(Akaun!$D$5:$D$150,MATCH(C4771,Akaun!$A$5:$A$150,0)))</f>
        <v/>
      </c>
    </row>
    <row r="4772" customFormat="false" ht="15" hidden="false" customHeight="true" outlineLevel="0" collapsed="false">
      <c r="G4772" s="1" t="str">
        <f aca="false">IF(C4772="","",INDEX(Akaun!$F$5:$F$150,MATCH(C4772,Akaun!$A$5:$A$150,0)))</f>
        <v/>
      </c>
      <c r="H4772" s="1" t="str">
        <f aca="false">IF(C4772="","",INDEX(Akaun!$D$5:$D$150,MATCH(C4772,Akaun!$A$5:$A$150,0)))</f>
        <v/>
      </c>
    </row>
    <row r="4773" customFormat="false" ht="15" hidden="false" customHeight="true" outlineLevel="0" collapsed="false">
      <c r="G4773" s="1" t="str">
        <f aca="false">IF(C4773="","",INDEX(Akaun!$F$5:$F$150,MATCH(C4773,Akaun!$A$5:$A$150,0)))</f>
        <v/>
      </c>
      <c r="H4773" s="1" t="str">
        <f aca="false">IF(C4773="","",INDEX(Akaun!$D$5:$D$150,MATCH(C4773,Akaun!$A$5:$A$150,0)))</f>
        <v/>
      </c>
    </row>
    <row r="4774" customFormat="false" ht="15" hidden="false" customHeight="true" outlineLevel="0" collapsed="false">
      <c r="G4774" s="1" t="str">
        <f aca="false">IF(C4774="","",INDEX(Akaun!$F$5:$F$150,MATCH(C4774,Akaun!$A$5:$A$150,0)))</f>
        <v/>
      </c>
      <c r="H4774" s="1" t="str">
        <f aca="false">IF(C4774="","",INDEX(Akaun!$D$5:$D$150,MATCH(C4774,Akaun!$A$5:$A$150,0)))</f>
        <v/>
      </c>
    </row>
    <row r="4775" customFormat="false" ht="15" hidden="false" customHeight="true" outlineLevel="0" collapsed="false">
      <c r="G4775" s="1" t="str">
        <f aca="false">IF(C4775="","",INDEX(Akaun!$F$5:$F$150,MATCH(C4775,Akaun!$A$5:$A$150,0)))</f>
        <v/>
      </c>
      <c r="H4775" s="1" t="str">
        <f aca="false">IF(C4775="","",INDEX(Akaun!$D$5:$D$150,MATCH(C4775,Akaun!$A$5:$A$150,0)))</f>
        <v/>
      </c>
    </row>
    <row r="4776" customFormat="false" ht="15" hidden="false" customHeight="true" outlineLevel="0" collapsed="false">
      <c r="G4776" s="1" t="str">
        <f aca="false">IF(C4776="","",INDEX(Akaun!$F$5:$F$150,MATCH(C4776,Akaun!$A$5:$A$150,0)))</f>
        <v/>
      </c>
      <c r="H4776" s="1" t="str">
        <f aca="false">IF(C4776="","",INDEX(Akaun!$D$5:$D$150,MATCH(C4776,Akaun!$A$5:$A$150,0)))</f>
        <v/>
      </c>
    </row>
    <row r="4777" customFormat="false" ht="15" hidden="false" customHeight="true" outlineLevel="0" collapsed="false">
      <c r="G4777" s="1" t="str">
        <f aca="false">IF(C4777="","",INDEX(Akaun!$F$5:$F$150,MATCH(C4777,Akaun!$A$5:$A$150,0)))</f>
        <v/>
      </c>
      <c r="H4777" s="1" t="str">
        <f aca="false">IF(C4777="","",INDEX(Akaun!$D$5:$D$150,MATCH(C4777,Akaun!$A$5:$A$150,0)))</f>
        <v/>
      </c>
    </row>
    <row r="4778" customFormat="false" ht="15" hidden="false" customHeight="true" outlineLevel="0" collapsed="false">
      <c r="G4778" s="1" t="str">
        <f aca="false">IF(C4778="","",INDEX(Akaun!$F$5:$F$150,MATCH(C4778,Akaun!$A$5:$A$150,0)))</f>
        <v/>
      </c>
      <c r="H4778" s="1" t="str">
        <f aca="false">IF(C4778="","",INDEX(Akaun!$D$5:$D$150,MATCH(C4778,Akaun!$A$5:$A$150,0)))</f>
        <v/>
      </c>
    </row>
    <row r="4779" customFormat="false" ht="15" hidden="false" customHeight="true" outlineLevel="0" collapsed="false">
      <c r="G4779" s="1" t="str">
        <f aca="false">IF(C4779="","",INDEX(Akaun!$F$5:$F$150,MATCH(C4779,Akaun!$A$5:$A$150,0)))</f>
        <v/>
      </c>
      <c r="H4779" s="1" t="str">
        <f aca="false">IF(C4779="","",INDEX(Akaun!$D$5:$D$150,MATCH(C4779,Akaun!$A$5:$A$150,0)))</f>
        <v/>
      </c>
    </row>
    <row r="4780" customFormat="false" ht="15" hidden="false" customHeight="true" outlineLevel="0" collapsed="false">
      <c r="G4780" s="1" t="str">
        <f aca="false">IF(C4780="","",INDEX(Akaun!$F$5:$F$150,MATCH(C4780,Akaun!$A$5:$A$150,0)))</f>
        <v/>
      </c>
      <c r="H4780" s="1" t="str">
        <f aca="false">IF(C4780="","",INDEX(Akaun!$D$5:$D$150,MATCH(C4780,Akaun!$A$5:$A$150,0)))</f>
        <v/>
      </c>
    </row>
    <row r="4781" customFormat="false" ht="15" hidden="false" customHeight="true" outlineLevel="0" collapsed="false">
      <c r="G4781" s="1" t="str">
        <f aca="false">IF(C4781="","",INDEX(Akaun!$F$5:$F$150,MATCH(C4781,Akaun!$A$5:$A$150,0)))</f>
        <v/>
      </c>
      <c r="H4781" s="1" t="str">
        <f aca="false">IF(C4781="","",INDEX(Akaun!$D$5:$D$150,MATCH(C4781,Akaun!$A$5:$A$150,0)))</f>
        <v/>
      </c>
    </row>
    <row r="4782" customFormat="false" ht="15" hidden="false" customHeight="true" outlineLevel="0" collapsed="false">
      <c r="G4782" s="1" t="str">
        <f aca="false">IF(C4782="","",INDEX(Akaun!$F$5:$F$150,MATCH(C4782,Akaun!$A$5:$A$150,0)))</f>
        <v/>
      </c>
      <c r="H4782" s="1" t="str">
        <f aca="false">IF(C4782="","",INDEX(Akaun!$D$5:$D$150,MATCH(C4782,Akaun!$A$5:$A$150,0)))</f>
        <v/>
      </c>
    </row>
    <row r="4783" customFormat="false" ht="15" hidden="false" customHeight="true" outlineLevel="0" collapsed="false">
      <c r="G4783" s="1" t="str">
        <f aca="false">IF(C4783="","",INDEX(Akaun!$F$5:$F$150,MATCH(C4783,Akaun!$A$5:$A$150,0)))</f>
        <v/>
      </c>
      <c r="H4783" s="1" t="str">
        <f aca="false">IF(C4783="","",INDEX(Akaun!$D$5:$D$150,MATCH(C4783,Akaun!$A$5:$A$150,0)))</f>
        <v/>
      </c>
    </row>
    <row r="4784" customFormat="false" ht="15" hidden="false" customHeight="true" outlineLevel="0" collapsed="false">
      <c r="G4784" s="1" t="str">
        <f aca="false">IF(C4784="","",INDEX(Akaun!$F$5:$F$150,MATCH(C4784,Akaun!$A$5:$A$150,0)))</f>
        <v/>
      </c>
      <c r="H4784" s="1" t="str">
        <f aca="false">IF(C4784="","",INDEX(Akaun!$D$5:$D$150,MATCH(C4784,Akaun!$A$5:$A$150,0)))</f>
        <v/>
      </c>
    </row>
    <row r="4785" customFormat="false" ht="15" hidden="false" customHeight="true" outlineLevel="0" collapsed="false">
      <c r="G4785" s="1" t="str">
        <f aca="false">IF(C4785="","",INDEX(Akaun!$F$5:$F$150,MATCH(C4785,Akaun!$A$5:$A$150,0)))</f>
        <v/>
      </c>
      <c r="H4785" s="1" t="str">
        <f aca="false">IF(C4785="","",INDEX(Akaun!$D$5:$D$150,MATCH(C4785,Akaun!$A$5:$A$150,0)))</f>
        <v/>
      </c>
    </row>
    <row r="4786" customFormat="false" ht="15" hidden="false" customHeight="true" outlineLevel="0" collapsed="false">
      <c r="G4786" s="1" t="str">
        <f aca="false">IF(C4786="","",INDEX(Akaun!$F$5:$F$150,MATCH(C4786,Akaun!$A$5:$A$150,0)))</f>
        <v/>
      </c>
      <c r="H4786" s="1" t="str">
        <f aca="false">IF(C4786="","",INDEX(Akaun!$D$5:$D$150,MATCH(C4786,Akaun!$A$5:$A$150,0)))</f>
        <v/>
      </c>
    </row>
    <row r="4787" customFormat="false" ht="15" hidden="false" customHeight="true" outlineLevel="0" collapsed="false">
      <c r="G4787" s="1" t="str">
        <f aca="false">IF(C4787="","",INDEX(Akaun!$F$5:$F$150,MATCH(C4787,Akaun!$A$5:$A$150,0)))</f>
        <v/>
      </c>
      <c r="H4787" s="1" t="str">
        <f aca="false">IF(C4787="","",INDEX(Akaun!$D$5:$D$150,MATCH(C4787,Akaun!$A$5:$A$150,0)))</f>
        <v/>
      </c>
    </row>
    <row r="4788" customFormat="false" ht="15" hidden="false" customHeight="true" outlineLevel="0" collapsed="false">
      <c r="G4788" s="1" t="str">
        <f aca="false">IF(C4788="","",INDEX(Akaun!$F$5:$F$150,MATCH(C4788,Akaun!$A$5:$A$150,0)))</f>
        <v/>
      </c>
      <c r="H4788" s="1" t="str">
        <f aca="false">IF(C4788="","",INDEX(Akaun!$D$5:$D$150,MATCH(C4788,Akaun!$A$5:$A$150,0)))</f>
        <v/>
      </c>
    </row>
    <row r="4789" customFormat="false" ht="15" hidden="false" customHeight="true" outlineLevel="0" collapsed="false">
      <c r="G4789" s="1" t="str">
        <f aca="false">IF(C4789="","",INDEX(Akaun!$F$5:$F$150,MATCH(C4789,Akaun!$A$5:$A$150,0)))</f>
        <v/>
      </c>
      <c r="H4789" s="1" t="str">
        <f aca="false">IF(C4789="","",INDEX(Akaun!$D$5:$D$150,MATCH(C4789,Akaun!$A$5:$A$150,0)))</f>
        <v/>
      </c>
    </row>
    <row r="4790" customFormat="false" ht="15" hidden="false" customHeight="true" outlineLevel="0" collapsed="false">
      <c r="G4790" s="1" t="str">
        <f aca="false">IF(C4790="","",INDEX(Akaun!$F$5:$F$150,MATCH(C4790,Akaun!$A$5:$A$150,0)))</f>
        <v/>
      </c>
      <c r="H4790" s="1" t="str">
        <f aca="false">IF(C4790="","",INDEX(Akaun!$D$5:$D$150,MATCH(C4790,Akaun!$A$5:$A$150,0)))</f>
        <v/>
      </c>
    </row>
    <row r="4791" customFormat="false" ht="15" hidden="false" customHeight="true" outlineLevel="0" collapsed="false">
      <c r="G4791" s="1" t="str">
        <f aca="false">IF(C4791="","",INDEX(Akaun!$F$5:$F$150,MATCH(C4791,Akaun!$A$5:$A$150,0)))</f>
        <v/>
      </c>
      <c r="H4791" s="1" t="str">
        <f aca="false">IF(C4791="","",INDEX(Akaun!$D$5:$D$150,MATCH(C4791,Akaun!$A$5:$A$150,0)))</f>
        <v/>
      </c>
    </row>
    <row r="4792" customFormat="false" ht="15" hidden="false" customHeight="true" outlineLevel="0" collapsed="false">
      <c r="G4792" s="1" t="str">
        <f aca="false">IF(C4792="","",INDEX(Akaun!$F$5:$F$150,MATCH(C4792,Akaun!$A$5:$A$150,0)))</f>
        <v/>
      </c>
      <c r="H4792" s="1" t="str">
        <f aca="false">IF(C4792="","",INDEX(Akaun!$D$5:$D$150,MATCH(C4792,Akaun!$A$5:$A$150,0)))</f>
        <v/>
      </c>
    </row>
    <row r="4793" customFormat="false" ht="15" hidden="false" customHeight="true" outlineLevel="0" collapsed="false">
      <c r="G4793" s="1" t="str">
        <f aca="false">IF(C4793="","",INDEX(Akaun!$F$5:$F$150,MATCH(C4793,Akaun!$A$5:$A$150,0)))</f>
        <v/>
      </c>
      <c r="H4793" s="1" t="str">
        <f aca="false">IF(C4793="","",INDEX(Akaun!$D$5:$D$150,MATCH(C4793,Akaun!$A$5:$A$150,0)))</f>
        <v/>
      </c>
    </row>
    <row r="4794" customFormat="false" ht="15" hidden="false" customHeight="true" outlineLevel="0" collapsed="false">
      <c r="G4794" s="1" t="str">
        <f aca="false">IF(C4794="","",INDEX(Akaun!$F$5:$F$150,MATCH(C4794,Akaun!$A$5:$A$150,0)))</f>
        <v/>
      </c>
      <c r="H4794" s="1" t="str">
        <f aca="false">IF(C4794="","",INDEX(Akaun!$D$5:$D$150,MATCH(C4794,Akaun!$A$5:$A$150,0)))</f>
        <v/>
      </c>
    </row>
    <row r="4795" customFormat="false" ht="15" hidden="false" customHeight="true" outlineLevel="0" collapsed="false">
      <c r="G4795" s="1" t="str">
        <f aca="false">IF(C4795="","",INDEX(Akaun!$F$5:$F$150,MATCH(C4795,Akaun!$A$5:$A$150,0)))</f>
        <v/>
      </c>
      <c r="H4795" s="1" t="str">
        <f aca="false">IF(C4795="","",INDEX(Akaun!$D$5:$D$150,MATCH(C4795,Akaun!$A$5:$A$150,0)))</f>
        <v/>
      </c>
    </row>
    <row r="4796" customFormat="false" ht="15" hidden="false" customHeight="true" outlineLevel="0" collapsed="false">
      <c r="G4796" s="1" t="str">
        <f aca="false">IF(C4796="","",INDEX(Akaun!$F$5:$F$150,MATCH(C4796,Akaun!$A$5:$A$150,0)))</f>
        <v/>
      </c>
      <c r="H4796" s="1" t="str">
        <f aca="false">IF(C4796="","",INDEX(Akaun!$D$5:$D$150,MATCH(C4796,Akaun!$A$5:$A$150,0)))</f>
        <v/>
      </c>
    </row>
    <row r="4797" customFormat="false" ht="15" hidden="false" customHeight="true" outlineLevel="0" collapsed="false">
      <c r="G4797" s="1" t="str">
        <f aca="false">IF(C4797="","",INDEX(Akaun!$F$5:$F$150,MATCH(C4797,Akaun!$A$5:$A$150,0)))</f>
        <v/>
      </c>
      <c r="H4797" s="1" t="str">
        <f aca="false">IF(C4797="","",INDEX(Akaun!$D$5:$D$150,MATCH(C4797,Akaun!$A$5:$A$150,0)))</f>
        <v/>
      </c>
    </row>
    <row r="4798" customFormat="false" ht="15" hidden="false" customHeight="true" outlineLevel="0" collapsed="false">
      <c r="G4798" s="1" t="str">
        <f aca="false">IF(C4798="","",INDEX(Akaun!$F$5:$F$150,MATCH(C4798,Akaun!$A$5:$A$150,0)))</f>
        <v/>
      </c>
      <c r="H4798" s="1" t="str">
        <f aca="false">IF(C4798="","",INDEX(Akaun!$D$5:$D$150,MATCH(C4798,Akaun!$A$5:$A$150,0)))</f>
        <v/>
      </c>
    </row>
    <row r="4799" customFormat="false" ht="15" hidden="false" customHeight="true" outlineLevel="0" collapsed="false">
      <c r="G4799" s="1" t="str">
        <f aca="false">IF(C4799="","",INDEX(Akaun!$F$5:$F$150,MATCH(C4799,Akaun!$A$5:$A$150,0)))</f>
        <v/>
      </c>
      <c r="H4799" s="1" t="str">
        <f aca="false">IF(C4799="","",INDEX(Akaun!$D$5:$D$150,MATCH(C4799,Akaun!$A$5:$A$150,0)))</f>
        <v/>
      </c>
    </row>
    <row r="4800" customFormat="false" ht="15" hidden="false" customHeight="true" outlineLevel="0" collapsed="false">
      <c r="G4800" s="1" t="str">
        <f aca="false">IF(C4800="","",INDEX(Akaun!$F$5:$F$150,MATCH(C4800,Akaun!$A$5:$A$150,0)))</f>
        <v/>
      </c>
      <c r="H4800" s="1" t="str">
        <f aca="false">IF(C4800="","",INDEX(Akaun!$D$5:$D$150,MATCH(C4800,Akaun!$A$5:$A$150,0)))</f>
        <v/>
      </c>
    </row>
    <row r="4801" customFormat="false" ht="15" hidden="false" customHeight="true" outlineLevel="0" collapsed="false">
      <c r="G4801" s="1" t="str">
        <f aca="false">IF(C4801="","",INDEX(Akaun!$F$5:$F$150,MATCH(C4801,Akaun!$A$5:$A$150,0)))</f>
        <v/>
      </c>
      <c r="H4801" s="1" t="str">
        <f aca="false">IF(C4801="","",INDEX(Akaun!$D$5:$D$150,MATCH(C4801,Akaun!$A$5:$A$150,0)))</f>
        <v/>
      </c>
    </row>
    <row r="4802" customFormat="false" ht="15" hidden="false" customHeight="true" outlineLevel="0" collapsed="false">
      <c r="G4802" s="1" t="str">
        <f aca="false">IF(C4802="","",INDEX(Akaun!$F$5:$F$150,MATCH(C4802,Akaun!$A$5:$A$150,0)))</f>
        <v/>
      </c>
      <c r="H4802" s="1" t="str">
        <f aca="false">IF(C4802="","",INDEX(Akaun!$D$5:$D$150,MATCH(C4802,Akaun!$A$5:$A$150,0)))</f>
        <v/>
      </c>
    </row>
    <row r="4803" customFormat="false" ht="15" hidden="false" customHeight="true" outlineLevel="0" collapsed="false">
      <c r="G4803" s="1" t="str">
        <f aca="false">IF(C4803="","",INDEX(Akaun!$F$5:$F$150,MATCH(C4803,Akaun!$A$5:$A$150,0)))</f>
        <v/>
      </c>
      <c r="H4803" s="1" t="str">
        <f aca="false">IF(C4803="","",INDEX(Akaun!$D$5:$D$150,MATCH(C4803,Akaun!$A$5:$A$150,0)))</f>
        <v/>
      </c>
    </row>
    <row r="4804" customFormat="false" ht="15" hidden="false" customHeight="true" outlineLevel="0" collapsed="false">
      <c r="G4804" s="1" t="str">
        <f aca="false">IF(C4804="","",INDEX(Akaun!$F$5:$F$150,MATCH(C4804,Akaun!$A$5:$A$150,0)))</f>
        <v/>
      </c>
      <c r="H4804" s="1" t="str">
        <f aca="false">IF(C4804="","",INDEX(Akaun!$D$5:$D$150,MATCH(C4804,Akaun!$A$5:$A$150,0)))</f>
        <v/>
      </c>
    </row>
    <row r="4805" customFormat="false" ht="15" hidden="false" customHeight="true" outlineLevel="0" collapsed="false">
      <c r="G4805" s="1" t="str">
        <f aca="false">IF(C4805="","",INDEX(Akaun!$F$5:$F$150,MATCH(C4805,Akaun!$A$5:$A$150,0)))</f>
        <v/>
      </c>
      <c r="H4805" s="1" t="str">
        <f aca="false">IF(C4805="","",INDEX(Akaun!$D$5:$D$150,MATCH(C4805,Akaun!$A$5:$A$150,0)))</f>
        <v/>
      </c>
    </row>
    <row r="4806" customFormat="false" ht="15" hidden="false" customHeight="true" outlineLevel="0" collapsed="false">
      <c r="G4806" s="1" t="str">
        <f aca="false">IF(C4806="","",INDEX(Akaun!$F$5:$F$150,MATCH(C4806,Akaun!$A$5:$A$150,0)))</f>
        <v/>
      </c>
      <c r="H4806" s="1" t="str">
        <f aca="false">IF(C4806="","",INDEX(Akaun!$D$5:$D$150,MATCH(C4806,Akaun!$A$5:$A$150,0)))</f>
        <v/>
      </c>
    </row>
    <row r="4807" customFormat="false" ht="15" hidden="false" customHeight="true" outlineLevel="0" collapsed="false">
      <c r="G4807" s="1" t="str">
        <f aca="false">IF(C4807="","",INDEX(Akaun!$F$5:$F$150,MATCH(C4807,Akaun!$A$5:$A$150,0)))</f>
        <v/>
      </c>
      <c r="H4807" s="1" t="str">
        <f aca="false">IF(C4807="","",INDEX(Akaun!$D$5:$D$150,MATCH(C4807,Akaun!$A$5:$A$150,0)))</f>
        <v/>
      </c>
    </row>
    <row r="4808" customFormat="false" ht="15" hidden="false" customHeight="true" outlineLevel="0" collapsed="false">
      <c r="G4808" s="1" t="str">
        <f aca="false">IF(C4808="","",INDEX(Akaun!$F$5:$F$150,MATCH(C4808,Akaun!$A$5:$A$150,0)))</f>
        <v/>
      </c>
      <c r="H4808" s="1" t="str">
        <f aca="false">IF(C4808="","",INDEX(Akaun!$D$5:$D$150,MATCH(C4808,Akaun!$A$5:$A$150,0)))</f>
        <v/>
      </c>
    </row>
    <row r="4809" customFormat="false" ht="15" hidden="false" customHeight="true" outlineLevel="0" collapsed="false">
      <c r="G4809" s="1" t="str">
        <f aca="false">IF(C4809="","",INDEX(Akaun!$F$5:$F$150,MATCH(C4809,Akaun!$A$5:$A$150,0)))</f>
        <v/>
      </c>
      <c r="H4809" s="1" t="str">
        <f aca="false">IF(C4809="","",INDEX(Akaun!$D$5:$D$150,MATCH(C4809,Akaun!$A$5:$A$150,0)))</f>
        <v/>
      </c>
    </row>
    <row r="4810" customFormat="false" ht="15" hidden="false" customHeight="true" outlineLevel="0" collapsed="false">
      <c r="G4810" s="1" t="str">
        <f aca="false">IF(C4810="","",INDEX(Akaun!$F$5:$F$150,MATCH(C4810,Akaun!$A$5:$A$150,0)))</f>
        <v/>
      </c>
      <c r="H4810" s="1" t="str">
        <f aca="false">IF(C4810="","",INDEX(Akaun!$D$5:$D$150,MATCH(C4810,Akaun!$A$5:$A$150,0)))</f>
        <v/>
      </c>
    </row>
    <row r="4811" customFormat="false" ht="15" hidden="false" customHeight="true" outlineLevel="0" collapsed="false">
      <c r="G4811" s="1" t="str">
        <f aca="false">IF(C4811="","",INDEX(Akaun!$F$5:$F$150,MATCH(C4811,Akaun!$A$5:$A$150,0)))</f>
        <v/>
      </c>
      <c r="H4811" s="1" t="str">
        <f aca="false">IF(C4811="","",INDEX(Akaun!$D$5:$D$150,MATCH(C4811,Akaun!$A$5:$A$150,0)))</f>
        <v/>
      </c>
    </row>
    <row r="4812" customFormat="false" ht="15" hidden="false" customHeight="true" outlineLevel="0" collapsed="false">
      <c r="G4812" s="1" t="str">
        <f aca="false">IF(C4812="","",INDEX(Akaun!$F$5:$F$150,MATCH(C4812,Akaun!$A$5:$A$150,0)))</f>
        <v/>
      </c>
      <c r="H4812" s="1" t="str">
        <f aca="false">IF(C4812="","",INDEX(Akaun!$D$5:$D$150,MATCH(C4812,Akaun!$A$5:$A$150,0)))</f>
        <v/>
      </c>
    </row>
    <row r="4813" customFormat="false" ht="15" hidden="false" customHeight="true" outlineLevel="0" collapsed="false">
      <c r="G4813" s="1" t="str">
        <f aca="false">IF(C4813="","",INDEX(Akaun!$F$5:$F$150,MATCH(C4813,Akaun!$A$5:$A$150,0)))</f>
        <v/>
      </c>
      <c r="H4813" s="1" t="str">
        <f aca="false">IF(C4813="","",INDEX(Akaun!$D$5:$D$150,MATCH(C4813,Akaun!$A$5:$A$150,0)))</f>
        <v/>
      </c>
    </row>
    <row r="4814" customFormat="false" ht="15" hidden="false" customHeight="true" outlineLevel="0" collapsed="false">
      <c r="G4814" s="1" t="str">
        <f aca="false">IF(C4814="","",INDEX(Akaun!$F$5:$F$150,MATCH(C4814,Akaun!$A$5:$A$150,0)))</f>
        <v/>
      </c>
      <c r="H4814" s="1" t="str">
        <f aca="false">IF(C4814="","",INDEX(Akaun!$D$5:$D$150,MATCH(C4814,Akaun!$A$5:$A$150,0)))</f>
        <v/>
      </c>
    </row>
    <row r="4815" customFormat="false" ht="15" hidden="false" customHeight="true" outlineLevel="0" collapsed="false">
      <c r="G4815" s="1" t="str">
        <f aca="false">IF(C4815="","",INDEX(Akaun!$F$5:$F$150,MATCH(C4815,Akaun!$A$5:$A$150,0)))</f>
        <v/>
      </c>
      <c r="H4815" s="1" t="str">
        <f aca="false">IF(C4815="","",INDEX(Akaun!$D$5:$D$150,MATCH(C4815,Akaun!$A$5:$A$150,0)))</f>
        <v/>
      </c>
    </row>
    <row r="4816" customFormat="false" ht="15" hidden="false" customHeight="true" outlineLevel="0" collapsed="false">
      <c r="G4816" s="1" t="str">
        <f aca="false">IF(C4816="","",INDEX(Akaun!$F$5:$F$150,MATCH(C4816,Akaun!$A$5:$A$150,0)))</f>
        <v/>
      </c>
      <c r="H4816" s="1" t="str">
        <f aca="false">IF(C4816="","",INDEX(Akaun!$D$5:$D$150,MATCH(C4816,Akaun!$A$5:$A$150,0)))</f>
        <v/>
      </c>
    </row>
    <row r="4817" customFormat="false" ht="15" hidden="false" customHeight="true" outlineLevel="0" collapsed="false">
      <c r="G4817" s="1" t="str">
        <f aca="false">IF(C4817="","",INDEX(Akaun!$F$5:$F$150,MATCH(C4817,Akaun!$A$5:$A$150,0)))</f>
        <v/>
      </c>
      <c r="H4817" s="1" t="str">
        <f aca="false">IF(C4817="","",INDEX(Akaun!$D$5:$D$150,MATCH(C4817,Akaun!$A$5:$A$150,0)))</f>
        <v/>
      </c>
    </row>
    <row r="4818" customFormat="false" ht="15" hidden="false" customHeight="true" outlineLevel="0" collapsed="false">
      <c r="G4818" s="1" t="str">
        <f aca="false">IF(C4818="","",INDEX(Akaun!$F$5:$F$150,MATCH(C4818,Akaun!$A$5:$A$150,0)))</f>
        <v/>
      </c>
      <c r="H4818" s="1" t="str">
        <f aca="false">IF(C4818="","",INDEX(Akaun!$D$5:$D$150,MATCH(C4818,Akaun!$A$5:$A$150,0)))</f>
        <v/>
      </c>
    </row>
    <row r="4819" customFormat="false" ht="15" hidden="false" customHeight="true" outlineLevel="0" collapsed="false">
      <c r="G4819" s="1" t="str">
        <f aca="false">IF(C4819="","",INDEX(Akaun!$F$5:$F$150,MATCH(C4819,Akaun!$A$5:$A$150,0)))</f>
        <v/>
      </c>
      <c r="H4819" s="1" t="str">
        <f aca="false">IF(C4819="","",INDEX(Akaun!$D$5:$D$150,MATCH(C4819,Akaun!$A$5:$A$150,0)))</f>
        <v/>
      </c>
    </row>
    <row r="4820" customFormat="false" ht="15" hidden="false" customHeight="true" outlineLevel="0" collapsed="false">
      <c r="G4820" s="1" t="str">
        <f aca="false">IF(C4820="","",INDEX(Akaun!$F$5:$F$150,MATCH(C4820,Akaun!$A$5:$A$150,0)))</f>
        <v/>
      </c>
      <c r="H4820" s="1" t="str">
        <f aca="false">IF(C4820="","",INDEX(Akaun!$D$5:$D$150,MATCH(C4820,Akaun!$A$5:$A$150,0)))</f>
        <v/>
      </c>
    </row>
    <row r="4821" customFormat="false" ht="15" hidden="false" customHeight="true" outlineLevel="0" collapsed="false">
      <c r="G4821" s="1" t="str">
        <f aca="false">IF(C4821="","",INDEX(Akaun!$F$5:$F$150,MATCH(C4821,Akaun!$A$5:$A$150,0)))</f>
        <v/>
      </c>
      <c r="H4821" s="1" t="str">
        <f aca="false">IF(C4821="","",INDEX(Akaun!$D$5:$D$150,MATCH(C4821,Akaun!$A$5:$A$150,0)))</f>
        <v/>
      </c>
    </row>
    <row r="4822" customFormat="false" ht="15" hidden="false" customHeight="true" outlineLevel="0" collapsed="false">
      <c r="G4822" s="1" t="str">
        <f aca="false">IF(C4822="","",INDEX(Akaun!$F$5:$F$150,MATCH(C4822,Akaun!$A$5:$A$150,0)))</f>
        <v/>
      </c>
      <c r="H4822" s="1" t="str">
        <f aca="false">IF(C4822="","",INDEX(Akaun!$D$5:$D$150,MATCH(C4822,Akaun!$A$5:$A$150,0)))</f>
        <v/>
      </c>
    </row>
    <row r="4823" customFormat="false" ht="15" hidden="false" customHeight="true" outlineLevel="0" collapsed="false">
      <c r="G4823" s="1" t="str">
        <f aca="false">IF(C4823="","",INDEX(Akaun!$F$5:$F$150,MATCH(C4823,Akaun!$A$5:$A$150,0)))</f>
        <v/>
      </c>
      <c r="H4823" s="1" t="str">
        <f aca="false">IF(C4823="","",INDEX(Akaun!$D$5:$D$150,MATCH(C4823,Akaun!$A$5:$A$150,0)))</f>
        <v/>
      </c>
    </row>
    <row r="4824" customFormat="false" ht="15" hidden="false" customHeight="true" outlineLevel="0" collapsed="false">
      <c r="G4824" s="1" t="str">
        <f aca="false">IF(C4824="","",INDEX(Akaun!$F$5:$F$150,MATCH(C4824,Akaun!$A$5:$A$150,0)))</f>
        <v/>
      </c>
      <c r="H4824" s="1" t="str">
        <f aca="false">IF(C4824="","",INDEX(Akaun!$D$5:$D$150,MATCH(C4824,Akaun!$A$5:$A$150,0)))</f>
        <v/>
      </c>
    </row>
    <row r="4825" customFormat="false" ht="15" hidden="false" customHeight="true" outlineLevel="0" collapsed="false">
      <c r="G4825" s="1" t="str">
        <f aca="false">IF(C4825="","",INDEX(Akaun!$F$5:$F$150,MATCH(C4825,Akaun!$A$5:$A$150,0)))</f>
        <v/>
      </c>
      <c r="H4825" s="1" t="str">
        <f aca="false">IF(C4825="","",INDEX(Akaun!$D$5:$D$150,MATCH(C4825,Akaun!$A$5:$A$150,0)))</f>
        <v/>
      </c>
    </row>
    <row r="4826" customFormat="false" ht="15" hidden="false" customHeight="true" outlineLevel="0" collapsed="false">
      <c r="G4826" s="1" t="str">
        <f aca="false">IF(C4826="","",INDEX(Akaun!$F$5:$F$150,MATCH(C4826,Akaun!$A$5:$A$150,0)))</f>
        <v/>
      </c>
      <c r="H4826" s="1" t="str">
        <f aca="false">IF(C4826="","",INDEX(Akaun!$D$5:$D$150,MATCH(C4826,Akaun!$A$5:$A$150,0)))</f>
        <v/>
      </c>
    </row>
    <row r="4827" customFormat="false" ht="15" hidden="false" customHeight="true" outlineLevel="0" collapsed="false">
      <c r="G4827" s="1" t="str">
        <f aca="false">IF(C4827="","",INDEX(Akaun!$F$5:$F$150,MATCH(C4827,Akaun!$A$5:$A$150,0)))</f>
        <v/>
      </c>
      <c r="H4827" s="1" t="str">
        <f aca="false">IF(C4827="","",INDEX(Akaun!$D$5:$D$150,MATCH(C4827,Akaun!$A$5:$A$150,0)))</f>
        <v/>
      </c>
    </row>
    <row r="4828" customFormat="false" ht="15" hidden="false" customHeight="true" outlineLevel="0" collapsed="false">
      <c r="G4828" s="1" t="str">
        <f aca="false">IF(C4828="","",INDEX(Akaun!$F$5:$F$150,MATCH(C4828,Akaun!$A$5:$A$150,0)))</f>
        <v/>
      </c>
      <c r="H4828" s="1" t="str">
        <f aca="false">IF(C4828="","",INDEX(Akaun!$D$5:$D$150,MATCH(C4828,Akaun!$A$5:$A$150,0)))</f>
        <v/>
      </c>
    </row>
    <row r="4829" customFormat="false" ht="15" hidden="false" customHeight="true" outlineLevel="0" collapsed="false">
      <c r="G4829" s="1" t="str">
        <f aca="false">IF(C4829="","",INDEX(Akaun!$F$5:$F$150,MATCH(C4829,Akaun!$A$5:$A$150,0)))</f>
        <v/>
      </c>
      <c r="H4829" s="1" t="str">
        <f aca="false">IF(C4829="","",INDEX(Akaun!$D$5:$D$150,MATCH(C4829,Akaun!$A$5:$A$150,0)))</f>
        <v/>
      </c>
    </row>
    <row r="4830" customFormat="false" ht="15" hidden="false" customHeight="true" outlineLevel="0" collapsed="false">
      <c r="G4830" s="1" t="str">
        <f aca="false">IF(C4830="","",INDEX(Akaun!$F$5:$F$150,MATCH(C4830,Akaun!$A$5:$A$150,0)))</f>
        <v/>
      </c>
      <c r="H4830" s="1" t="str">
        <f aca="false">IF(C4830="","",INDEX(Akaun!$D$5:$D$150,MATCH(C4830,Akaun!$A$5:$A$150,0)))</f>
        <v/>
      </c>
    </row>
    <row r="4831" customFormat="false" ht="15" hidden="false" customHeight="true" outlineLevel="0" collapsed="false">
      <c r="G4831" s="1" t="str">
        <f aca="false">IF(C4831="","",INDEX(Akaun!$F$5:$F$150,MATCH(C4831,Akaun!$A$5:$A$150,0)))</f>
        <v/>
      </c>
      <c r="H4831" s="1" t="str">
        <f aca="false">IF(C4831="","",INDEX(Akaun!$D$5:$D$150,MATCH(C4831,Akaun!$A$5:$A$150,0)))</f>
        <v/>
      </c>
    </row>
    <row r="4832" customFormat="false" ht="15" hidden="false" customHeight="true" outlineLevel="0" collapsed="false">
      <c r="G4832" s="1" t="str">
        <f aca="false">IF(C4832="","",INDEX(Akaun!$F$5:$F$150,MATCH(C4832,Akaun!$A$5:$A$150,0)))</f>
        <v/>
      </c>
      <c r="H4832" s="1" t="str">
        <f aca="false">IF(C4832="","",INDEX(Akaun!$D$5:$D$150,MATCH(C4832,Akaun!$A$5:$A$150,0)))</f>
        <v/>
      </c>
    </row>
    <row r="4833" customFormat="false" ht="15" hidden="false" customHeight="true" outlineLevel="0" collapsed="false">
      <c r="G4833" s="1" t="str">
        <f aca="false">IF(C4833="","",INDEX(Akaun!$F$5:$F$150,MATCH(C4833,Akaun!$A$5:$A$150,0)))</f>
        <v/>
      </c>
      <c r="H4833" s="1" t="str">
        <f aca="false">IF(C4833="","",INDEX(Akaun!$D$5:$D$150,MATCH(C4833,Akaun!$A$5:$A$150,0)))</f>
        <v/>
      </c>
    </row>
    <row r="4834" customFormat="false" ht="15" hidden="false" customHeight="true" outlineLevel="0" collapsed="false">
      <c r="G4834" s="1" t="str">
        <f aca="false">IF(C4834="","",INDEX(Akaun!$F$5:$F$150,MATCH(C4834,Akaun!$A$5:$A$150,0)))</f>
        <v/>
      </c>
      <c r="H4834" s="1" t="str">
        <f aca="false">IF(C4834="","",INDEX(Akaun!$D$5:$D$150,MATCH(C4834,Akaun!$A$5:$A$150,0)))</f>
        <v/>
      </c>
    </row>
    <row r="4835" customFormat="false" ht="15" hidden="false" customHeight="true" outlineLevel="0" collapsed="false">
      <c r="G4835" s="1" t="str">
        <f aca="false">IF(C4835="","",INDEX(Akaun!$F$5:$F$150,MATCH(C4835,Akaun!$A$5:$A$150,0)))</f>
        <v/>
      </c>
      <c r="H4835" s="1" t="str">
        <f aca="false">IF(C4835="","",INDEX(Akaun!$D$5:$D$150,MATCH(C4835,Akaun!$A$5:$A$150,0)))</f>
        <v/>
      </c>
    </row>
    <row r="4836" customFormat="false" ht="15" hidden="false" customHeight="true" outlineLevel="0" collapsed="false">
      <c r="G4836" s="1" t="str">
        <f aca="false">IF(C4836="","",INDEX(Akaun!$F$5:$F$150,MATCH(C4836,Akaun!$A$5:$A$150,0)))</f>
        <v/>
      </c>
      <c r="H4836" s="1" t="str">
        <f aca="false">IF(C4836="","",INDEX(Akaun!$D$5:$D$150,MATCH(C4836,Akaun!$A$5:$A$150,0)))</f>
        <v/>
      </c>
    </row>
    <row r="4837" customFormat="false" ht="15" hidden="false" customHeight="true" outlineLevel="0" collapsed="false">
      <c r="G4837" s="1" t="str">
        <f aca="false">IF(C4837="","",INDEX(Akaun!$F$5:$F$150,MATCH(C4837,Akaun!$A$5:$A$150,0)))</f>
        <v/>
      </c>
      <c r="H4837" s="1" t="str">
        <f aca="false">IF(C4837="","",INDEX(Akaun!$D$5:$D$150,MATCH(C4837,Akaun!$A$5:$A$150,0)))</f>
        <v/>
      </c>
    </row>
    <row r="4838" customFormat="false" ht="15" hidden="false" customHeight="true" outlineLevel="0" collapsed="false">
      <c r="G4838" s="1" t="str">
        <f aca="false">IF(C4838="","",INDEX(Akaun!$F$5:$F$150,MATCH(C4838,Akaun!$A$5:$A$150,0)))</f>
        <v/>
      </c>
      <c r="H4838" s="1" t="str">
        <f aca="false">IF(C4838="","",INDEX(Akaun!$D$5:$D$150,MATCH(C4838,Akaun!$A$5:$A$150,0)))</f>
        <v/>
      </c>
    </row>
    <row r="4839" customFormat="false" ht="15" hidden="false" customHeight="true" outlineLevel="0" collapsed="false">
      <c r="G4839" s="1" t="str">
        <f aca="false">IF(C4839="","",INDEX(Akaun!$F$5:$F$150,MATCH(C4839,Akaun!$A$5:$A$150,0)))</f>
        <v/>
      </c>
      <c r="H4839" s="1" t="str">
        <f aca="false">IF(C4839="","",INDEX(Akaun!$D$5:$D$150,MATCH(C4839,Akaun!$A$5:$A$150,0)))</f>
        <v/>
      </c>
    </row>
    <row r="4840" customFormat="false" ht="15" hidden="false" customHeight="true" outlineLevel="0" collapsed="false">
      <c r="G4840" s="1" t="str">
        <f aca="false">IF(C4840="","",INDEX(Akaun!$F$5:$F$150,MATCH(C4840,Akaun!$A$5:$A$150,0)))</f>
        <v/>
      </c>
      <c r="H4840" s="1" t="str">
        <f aca="false">IF(C4840="","",INDEX(Akaun!$D$5:$D$150,MATCH(C4840,Akaun!$A$5:$A$150,0)))</f>
        <v/>
      </c>
    </row>
    <row r="4841" customFormat="false" ht="15" hidden="false" customHeight="true" outlineLevel="0" collapsed="false">
      <c r="G4841" s="1" t="str">
        <f aca="false">IF(C4841="","",INDEX(Akaun!$F$5:$F$150,MATCH(C4841,Akaun!$A$5:$A$150,0)))</f>
        <v/>
      </c>
      <c r="H4841" s="1" t="str">
        <f aca="false">IF(C4841="","",INDEX(Akaun!$D$5:$D$150,MATCH(C4841,Akaun!$A$5:$A$150,0)))</f>
        <v/>
      </c>
    </row>
    <row r="4842" customFormat="false" ht="15" hidden="false" customHeight="true" outlineLevel="0" collapsed="false">
      <c r="G4842" s="1" t="str">
        <f aca="false">IF(C4842="","",INDEX(Akaun!$F$5:$F$150,MATCH(C4842,Akaun!$A$5:$A$150,0)))</f>
        <v/>
      </c>
      <c r="H4842" s="1" t="str">
        <f aca="false">IF(C4842="","",INDEX(Akaun!$D$5:$D$150,MATCH(C4842,Akaun!$A$5:$A$150,0)))</f>
        <v/>
      </c>
    </row>
    <row r="4843" customFormat="false" ht="15" hidden="false" customHeight="true" outlineLevel="0" collapsed="false">
      <c r="G4843" s="1" t="str">
        <f aca="false">IF(C4843="","",INDEX(Akaun!$F$5:$F$150,MATCH(C4843,Akaun!$A$5:$A$150,0)))</f>
        <v/>
      </c>
      <c r="H4843" s="1" t="str">
        <f aca="false">IF(C4843="","",INDEX(Akaun!$D$5:$D$150,MATCH(C4843,Akaun!$A$5:$A$150,0)))</f>
        <v/>
      </c>
    </row>
    <row r="4844" customFormat="false" ht="15" hidden="false" customHeight="true" outlineLevel="0" collapsed="false">
      <c r="G4844" s="1" t="str">
        <f aca="false">IF(C4844="","",INDEX(Akaun!$F$5:$F$150,MATCH(C4844,Akaun!$A$5:$A$150,0)))</f>
        <v/>
      </c>
      <c r="H4844" s="1" t="str">
        <f aca="false">IF(C4844="","",INDEX(Akaun!$D$5:$D$150,MATCH(C4844,Akaun!$A$5:$A$150,0)))</f>
        <v/>
      </c>
    </row>
    <row r="4845" customFormat="false" ht="15" hidden="false" customHeight="true" outlineLevel="0" collapsed="false">
      <c r="G4845" s="1" t="str">
        <f aca="false">IF(C4845="","",INDEX(Akaun!$F$5:$F$150,MATCH(C4845,Akaun!$A$5:$A$150,0)))</f>
        <v/>
      </c>
      <c r="H4845" s="1" t="str">
        <f aca="false">IF(C4845="","",INDEX(Akaun!$D$5:$D$150,MATCH(C4845,Akaun!$A$5:$A$150,0)))</f>
        <v/>
      </c>
    </row>
    <row r="4846" customFormat="false" ht="15" hidden="false" customHeight="true" outlineLevel="0" collapsed="false">
      <c r="G4846" s="1" t="str">
        <f aca="false">IF(C4846="","",INDEX(Akaun!$F$5:$F$150,MATCH(C4846,Akaun!$A$5:$A$150,0)))</f>
        <v/>
      </c>
      <c r="H4846" s="1" t="str">
        <f aca="false">IF(C4846="","",INDEX(Akaun!$D$5:$D$150,MATCH(C4846,Akaun!$A$5:$A$150,0)))</f>
        <v/>
      </c>
    </row>
    <row r="4847" customFormat="false" ht="15" hidden="false" customHeight="true" outlineLevel="0" collapsed="false">
      <c r="G4847" s="1" t="str">
        <f aca="false">IF(C4847="","",INDEX(Akaun!$F$5:$F$150,MATCH(C4847,Akaun!$A$5:$A$150,0)))</f>
        <v/>
      </c>
      <c r="H4847" s="1" t="str">
        <f aca="false">IF(C4847="","",INDEX(Akaun!$D$5:$D$150,MATCH(C4847,Akaun!$A$5:$A$150,0)))</f>
        <v/>
      </c>
    </row>
    <row r="4848" customFormat="false" ht="15" hidden="false" customHeight="true" outlineLevel="0" collapsed="false">
      <c r="G4848" s="1" t="str">
        <f aca="false">IF(C4848="","",INDEX(Akaun!$F$5:$F$150,MATCH(C4848,Akaun!$A$5:$A$150,0)))</f>
        <v/>
      </c>
      <c r="H4848" s="1" t="str">
        <f aca="false">IF(C4848="","",INDEX(Akaun!$D$5:$D$150,MATCH(C4848,Akaun!$A$5:$A$150,0)))</f>
        <v/>
      </c>
    </row>
    <row r="4849" customFormat="false" ht="15" hidden="false" customHeight="true" outlineLevel="0" collapsed="false">
      <c r="G4849" s="1" t="str">
        <f aca="false">IF(C4849="","",INDEX(Akaun!$F$5:$F$150,MATCH(C4849,Akaun!$A$5:$A$150,0)))</f>
        <v/>
      </c>
      <c r="H4849" s="1" t="str">
        <f aca="false">IF(C4849="","",INDEX(Akaun!$D$5:$D$150,MATCH(C4849,Akaun!$A$5:$A$150,0)))</f>
        <v/>
      </c>
    </row>
    <row r="4850" customFormat="false" ht="15" hidden="false" customHeight="true" outlineLevel="0" collapsed="false">
      <c r="G4850" s="1" t="str">
        <f aca="false">IF(C4850="","",INDEX(Akaun!$F$5:$F$150,MATCH(C4850,Akaun!$A$5:$A$150,0)))</f>
        <v/>
      </c>
      <c r="H4850" s="1" t="str">
        <f aca="false">IF(C4850="","",INDEX(Akaun!$D$5:$D$150,MATCH(C4850,Akaun!$A$5:$A$150,0)))</f>
        <v/>
      </c>
    </row>
    <row r="4851" customFormat="false" ht="15" hidden="false" customHeight="true" outlineLevel="0" collapsed="false">
      <c r="G4851" s="1" t="str">
        <f aca="false">IF(C4851="","",INDEX(Akaun!$F$5:$F$150,MATCH(C4851,Akaun!$A$5:$A$150,0)))</f>
        <v/>
      </c>
      <c r="H4851" s="1" t="str">
        <f aca="false">IF(C4851="","",INDEX(Akaun!$D$5:$D$150,MATCH(C4851,Akaun!$A$5:$A$150,0)))</f>
        <v/>
      </c>
    </row>
    <row r="4852" customFormat="false" ht="15" hidden="false" customHeight="true" outlineLevel="0" collapsed="false">
      <c r="G4852" s="1" t="str">
        <f aca="false">IF(C4852="","",INDEX(Akaun!$F$5:$F$150,MATCH(C4852,Akaun!$A$5:$A$150,0)))</f>
        <v/>
      </c>
      <c r="H4852" s="1" t="str">
        <f aca="false">IF(C4852="","",INDEX(Akaun!$D$5:$D$150,MATCH(C4852,Akaun!$A$5:$A$150,0)))</f>
        <v/>
      </c>
    </row>
    <row r="4853" customFormat="false" ht="15" hidden="false" customHeight="true" outlineLevel="0" collapsed="false">
      <c r="G4853" s="1" t="str">
        <f aca="false">IF(C4853="","",INDEX(Akaun!$F$5:$F$150,MATCH(C4853,Akaun!$A$5:$A$150,0)))</f>
        <v/>
      </c>
      <c r="H4853" s="1" t="str">
        <f aca="false">IF(C4853="","",INDEX(Akaun!$D$5:$D$150,MATCH(C4853,Akaun!$A$5:$A$150,0)))</f>
        <v/>
      </c>
    </row>
    <row r="4854" customFormat="false" ht="15" hidden="false" customHeight="true" outlineLevel="0" collapsed="false">
      <c r="G4854" s="1" t="str">
        <f aca="false">IF(C4854="","",INDEX(Akaun!$F$5:$F$150,MATCH(C4854,Akaun!$A$5:$A$150,0)))</f>
        <v/>
      </c>
      <c r="H4854" s="1" t="str">
        <f aca="false">IF(C4854="","",INDEX(Akaun!$D$5:$D$150,MATCH(C4854,Akaun!$A$5:$A$150,0)))</f>
        <v/>
      </c>
    </row>
    <row r="4855" customFormat="false" ht="15" hidden="false" customHeight="true" outlineLevel="0" collapsed="false">
      <c r="G4855" s="1" t="str">
        <f aca="false">IF(C4855="","",INDEX(Akaun!$F$5:$F$150,MATCH(C4855,Akaun!$A$5:$A$150,0)))</f>
        <v/>
      </c>
      <c r="H4855" s="1" t="str">
        <f aca="false">IF(C4855="","",INDEX(Akaun!$D$5:$D$150,MATCH(C4855,Akaun!$A$5:$A$150,0)))</f>
        <v/>
      </c>
    </row>
    <row r="4856" customFormat="false" ht="15" hidden="false" customHeight="true" outlineLevel="0" collapsed="false">
      <c r="G4856" s="1" t="str">
        <f aca="false">IF(C4856="","",INDEX(Akaun!$F$5:$F$150,MATCH(C4856,Akaun!$A$5:$A$150,0)))</f>
        <v/>
      </c>
      <c r="H4856" s="1" t="str">
        <f aca="false">IF(C4856="","",INDEX(Akaun!$D$5:$D$150,MATCH(C4856,Akaun!$A$5:$A$150,0)))</f>
        <v/>
      </c>
    </row>
    <row r="4857" customFormat="false" ht="15" hidden="false" customHeight="true" outlineLevel="0" collapsed="false">
      <c r="G4857" s="1" t="str">
        <f aca="false">IF(C4857="","",INDEX(Akaun!$F$5:$F$150,MATCH(C4857,Akaun!$A$5:$A$150,0)))</f>
        <v/>
      </c>
      <c r="H4857" s="1" t="str">
        <f aca="false">IF(C4857="","",INDEX(Akaun!$D$5:$D$150,MATCH(C4857,Akaun!$A$5:$A$150,0)))</f>
        <v/>
      </c>
    </row>
    <row r="4858" customFormat="false" ht="15" hidden="false" customHeight="true" outlineLevel="0" collapsed="false">
      <c r="G4858" s="1" t="str">
        <f aca="false">IF(C4858="","",INDEX(Akaun!$F$5:$F$150,MATCH(C4858,Akaun!$A$5:$A$150,0)))</f>
        <v/>
      </c>
      <c r="H4858" s="1" t="str">
        <f aca="false">IF(C4858="","",INDEX(Akaun!$D$5:$D$150,MATCH(C4858,Akaun!$A$5:$A$150,0)))</f>
        <v/>
      </c>
    </row>
    <row r="4859" customFormat="false" ht="15" hidden="false" customHeight="true" outlineLevel="0" collapsed="false">
      <c r="G4859" s="1" t="str">
        <f aca="false">IF(C4859="","",INDEX(Akaun!$F$5:$F$150,MATCH(C4859,Akaun!$A$5:$A$150,0)))</f>
        <v/>
      </c>
      <c r="H4859" s="1" t="str">
        <f aca="false">IF(C4859="","",INDEX(Akaun!$D$5:$D$150,MATCH(C4859,Akaun!$A$5:$A$150,0)))</f>
        <v/>
      </c>
    </row>
    <row r="4860" customFormat="false" ht="15" hidden="false" customHeight="true" outlineLevel="0" collapsed="false">
      <c r="G4860" s="1" t="str">
        <f aca="false">IF(C4860="","",INDEX(Akaun!$F$5:$F$150,MATCH(C4860,Akaun!$A$5:$A$150,0)))</f>
        <v/>
      </c>
      <c r="H4860" s="1" t="str">
        <f aca="false">IF(C4860="","",INDEX(Akaun!$D$5:$D$150,MATCH(C4860,Akaun!$A$5:$A$150,0)))</f>
        <v/>
      </c>
    </row>
    <row r="4861" customFormat="false" ht="15" hidden="false" customHeight="true" outlineLevel="0" collapsed="false">
      <c r="G4861" s="1" t="str">
        <f aca="false">IF(C4861="","",INDEX(Akaun!$F$5:$F$150,MATCH(C4861,Akaun!$A$5:$A$150,0)))</f>
        <v/>
      </c>
      <c r="H4861" s="1" t="str">
        <f aca="false">IF(C4861="","",INDEX(Akaun!$D$5:$D$150,MATCH(C4861,Akaun!$A$5:$A$150,0)))</f>
        <v/>
      </c>
    </row>
    <row r="4862" customFormat="false" ht="15" hidden="false" customHeight="true" outlineLevel="0" collapsed="false">
      <c r="G4862" s="1" t="str">
        <f aca="false">IF(C4862="","",INDEX(Akaun!$F$5:$F$150,MATCH(C4862,Akaun!$A$5:$A$150,0)))</f>
        <v/>
      </c>
      <c r="H4862" s="1" t="str">
        <f aca="false">IF(C4862="","",INDEX(Akaun!$D$5:$D$150,MATCH(C4862,Akaun!$A$5:$A$150,0)))</f>
        <v/>
      </c>
    </row>
    <row r="4863" customFormat="false" ht="15" hidden="false" customHeight="true" outlineLevel="0" collapsed="false">
      <c r="G4863" s="1" t="str">
        <f aca="false">IF(C4863="","",INDEX(Akaun!$F$5:$F$150,MATCH(C4863,Akaun!$A$5:$A$150,0)))</f>
        <v/>
      </c>
      <c r="H4863" s="1" t="str">
        <f aca="false">IF(C4863="","",INDEX(Akaun!$D$5:$D$150,MATCH(C4863,Akaun!$A$5:$A$150,0)))</f>
        <v/>
      </c>
    </row>
    <row r="4864" customFormat="false" ht="15" hidden="false" customHeight="true" outlineLevel="0" collapsed="false">
      <c r="G4864" s="1" t="str">
        <f aca="false">IF(C4864="","",INDEX(Akaun!$F$5:$F$150,MATCH(C4864,Akaun!$A$5:$A$150,0)))</f>
        <v/>
      </c>
      <c r="H4864" s="1" t="str">
        <f aca="false">IF(C4864="","",INDEX(Akaun!$D$5:$D$150,MATCH(C4864,Akaun!$A$5:$A$150,0)))</f>
        <v/>
      </c>
    </row>
    <row r="4865" customFormat="false" ht="15" hidden="false" customHeight="true" outlineLevel="0" collapsed="false">
      <c r="G4865" s="1" t="str">
        <f aca="false">IF(C4865="","",INDEX(Akaun!$F$5:$F$150,MATCH(C4865,Akaun!$A$5:$A$150,0)))</f>
        <v/>
      </c>
      <c r="H4865" s="1" t="str">
        <f aca="false">IF(C4865="","",INDEX(Akaun!$D$5:$D$150,MATCH(C4865,Akaun!$A$5:$A$150,0)))</f>
        <v/>
      </c>
    </row>
    <row r="4866" customFormat="false" ht="15" hidden="false" customHeight="true" outlineLevel="0" collapsed="false">
      <c r="G4866" s="1" t="str">
        <f aca="false">IF(C4866="","",INDEX(Akaun!$F$5:$F$150,MATCH(C4866,Akaun!$A$5:$A$150,0)))</f>
        <v/>
      </c>
      <c r="H4866" s="1" t="str">
        <f aca="false">IF(C4866="","",INDEX(Akaun!$D$5:$D$150,MATCH(C4866,Akaun!$A$5:$A$150,0)))</f>
        <v/>
      </c>
    </row>
    <row r="4867" customFormat="false" ht="15" hidden="false" customHeight="true" outlineLevel="0" collapsed="false">
      <c r="G4867" s="1" t="str">
        <f aca="false">IF(C4867="","",INDEX(Akaun!$F$5:$F$150,MATCH(C4867,Akaun!$A$5:$A$150,0)))</f>
        <v/>
      </c>
      <c r="H4867" s="1" t="str">
        <f aca="false">IF(C4867="","",INDEX(Akaun!$D$5:$D$150,MATCH(C4867,Akaun!$A$5:$A$150,0)))</f>
        <v/>
      </c>
    </row>
    <row r="4868" customFormat="false" ht="15" hidden="false" customHeight="true" outlineLevel="0" collapsed="false">
      <c r="G4868" s="1" t="str">
        <f aca="false">IF(C4868="","",INDEX(Akaun!$F$5:$F$150,MATCH(C4868,Akaun!$A$5:$A$150,0)))</f>
        <v/>
      </c>
      <c r="H4868" s="1" t="str">
        <f aca="false">IF(C4868="","",INDEX(Akaun!$D$5:$D$150,MATCH(C4868,Akaun!$A$5:$A$150,0)))</f>
        <v/>
      </c>
    </row>
    <row r="4869" customFormat="false" ht="15" hidden="false" customHeight="true" outlineLevel="0" collapsed="false">
      <c r="G4869" s="1" t="str">
        <f aca="false">IF(C4869="","",INDEX(Akaun!$F$5:$F$150,MATCH(C4869,Akaun!$A$5:$A$150,0)))</f>
        <v/>
      </c>
      <c r="H4869" s="1" t="str">
        <f aca="false">IF(C4869="","",INDEX(Akaun!$D$5:$D$150,MATCH(C4869,Akaun!$A$5:$A$150,0)))</f>
        <v/>
      </c>
    </row>
    <row r="4870" customFormat="false" ht="15" hidden="false" customHeight="true" outlineLevel="0" collapsed="false">
      <c r="G4870" s="1" t="str">
        <f aca="false">IF(C4870="","",INDEX(Akaun!$F$5:$F$150,MATCH(C4870,Akaun!$A$5:$A$150,0)))</f>
        <v/>
      </c>
      <c r="H4870" s="1" t="str">
        <f aca="false">IF(C4870="","",INDEX(Akaun!$D$5:$D$150,MATCH(C4870,Akaun!$A$5:$A$150,0)))</f>
        <v/>
      </c>
    </row>
    <row r="4871" customFormat="false" ht="15" hidden="false" customHeight="true" outlineLevel="0" collapsed="false">
      <c r="G4871" s="1" t="str">
        <f aca="false">IF(C4871="","",INDEX(Akaun!$F$5:$F$150,MATCH(C4871,Akaun!$A$5:$A$150,0)))</f>
        <v/>
      </c>
      <c r="H4871" s="1" t="str">
        <f aca="false">IF(C4871="","",INDEX(Akaun!$D$5:$D$150,MATCH(C4871,Akaun!$A$5:$A$150,0)))</f>
        <v/>
      </c>
    </row>
    <row r="4872" customFormat="false" ht="15" hidden="false" customHeight="true" outlineLevel="0" collapsed="false">
      <c r="G4872" s="1" t="str">
        <f aca="false">IF(C4872="","",INDEX(Akaun!$F$5:$F$150,MATCH(C4872,Akaun!$A$5:$A$150,0)))</f>
        <v/>
      </c>
      <c r="H4872" s="1" t="str">
        <f aca="false">IF(C4872="","",INDEX(Akaun!$D$5:$D$150,MATCH(C4872,Akaun!$A$5:$A$150,0)))</f>
        <v/>
      </c>
    </row>
    <row r="4873" customFormat="false" ht="15" hidden="false" customHeight="true" outlineLevel="0" collapsed="false">
      <c r="G4873" s="1" t="str">
        <f aca="false">IF(C4873="","",INDEX(Akaun!$F$5:$F$150,MATCH(C4873,Akaun!$A$5:$A$150,0)))</f>
        <v/>
      </c>
      <c r="H4873" s="1" t="str">
        <f aca="false">IF(C4873="","",INDEX(Akaun!$D$5:$D$150,MATCH(C4873,Akaun!$A$5:$A$150,0)))</f>
        <v/>
      </c>
    </row>
    <row r="4874" customFormat="false" ht="15" hidden="false" customHeight="true" outlineLevel="0" collapsed="false">
      <c r="G4874" s="1" t="str">
        <f aca="false">IF(C4874="","",INDEX(Akaun!$F$5:$F$150,MATCH(C4874,Akaun!$A$5:$A$150,0)))</f>
        <v/>
      </c>
      <c r="H4874" s="1" t="str">
        <f aca="false">IF(C4874="","",INDEX(Akaun!$D$5:$D$150,MATCH(C4874,Akaun!$A$5:$A$150,0)))</f>
        <v/>
      </c>
    </row>
    <row r="4875" customFormat="false" ht="15" hidden="false" customHeight="true" outlineLevel="0" collapsed="false">
      <c r="G4875" s="1" t="str">
        <f aca="false">IF(C4875="","",INDEX(Akaun!$F$5:$F$150,MATCH(C4875,Akaun!$A$5:$A$150,0)))</f>
        <v/>
      </c>
      <c r="H4875" s="1" t="str">
        <f aca="false">IF(C4875="","",INDEX(Akaun!$D$5:$D$150,MATCH(C4875,Akaun!$A$5:$A$150,0)))</f>
        <v/>
      </c>
    </row>
    <row r="4876" customFormat="false" ht="15" hidden="false" customHeight="true" outlineLevel="0" collapsed="false">
      <c r="G4876" s="1" t="str">
        <f aca="false">IF(C4876="","",INDEX(Akaun!$F$5:$F$150,MATCH(C4876,Akaun!$A$5:$A$150,0)))</f>
        <v/>
      </c>
      <c r="H4876" s="1" t="str">
        <f aca="false">IF(C4876="","",INDEX(Akaun!$D$5:$D$150,MATCH(C4876,Akaun!$A$5:$A$150,0)))</f>
        <v/>
      </c>
    </row>
    <row r="4877" customFormat="false" ht="15" hidden="false" customHeight="true" outlineLevel="0" collapsed="false">
      <c r="G4877" s="1" t="str">
        <f aca="false">IF(C4877="","",INDEX(Akaun!$F$5:$F$150,MATCH(C4877,Akaun!$A$5:$A$150,0)))</f>
        <v/>
      </c>
      <c r="H4877" s="1" t="str">
        <f aca="false">IF(C4877="","",INDEX(Akaun!$D$5:$D$150,MATCH(C4877,Akaun!$A$5:$A$150,0)))</f>
        <v/>
      </c>
    </row>
    <row r="4878" customFormat="false" ht="15" hidden="false" customHeight="true" outlineLevel="0" collapsed="false">
      <c r="G4878" s="1" t="str">
        <f aca="false">IF(C4878="","",INDEX(Akaun!$F$5:$F$150,MATCH(C4878,Akaun!$A$5:$A$150,0)))</f>
        <v/>
      </c>
      <c r="H4878" s="1" t="str">
        <f aca="false">IF(C4878="","",INDEX(Akaun!$D$5:$D$150,MATCH(C4878,Akaun!$A$5:$A$150,0)))</f>
        <v/>
      </c>
    </row>
    <row r="4879" customFormat="false" ht="15" hidden="false" customHeight="true" outlineLevel="0" collapsed="false">
      <c r="G4879" s="1" t="str">
        <f aca="false">IF(C4879="","",INDEX(Akaun!$F$5:$F$150,MATCH(C4879,Akaun!$A$5:$A$150,0)))</f>
        <v/>
      </c>
      <c r="H4879" s="1" t="str">
        <f aca="false">IF(C4879="","",INDEX(Akaun!$D$5:$D$150,MATCH(C4879,Akaun!$A$5:$A$150,0)))</f>
        <v/>
      </c>
    </row>
    <row r="4880" customFormat="false" ht="15" hidden="false" customHeight="true" outlineLevel="0" collapsed="false">
      <c r="G4880" s="1" t="str">
        <f aca="false">IF(C4880="","",INDEX(Akaun!$F$5:$F$150,MATCH(C4880,Akaun!$A$5:$A$150,0)))</f>
        <v/>
      </c>
      <c r="H4880" s="1" t="str">
        <f aca="false">IF(C4880="","",INDEX(Akaun!$D$5:$D$150,MATCH(C4880,Akaun!$A$5:$A$150,0)))</f>
        <v/>
      </c>
    </row>
    <row r="4881" customFormat="false" ht="15" hidden="false" customHeight="true" outlineLevel="0" collapsed="false">
      <c r="G4881" s="1" t="str">
        <f aca="false">IF(C4881="","",INDEX(Akaun!$F$5:$F$150,MATCH(C4881,Akaun!$A$5:$A$150,0)))</f>
        <v/>
      </c>
      <c r="H4881" s="1" t="str">
        <f aca="false">IF(C4881="","",INDEX(Akaun!$D$5:$D$150,MATCH(C4881,Akaun!$A$5:$A$150,0)))</f>
        <v/>
      </c>
    </row>
    <row r="4882" customFormat="false" ht="15" hidden="false" customHeight="true" outlineLevel="0" collapsed="false">
      <c r="G4882" s="1" t="str">
        <f aca="false">IF(C4882="","",INDEX(Akaun!$F$5:$F$150,MATCH(C4882,Akaun!$A$5:$A$150,0)))</f>
        <v/>
      </c>
      <c r="H4882" s="1" t="str">
        <f aca="false">IF(C4882="","",INDEX(Akaun!$D$5:$D$150,MATCH(C4882,Akaun!$A$5:$A$150,0)))</f>
        <v/>
      </c>
    </row>
    <row r="4883" customFormat="false" ht="15" hidden="false" customHeight="true" outlineLevel="0" collapsed="false">
      <c r="G4883" s="1" t="str">
        <f aca="false">IF(C4883="","",INDEX(Akaun!$F$5:$F$150,MATCH(C4883,Akaun!$A$5:$A$150,0)))</f>
        <v/>
      </c>
      <c r="H4883" s="1" t="str">
        <f aca="false">IF(C4883="","",INDEX(Akaun!$D$5:$D$150,MATCH(C4883,Akaun!$A$5:$A$150,0)))</f>
        <v/>
      </c>
    </row>
    <row r="4884" customFormat="false" ht="15" hidden="false" customHeight="true" outlineLevel="0" collapsed="false">
      <c r="G4884" s="1" t="str">
        <f aca="false">IF(C4884="","",INDEX(Akaun!$F$5:$F$150,MATCH(C4884,Akaun!$A$5:$A$150,0)))</f>
        <v/>
      </c>
      <c r="H4884" s="1" t="str">
        <f aca="false">IF(C4884="","",INDEX(Akaun!$D$5:$D$150,MATCH(C4884,Akaun!$A$5:$A$150,0)))</f>
        <v/>
      </c>
    </row>
    <row r="4885" customFormat="false" ht="15" hidden="false" customHeight="true" outlineLevel="0" collapsed="false">
      <c r="G4885" s="1" t="str">
        <f aca="false">IF(C4885="","",INDEX(Akaun!$F$5:$F$150,MATCH(C4885,Akaun!$A$5:$A$150,0)))</f>
        <v/>
      </c>
      <c r="H4885" s="1" t="str">
        <f aca="false">IF(C4885="","",INDEX(Akaun!$D$5:$D$150,MATCH(C4885,Akaun!$A$5:$A$150,0)))</f>
        <v/>
      </c>
    </row>
    <row r="4886" customFormat="false" ht="15" hidden="false" customHeight="true" outlineLevel="0" collapsed="false">
      <c r="G4886" s="1" t="str">
        <f aca="false">IF(C4886="","",INDEX(Akaun!$F$5:$F$150,MATCH(C4886,Akaun!$A$5:$A$150,0)))</f>
        <v/>
      </c>
      <c r="H4886" s="1" t="str">
        <f aca="false">IF(C4886="","",INDEX(Akaun!$D$5:$D$150,MATCH(C4886,Akaun!$A$5:$A$150,0)))</f>
        <v/>
      </c>
    </row>
    <row r="4887" customFormat="false" ht="15" hidden="false" customHeight="true" outlineLevel="0" collapsed="false">
      <c r="G4887" s="1" t="str">
        <f aca="false">IF(C4887="","",INDEX(Akaun!$F$5:$F$150,MATCH(C4887,Akaun!$A$5:$A$150,0)))</f>
        <v/>
      </c>
      <c r="H4887" s="1" t="str">
        <f aca="false">IF(C4887="","",INDEX(Akaun!$D$5:$D$150,MATCH(C4887,Akaun!$A$5:$A$150,0)))</f>
        <v/>
      </c>
    </row>
    <row r="4888" customFormat="false" ht="15" hidden="false" customHeight="true" outlineLevel="0" collapsed="false">
      <c r="G4888" s="1" t="str">
        <f aca="false">IF(C4888="","",INDEX(Akaun!$F$5:$F$150,MATCH(C4888,Akaun!$A$5:$A$150,0)))</f>
        <v/>
      </c>
      <c r="H4888" s="1" t="str">
        <f aca="false">IF(C4888="","",INDEX(Akaun!$D$5:$D$150,MATCH(C4888,Akaun!$A$5:$A$150,0)))</f>
        <v/>
      </c>
    </row>
    <row r="4889" customFormat="false" ht="15" hidden="false" customHeight="true" outlineLevel="0" collapsed="false">
      <c r="G4889" s="1" t="str">
        <f aca="false">IF(C4889="","",INDEX(Akaun!$F$5:$F$150,MATCH(C4889,Akaun!$A$5:$A$150,0)))</f>
        <v/>
      </c>
      <c r="H4889" s="1" t="str">
        <f aca="false">IF(C4889="","",INDEX(Akaun!$D$5:$D$150,MATCH(C4889,Akaun!$A$5:$A$150,0)))</f>
        <v/>
      </c>
    </row>
    <row r="4890" customFormat="false" ht="15" hidden="false" customHeight="true" outlineLevel="0" collapsed="false">
      <c r="G4890" s="1" t="str">
        <f aca="false">IF(C4890="","",INDEX(Akaun!$F$5:$F$150,MATCH(C4890,Akaun!$A$5:$A$150,0)))</f>
        <v/>
      </c>
      <c r="H4890" s="1" t="str">
        <f aca="false">IF(C4890="","",INDEX(Akaun!$D$5:$D$150,MATCH(C4890,Akaun!$A$5:$A$150,0)))</f>
        <v/>
      </c>
    </row>
    <row r="4891" customFormat="false" ht="15" hidden="false" customHeight="true" outlineLevel="0" collapsed="false">
      <c r="G4891" s="1" t="str">
        <f aca="false">IF(C4891="","",INDEX(Akaun!$F$5:$F$150,MATCH(C4891,Akaun!$A$5:$A$150,0)))</f>
        <v/>
      </c>
      <c r="H4891" s="1" t="str">
        <f aca="false">IF(C4891="","",INDEX(Akaun!$D$5:$D$150,MATCH(C4891,Akaun!$A$5:$A$150,0)))</f>
        <v/>
      </c>
    </row>
    <row r="4892" customFormat="false" ht="15" hidden="false" customHeight="true" outlineLevel="0" collapsed="false">
      <c r="G4892" s="1" t="str">
        <f aca="false">IF(C4892="","",INDEX(Akaun!$F$5:$F$150,MATCH(C4892,Akaun!$A$5:$A$150,0)))</f>
        <v/>
      </c>
      <c r="H4892" s="1" t="str">
        <f aca="false">IF(C4892="","",INDEX(Akaun!$D$5:$D$150,MATCH(C4892,Akaun!$A$5:$A$150,0)))</f>
        <v/>
      </c>
    </row>
    <row r="4893" customFormat="false" ht="15" hidden="false" customHeight="true" outlineLevel="0" collapsed="false">
      <c r="G4893" s="1" t="str">
        <f aca="false">IF(C4893="","",INDEX(Akaun!$F$5:$F$150,MATCH(C4893,Akaun!$A$5:$A$150,0)))</f>
        <v/>
      </c>
      <c r="H4893" s="1" t="str">
        <f aca="false">IF(C4893="","",INDEX(Akaun!$D$5:$D$150,MATCH(C4893,Akaun!$A$5:$A$150,0)))</f>
        <v/>
      </c>
    </row>
    <row r="4894" customFormat="false" ht="15" hidden="false" customHeight="true" outlineLevel="0" collapsed="false">
      <c r="G4894" s="1" t="str">
        <f aca="false">IF(C4894="","",INDEX(Akaun!$F$5:$F$150,MATCH(C4894,Akaun!$A$5:$A$150,0)))</f>
        <v/>
      </c>
      <c r="H4894" s="1" t="str">
        <f aca="false">IF(C4894="","",INDEX(Akaun!$D$5:$D$150,MATCH(C4894,Akaun!$A$5:$A$150,0)))</f>
        <v/>
      </c>
    </row>
    <row r="4895" customFormat="false" ht="15" hidden="false" customHeight="true" outlineLevel="0" collapsed="false">
      <c r="G4895" s="1" t="str">
        <f aca="false">IF(C4895="","",INDEX(Akaun!$F$5:$F$150,MATCH(C4895,Akaun!$A$5:$A$150,0)))</f>
        <v/>
      </c>
      <c r="H4895" s="1" t="str">
        <f aca="false">IF(C4895="","",INDEX(Akaun!$D$5:$D$150,MATCH(C4895,Akaun!$A$5:$A$150,0)))</f>
        <v/>
      </c>
    </row>
    <row r="4896" customFormat="false" ht="15" hidden="false" customHeight="true" outlineLevel="0" collapsed="false">
      <c r="G4896" s="1" t="str">
        <f aca="false">IF(C4896="","",INDEX(Akaun!$F$5:$F$150,MATCH(C4896,Akaun!$A$5:$A$150,0)))</f>
        <v/>
      </c>
      <c r="H4896" s="1" t="str">
        <f aca="false">IF(C4896="","",INDEX(Akaun!$D$5:$D$150,MATCH(C4896,Akaun!$A$5:$A$150,0)))</f>
        <v/>
      </c>
    </row>
    <row r="4897" customFormat="false" ht="15" hidden="false" customHeight="true" outlineLevel="0" collapsed="false">
      <c r="G4897" s="1" t="str">
        <f aca="false">IF(C4897="","",INDEX(Akaun!$F$5:$F$150,MATCH(C4897,Akaun!$A$5:$A$150,0)))</f>
        <v/>
      </c>
      <c r="H4897" s="1" t="str">
        <f aca="false">IF(C4897="","",INDEX(Akaun!$D$5:$D$150,MATCH(C4897,Akaun!$A$5:$A$150,0)))</f>
        <v/>
      </c>
    </row>
    <row r="4898" customFormat="false" ht="15" hidden="false" customHeight="true" outlineLevel="0" collapsed="false">
      <c r="G4898" s="1" t="str">
        <f aca="false">IF(C4898="","",INDEX(Akaun!$F$5:$F$150,MATCH(C4898,Akaun!$A$5:$A$150,0)))</f>
        <v/>
      </c>
      <c r="H4898" s="1" t="str">
        <f aca="false">IF(C4898="","",INDEX(Akaun!$D$5:$D$150,MATCH(C4898,Akaun!$A$5:$A$150,0)))</f>
        <v/>
      </c>
    </row>
    <row r="4899" customFormat="false" ht="15" hidden="false" customHeight="true" outlineLevel="0" collapsed="false">
      <c r="G4899" s="1" t="str">
        <f aca="false">IF(C4899="","",INDEX(Akaun!$F$5:$F$150,MATCH(C4899,Akaun!$A$5:$A$150,0)))</f>
        <v/>
      </c>
      <c r="H4899" s="1" t="str">
        <f aca="false">IF(C4899="","",INDEX(Akaun!$D$5:$D$150,MATCH(C4899,Akaun!$A$5:$A$150,0)))</f>
        <v/>
      </c>
    </row>
    <row r="4900" customFormat="false" ht="15" hidden="false" customHeight="true" outlineLevel="0" collapsed="false">
      <c r="G4900" s="1" t="str">
        <f aca="false">IF(C4900="","",INDEX(Akaun!$F$5:$F$150,MATCH(C4900,Akaun!$A$5:$A$150,0)))</f>
        <v/>
      </c>
      <c r="H4900" s="1" t="str">
        <f aca="false">IF(C4900="","",INDEX(Akaun!$D$5:$D$150,MATCH(C4900,Akaun!$A$5:$A$150,0)))</f>
        <v/>
      </c>
    </row>
    <row r="4901" customFormat="false" ht="15" hidden="false" customHeight="true" outlineLevel="0" collapsed="false">
      <c r="G4901" s="1" t="str">
        <f aca="false">IF(C4901="","",INDEX(Akaun!$F$5:$F$150,MATCH(C4901,Akaun!$A$5:$A$150,0)))</f>
        <v/>
      </c>
      <c r="H4901" s="1" t="str">
        <f aca="false">IF(C4901="","",INDEX(Akaun!$D$5:$D$150,MATCH(C4901,Akaun!$A$5:$A$150,0)))</f>
        <v/>
      </c>
    </row>
    <row r="4902" customFormat="false" ht="15" hidden="false" customHeight="true" outlineLevel="0" collapsed="false">
      <c r="G4902" s="1" t="str">
        <f aca="false">IF(C4902="","",INDEX(Akaun!$F$5:$F$150,MATCH(C4902,Akaun!$A$5:$A$150,0)))</f>
        <v/>
      </c>
      <c r="H4902" s="1" t="str">
        <f aca="false">IF(C4902="","",INDEX(Akaun!$D$5:$D$150,MATCH(C4902,Akaun!$A$5:$A$150,0)))</f>
        <v/>
      </c>
    </row>
    <row r="4903" customFormat="false" ht="15" hidden="false" customHeight="true" outlineLevel="0" collapsed="false">
      <c r="G4903" s="1" t="str">
        <f aca="false">IF(C4903="","",INDEX(Akaun!$F$5:$F$150,MATCH(C4903,Akaun!$A$5:$A$150,0)))</f>
        <v/>
      </c>
      <c r="H4903" s="1" t="str">
        <f aca="false">IF(C4903="","",INDEX(Akaun!$D$5:$D$150,MATCH(C4903,Akaun!$A$5:$A$150,0)))</f>
        <v/>
      </c>
    </row>
    <row r="4904" customFormat="false" ht="15" hidden="false" customHeight="true" outlineLevel="0" collapsed="false">
      <c r="G4904" s="1" t="str">
        <f aca="false">IF(C4904="","",INDEX(Akaun!$F$5:$F$150,MATCH(C4904,Akaun!$A$5:$A$150,0)))</f>
        <v/>
      </c>
      <c r="H4904" s="1" t="str">
        <f aca="false">IF(C4904="","",INDEX(Akaun!$D$5:$D$150,MATCH(C4904,Akaun!$A$5:$A$150,0)))</f>
        <v/>
      </c>
    </row>
    <row r="4905" customFormat="false" ht="15" hidden="false" customHeight="true" outlineLevel="0" collapsed="false">
      <c r="G4905" s="1" t="str">
        <f aca="false">IF(C4905="","",INDEX(Akaun!$F$5:$F$150,MATCH(C4905,Akaun!$A$5:$A$150,0)))</f>
        <v/>
      </c>
      <c r="H4905" s="1" t="str">
        <f aca="false">IF(C4905="","",INDEX(Akaun!$D$5:$D$150,MATCH(C4905,Akaun!$A$5:$A$150,0)))</f>
        <v/>
      </c>
    </row>
    <row r="4906" customFormat="false" ht="15" hidden="false" customHeight="true" outlineLevel="0" collapsed="false">
      <c r="G4906" s="1" t="str">
        <f aca="false">IF(C4906="","",INDEX(Akaun!$F$5:$F$150,MATCH(C4906,Akaun!$A$5:$A$150,0)))</f>
        <v/>
      </c>
      <c r="H4906" s="1" t="str">
        <f aca="false">IF(C4906="","",INDEX(Akaun!$D$5:$D$150,MATCH(C4906,Akaun!$A$5:$A$150,0)))</f>
        <v/>
      </c>
    </row>
    <row r="4907" customFormat="false" ht="15" hidden="false" customHeight="true" outlineLevel="0" collapsed="false">
      <c r="G4907" s="1" t="str">
        <f aca="false">IF(C4907="","",INDEX(Akaun!$F$5:$F$150,MATCH(C4907,Akaun!$A$5:$A$150,0)))</f>
        <v/>
      </c>
      <c r="H4907" s="1" t="str">
        <f aca="false">IF(C4907="","",INDEX(Akaun!$D$5:$D$150,MATCH(C4907,Akaun!$A$5:$A$150,0)))</f>
        <v/>
      </c>
    </row>
    <row r="4908" customFormat="false" ht="15" hidden="false" customHeight="true" outlineLevel="0" collapsed="false">
      <c r="G4908" s="1" t="str">
        <f aca="false">IF(C4908="","",INDEX(Akaun!$F$5:$F$150,MATCH(C4908,Akaun!$A$5:$A$150,0)))</f>
        <v/>
      </c>
      <c r="H4908" s="1" t="str">
        <f aca="false">IF(C4908="","",INDEX(Akaun!$D$5:$D$150,MATCH(C4908,Akaun!$A$5:$A$150,0)))</f>
        <v/>
      </c>
    </row>
    <row r="4909" customFormat="false" ht="15" hidden="false" customHeight="true" outlineLevel="0" collapsed="false">
      <c r="G4909" s="1" t="str">
        <f aca="false">IF(C4909="","",INDEX(Akaun!$F$5:$F$150,MATCH(C4909,Akaun!$A$5:$A$150,0)))</f>
        <v/>
      </c>
      <c r="H4909" s="1" t="str">
        <f aca="false">IF(C4909="","",INDEX(Akaun!$D$5:$D$150,MATCH(C4909,Akaun!$A$5:$A$150,0)))</f>
        <v/>
      </c>
    </row>
    <row r="4910" customFormat="false" ht="15" hidden="false" customHeight="true" outlineLevel="0" collapsed="false">
      <c r="G4910" s="1" t="str">
        <f aca="false">IF(C4910="","",INDEX(Akaun!$F$5:$F$150,MATCH(C4910,Akaun!$A$5:$A$150,0)))</f>
        <v/>
      </c>
      <c r="H4910" s="1" t="str">
        <f aca="false">IF(C4910="","",INDEX(Akaun!$D$5:$D$150,MATCH(C4910,Akaun!$A$5:$A$150,0)))</f>
        <v/>
      </c>
    </row>
    <row r="4911" customFormat="false" ht="15" hidden="false" customHeight="true" outlineLevel="0" collapsed="false">
      <c r="G4911" s="1" t="str">
        <f aca="false">IF(C4911="","",INDEX(Akaun!$F$5:$F$150,MATCH(C4911,Akaun!$A$5:$A$150,0)))</f>
        <v/>
      </c>
      <c r="H4911" s="1" t="str">
        <f aca="false">IF(C4911="","",INDEX(Akaun!$D$5:$D$150,MATCH(C4911,Akaun!$A$5:$A$150,0)))</f>
        <v/>
      </c>
    </row>
    <row r="4912" customFormat="false" ht="15" hidden="false" customHeight="true" outlineLevel="0" collapsed="false">
      <c r="G4912" s="1" t="str">
        <f aca="false">IF(C4912="","",INDEX(Akaun!$F$5:$F$150,MATCH(C4912,Akaun!$A$5:$A$150,0)))</f>
        <v/>
      </c>
      <c r="H4912" s="1" t="str">
        <f aca="false">IF(C4912="","",INDEX(Akaun!$D$5:$D$150,MATCH(C4912,Akaun!$A$5:$A$150,0)))</f>
        <v/>
      </c>
    </row>
    <row r="4913" customFormat="false" ht="15" hidden="false" customHeight="true" outlineLevel="0" collapsed="false">
      <c r="G4913" s="1" t="str">
        <f aca="false">IF(C4913="","",INDEX(Akaun!$F$5:$F$150,MATCH(C4913,Akaun!$A$5:$A$150,0)))</f>
        <v/>
      </c>
      <c r="H4913" s="1" t="str">
        <f aca="false">IF(C4913="","",INDEX(Akaun!$D$5:$D$150,MATCH(C4913,Akaun!$A$5:$A$150,0)))</f>
        <v/>
      </c>
    </row>
    <row r="4914" customFormat="false" ht="15" hidden="false" customHeight="true" outlineLevel="0" collapsed="false">
      <c r="G4914" s="1" t="str">
        <f aca="false">IF(C4914="","",INDEX(Akaun!$F$5:$F$150,MATCH(C4914,Akaun!$A$5:$A$150,0)))</f>
        <v/>
      </c>
      <c r="H4914" s="1" t="str">
        <f aca="false">IF(C4914="","",INDEX(Akaun!$D$5:$D$150,MATCH(C4914,Akaun!$A$5:$A$150,0)))</f>
        <v/>
      </c>
    </row>
    <row r="4915" customFormat="false" ht="15" hidden="false" customHeight="true" outlineLevel="0" collapsed="false">
      <c r="G4915" s="1" t="str">
        <f aca="false">IF(C4915="","",INDEX(Akaun!$F$5:$F$150,MATCH(C4915,Akaun!$A$5:$A$150,0)))</f>
        <v/>
      </c>
      <c r="H4915" s="1" t="str">
        <f aca="false">IF(C4915="","",INDEX(Akaun!$D$5:$D$150,MATCH(C4915,Akaun!$A$5:$A$150,0)))</f>
        <v/>
      </c>
    </row>
    <row r="4916" customFormat="false" ht="15" hidden="false" customHeight="true" outlineLevel="0" collapsed="false">
      <c r="G4916" s="1" t="str">
        <f aca="false">IF(C4916="","",INDEX(Akaun!$F$5:$F$150,MATCH(C4916,Akaun!$A$5:$A$150,0)))</f>
        <v/>
      </c>
      <c r="H4916" s="1" t="str">
        <f aca="false">IF(C4916="","",INDEX(Akaun!$D$5:$D$150,MATCH(C4916,Akaun!$A$5:$A$150,0)))</f>
        <v/>
      </c>
    </row>
    <row r="4917" customFormat="false" ht="15" hidden="false" customHeight="true" outlineLevel="0" collapsed="false">
      <c r="G4917" s="1" t="str">
        <f aca="false">IF(C4917="","",INDEX(Akaun!$F$5:$F$150,MATCH(C4917,Akaun!$A$5:$A$150,0)))</f>
        <v/>
      </c>
      <c r="H4917" s="1" t="str">
        <f aca="false">IF(C4917="","",INDEX(Akaun!$D$5:$D$150,MATCH(C4917,Akaun!$A$5:$A$150,0)))</f>
        <v/>
      </c>
    </row>
    <row r="4918" customFormat="false" ht="15" hidden="false" customHeight="true" outlineLevel="0" collapsed="false">
      <c r="G4918" s="1" t="str">
        <f aca="false">IF(C4918="","",INDEX(Akaun!$F$5:$F$150,MATCH(C4918,Akaun!$A$5:$A$150,0)))</f>
        <v/>
      </c>
      <c r="H4918" s="1" t="str">
        <f aca="false">IF(C4918="","",INDEX(Akaun!$D$5:$D$150,MATCH(C4918,Akaun!$A$5:$A$150,0)))</f>
        <v/>
      </c>
    </row>
    <row r="4919" customFormat="false" ht="15" hidden="false" customHeight="true" outlineLevel="0" collapsed="false">
      <c r="G4919" s="1" t="str">
        <f aca="false">IF(C4919="","",INDEX(Akaun!$F$5:$F$150,MATCH(C4919,Akaun!$A$5:$A$150,0)))</f>
        <v/>
      </c>
      <c r="H4919" s="1" t="str">
        <f aca="false">IF(C4919="","",INDEX(Akaun!$D$5:$D$150,MATCH(C4919,Akaun!$A$5:$A$150,0)))</f>
        <v/>
      </c>
    </row>
    <row r="4920" customFormat="false" ht="15" hidden="false" customHeight="true" outlineLevel="0" collapsed="false">
      <c r="G4920" s="1" t="str">
        <f aca="false">IF(C4920="","",INDEX(Akaun!$F$5:$F$150,MATCH(C4920,Akaun!$A$5:$A$150,0)))</f>
        <v/>
      </c>
      <c r="H4920" s="1" t="str">
        <f aca="false">IF(C4920="","",INDEX(Akaun!$D$5:$D$150,MATCH(C4920,Akaun!$A$5:$A$150,0)))</f>
        <v/>
      </c>
    </row>
    <row r="4921" customFormat="false" ht="15" hidden="false" customHeight="true" outlineLevel="0" collapsed="false">
      <c r="G4921" s="1" t="str">
        <f aca="false">IF(C4921="","",INDEX(Akaun!$F$5:$F$150,MATCH(C4921,Akaun!$A$5:$A$150,0)))</f>
        <v/>
      </c>
      <c r="H4921" s="1" t="str">
        <f aca="false">IF(C4921="","",INDEX(Akaun!$D$5:$D$150,MATCH(C4921,Akaun!$A$5:$A$150,0)))</f>
        <v/>
      </c>
    </row>
    <row r="4922" customFormat="false" ht="15" hidden="false" customHeight="true" outlineLevel="0" collapsed="false">
      <c r="G4922" s="1" t="str">
        <f aca="false">IF(C4922="","",INDEX(Akaun!$F$5:$F$150,MATCH(C4922,Akaun!$A$5:$A$150,0)))</f>
        <v/>
      </c>
      <c r="H4922" s="1" t="str">
        <f aca="false">IF(C4922="","",INDEX(Akaun!$D$5:$D$150,MATCH(C4922,Akaun!$A$5:$A$150,0)))</f>
        <v/>
      </c>
    </row>
    <row r="4923" customFormat="false" ht="15" hidden="false" customHeight="true" outlineLevel="0" collapsed="false">
      <c r="G4923" s="1" t="str">
        <f aca="false">IF(C4923="","",INDEX(Akaun!$F$5:$F$150,MATCH(C4923,Akaun!$A$5:$A$150,0)))</f>
        <v/>
      </c>
      <c r="H4923" s="1" t="str">
        <f aca="false">IF(C4923="","",INDEX(Akaun!$D$5:$D$150,MATCH(C4923,Akaun!$A$5:$A$150,0)))</f>
        <v/>
      </c>
    </row>
    <row r="4924" customFormat="false" ht="15" hidden="false" customHeight="true" outlineLevel="0" collapsed="false">
      <c r="G4924" s="1" t="str">
        <f aca="false">IF(C4924="","",INDEX(Akaun!$F$5:$F$150,MATCH(C4924,Akaun!$A$5:$A$150,0)))</f>
        <v/>
      </c>
      <c r="H4924" s="1" t="str">
        <f aca="false">IF(C4924="","",INDEX(Akaun!$D$5:$D$150,MATCH(C4924,Akaun!$A$5:$A$150,0)))</f>
        <v/>
      </c>
    </row>
    <row r="4925" customFormat="false" ht="15" hidden="false" customHeight="true" outlineLevel="0" collapsed="false">
      <c r="G4925" s="1" t="str">
        <f aca="false">IF(C4925="","",INDEX(Akaun!$F$5:$F$150,MATCH(C4925,Akaun!$A$5:$A$150,0)))</f>
        <v/>
      </c>
      <c r="H4925" s="1" t="str">
        <f aca="false">IF(C4925="","",INDEX(Akaun!$D$5:$D$150,MATCH(C4925,Akaun!$A$5:$A$150,0)))</f>
        <v/>
      </c>
    </row>
    <row r="4926" customFormat="false" ht="15" hidden="false" customHeight="true" outlineLevel="0" collapsed="false">
      <c r="G4926" s="1" t="str">
        <f aca="false">IF(C4926="","",INDEX(Akaun!$F$5:$F$150,MATCH(C4926,Akaun!$A$5:$A$150,0)))</f>
        <v/>
      </c>
      <c r="H4926" s="1" t="str">
        <f aca="false">IF(C4926="","",INDEX(Akaun!$D$5:$D$150,MATCH(C4926,Akaun!$A$5:$A$150,0)))</f>
        <v/>
      </c>
    </row>
    <row r="4927" customFormat="false" ht="15" hidden="false" customHeight="true" outlineLevel="0" collapsed="false">
      <c r="G4927" s="1" t="str">
        <f aca="false">IF(C4927="","",INDEX(Akaun!$F$5:$F$150,MATCH(C4927,Akaun!$A$5:$A$150,0)))</f>
        <v/>
      </c>
      <c r="H4927" s="1" t="str">
        <f aca="false">IF(C4927="","",INDEX(Akaun!$D$5:$D$150,MATCH(C4927,Akaun!$A$5:$A$150,0)))</f>
        <v/>
      </c>
    </row>
    <row r="4928" customFormat="false" ht="15" hidden="false" customHeight="true" outlineLevel="0" collapsed="false">
      <c r="G4928" s="1" t="str">
        <f aca="false">IF(C4928="","",INDEX(Akaun!$F$5:$F$150,MATCH(C4928,Akaun!$A$5:$A$150,0)))</f>
        <v/>
      </c>
      <c r="H4928" s="1" t="str">
        <f aca="false">IF(C4928="","",INDEX(Akaun!$D$5:$D$150,MATCH(C4928,Akaun!$A$5:$A$150,0)))</f>
        <v/>
      </c>
    </row>
    <row r="4929" customFormat="false" ht="15" hidden="false" customHeight="true" outlineLevel="0" collapsed="false">
      <c r="G4929" s="1" t="str">
        <f aca="false">IF(C4929="","",INDEX(Akaun!$F$5:$F$150,MATCH(C4929,Akaun!$A$5:$A$150,0)))</f>
        <v/>
      </c>
      <c r="H4929" s="1" t="str">
        <f aca="false">IF(C4929="","",INDEX(Akaun!$D$5:$D$150,MATCH(C4929,Akaun!$A$5:$A$150,0)))</f>
        <v/>
      </c>
    </row>
    <row r="4930" customFormat="false" ht="15" hidden="false" customHeight="true" outlineLevel="0" collapsed="false">
      <c r="G4930" s="1" t="str">
        <f aca="false">IF(C4930="","",INDEX(Akaun!$F$5:$F$150,MATCH(C4930,Akaun!$A$5:$A$150,0)))</f>
        <v/>
      </c>
      <c r="H4930" s="1" t="str">
        <f aca="false">IF(C4930="","",INDEX(Akaun!$D$5:$D$150,MATCH(C4930,Akaun!$A$5:$A$150,0)))</f>
        <v/>
      </c>
    </row>
    <row r="4931" customFormat="false" ht="15" hidden="false" customHeight="true" outlineLevel="0" collapsed="false">
      <c r="G4931" s="1" t="str">
        <f aca="false">IF(C4931="","",INDEX(Akaun!$F$5:$F$150,MATCH(C4931,Akaun!$A$5:$A$150,0)))</f>
        <v/>
      </c>
      <c r="H4931" s="1" t="str">
        <f aca="false">IF(C4931="","",INDEX(Akaun!$D$5:$D$150,MATCH(C4931,Akaun!$A$5:$A$150,0)))</f>
        <v/>
      </c>
    </row>
    <row r="4932" customFormat="false" ht="15" hidden="false" customHeight="true" outlineLevel="0" collapsed="false">
      <c r="G4932" s="1" t="str">
        <f aca="false">IF(C4932="","",INDEX(Akaun!$F$5:$F$150,MATCH(C4932,Akaun!$A$5:$A$150,0)))</f>
        <v/>
      </c>
      <c r="H4932" s="1" t="str">
        <f aca="false">IF(C4932="","",INDEX(Akaun!$D$5:$D$150,MATCH(C4932,Akaun!$A$5:$A$150,0)))</f>
        <v/>
      </c>
    </row>
    <row r="4933" customFormat="false" ht="15" hidden="false" customHeight="true" outlineLevel="0" collapsed="false">
      <c r="G4933" s="1" t="str">
        <f aca="false">IF(C4933="","",INDEX(Akaun!$F$5:$F$150,MATCH(C4933,Akaun!$A$5:$A$150,0)))</f>
        <v/>
      </c>
      <c r="H4933" s="1" t="str">
        <f aca="false">IF(C4933="","",INDEX(Akaun!$D$5:$D$150,MATCH(C4933,Akaun!$A$5:$A$150,0)))</f>
        <v/>
      </c>
    </row>
    <row r="4934" customFormat="false" ht="15" hidden="false" customHeight="true" outlineLevel="0" collapsed="false">
      <c r="G4934" s="1" t="str">
        <f aca="false">IF(C4934="","",INDEX(Akaun!$F$5:$F$150,MATCH(C4934,Akaun!$A$5:$A$150,0)))</f>
        <v/>
      </c>
      <c r="H4934" s="1" t="str">
        <f aca="false">IF(C4934="","",INDEX(Akaun!$D$5:$D$150,MATCH(C4934,Akaun!$A$5:$A$150,0)))</f>
        <v/>
      </c>
    </row>
    <row r="4935" customFormat="false" ht="15" hidden="false" customHeight="true" outlineLevel="0" collapsed="false">
      <c r="G4935" s="1" t="str">
        <f aca="false">IF(C4935="","",INDEX(Akaun!$F$5:$F$150,MATCH(C4935,Akaun!$A$5:$A$150,0)))</f>
        <v/>
      </c>
      <c r="H4935" s="1" t="str">
        <f aca="false">IF(C4935="","",INDEX(Akaun!$D$5:$D$150,MATCH(C4935,Akaun!$A$5:$A$150,0)))</f>
        <v/>
      </c>
    </row>
    <row r="4936" customFormat="false" ht="15" hidden="false" customHeight="true" outlineLevel="0" collapsed="false">
      <c r="G4936" s="1" t="str">
        <f aca="false">IF(C4936="","",INDEX(Akaun!$F$5:$F$150,MATCH(C4936,Akaun!$A$5:$A$150,0)))</f>
        <v/>
      </c>
      <c r="H4936" s="1" t="str">
        <f aca="false">IF(C4936="","",INDEX(Akaun!$D$5:$D$150,MATCH(C4936,Akaun!$A$5:$A$150,0)))</f>
        <v/>
      </c>
    </row>
    <row r="4937" customFormat="false" ht="15" hidden="false" customHeight="true" outlineLevel="0" collapsed="false">
      <c r="G4937" s="1" t="str">
        <f aca="false">IF(C4937="","",INDEX(Akaun!$F$5:$F$150,MATCH(C4937,Akaun!$A$5:$A$150,0)))</f>
        <v/>
      </c>
      <c r="H4937" s="1" t="str">
        <f aca="false">IF(C4937="","",INDEX(Akaun!$D$5:$D$150,MATCH(C4937,Akaun!$A$5:$A$150,0)))</f>
        <v/>
      </c>
    </row>
    <row r="4938" customFormat="false" ht="15" hidden="false" customHeight="true" outlineLevel="0" collapsed="false">
      <c r="G4938" s="1" t="str">
        <f aca="false">IF(C4938="","",INDEX(Akaun!$F$5:$F$150,MATCH(C4938,Akaun!$A$5:$A$150,0)))</f>
        <v/>
      </c>
      <c r="H4938" s="1" t="str">
        <f aca="false">IF(C4938="","",INDEX(Akaun!$D$5:$D$150,MATCH(C4938,Akaun!$A$5:$A$150,0)))</f>
        <v/>
      </c>
    </row>
    <row r="4939" customFormat="false" ht="15" hidden="false" customHeight="true" outlineLevel="0" collapsed="false">
      <c r="G4939" s="1" t="str">
        <f aca="false">IF(C4939="","",INDEX(Akaun!$F$5:$F$150,MATCH(C4939,Akaun!$A$5:$A$150,0)))</f>
        <v/>
      </c>
      <c r="H4939" s="1" t="str">
        <f aca="false">IF(C4939="","",INDEX(Akaun!$D$5:$D$150,MATCH(C4939,Akaun!$A$5:$A$150,0)))</f>
        <v/>
      </c>
    </row>
    <row r="4940" customFormat="false" ht="15" hidden="false" customHeight="true" outlineLevel="0" collapsed="false">
      <c r="G4940" s="1" t="str">
        <f aca="false">IF(C4940="","",INDEX(Akaun!$F$5:$F$150,MATCH(C4940,Akaun!$A$5:$A$150,0)))</f>
        <v/>
      </c>
      <c r="H4940" s="1" t="str">
        <f aca="false">IF(C4940="","",INDEX(Akaun!$D$5:$D$150,MATCH(C4940,Akaun!$A$5:$A$150,0)))</f>
        <v/>
      </c>
    </row>
    <row r="4941" customFormat="false" ht="15" hidden="false" customHeight="true" outlineLevel="0" collapsed="false">
      <c r="G4941" s="1" t="str">
        <f aca="false">IF(C4941="","",INDEX(Akaun!$F$5:$F$150,MATCH(C4941,Akaun!$A$5:$A$150,0)))</f>
        <v/>
      </c>
      <c r="H4941" s="1" t="str">
        <f aca="false">IF(C4941="","",INDEX(Akaun!$D$5:$D$150,MATCH(C4941,Akaun!$A$5:$A$150,0)))</f>
        <v/>
      </c>
    </row>
    <row r="4942" customFormat="false" ht="15" hidden="false" customHeight="true" outlineLevel="0" collapsed="false">
      <c r="G4942" s="1" t="str">
        <f aca="false">IF(C4942="","",INDEX(Akaun!$F$5:$F$150,MATCH(C4942,Akaun!$A$5:$A$150,0)))</f>
        <v/>
      </c>
      <c r="H4942" s="1" t="str">
        <f aca="false">IF(C4942="","",INDEX(Akaun!$D$5:$D$150,MATCH(C4942,Akaun!$A$5:$A$150,0)))</f>
        <v/>
      </c>
    </row>
    <row r="4943" customFormat="false" ht="15" hidden="false" customHeight="true" outlineLevel="0" collapsed="false">
      <c r="G4943" s="1" t="str">
        <f aca="false">IF(C4943="","",INDEX(Akaun!$F$5:$F$150,MATCH(C4943,Akaun!$A$5:$A$150,0)))</f>
        <v/>
      </c>
      <c r="H4943" s="1" t="str">
        <f aca="false">IF(C4943="","",INDEX(Akaun!$D$5:$D$150,MATCH(C4943,Akaun!$A$5:$A$150,0)))</f>
        <v/>
      </c>
    </row>
    <row r="4944" customFormat="false" ht="15" hidden="false" customHeight="true" outlineLevel="0" collapsed="false">
      <c r="G4944" s="1" t="str">
        <f aca="false">IF(C4944="","",INDEX(Akaun!$F$5:$F$150,MATCH(C4944,Akaun!$A$5:$A$150,0)))</f>
        <v/>
      </c>
      <c r="H4944" s="1" t="str">
        <f aca="false">IF(C4944="","",INDEX(Akaun!$D$5:$D$150,MATCH(C4944,Akaun!$A$5:$A$150,0)))</f>
        <v/>
      </c>
    </row>
    <row r="4945" customFormat="false" ht="15" hidden="false" customHeight="true" outlineLevel="0" collapsed="false">
      <c r="G4945" s="1" t="str">
        <f aca="false">IF(C4945="","",INDEX(Akaun!$F$5:$F$150,MATCH(C4945,Akaun!$A$5:$A$150,0)))</f>
        <v/>
      </c>
      <c r="H4945" s="1" t="str">
        <f aca="false">IF(C4945="","",INDEX(Akaun!$D$5:$D$150,MATCH(C4945,Akaun!$A$5:$A$150,0)))</f>
        <v/>
      </c>
    </row>
    <row r="4946" customFormat="false" ht="15" hidden="false" customHeight="true" outlineLevel="0" collapsed="false">
      <c r="G4946" s="1" t="str">
        <f aca="false">IF(C4946="","",INDEX(Akaun!$F$5:$F$150,MATCH(C4946,Akaun!$A$5:$A$150,0)))</f>
        <v/>
      </c>
      <c r="H4946" s="1" t="str">
        <f aca="false">IF(C4946="","",INDEX(Akaun!$D$5:$D$150,MATCH(C4946,Akaun!$A$5:$A$150,0)))</f>
        <v/>
      </c>
    </row>
    <row r="4947" customFormat="false" ht="15" hidden="false" customHeight="true" outlineLevel="0" collapsed="false">
      <c r="G4947" s="1" t="str">
        <f aca="false">IF(C4947="","",INDEX(Akaun!$F$5:$F$150,MATCH(C4947,Akaun!$A$5:$A$150,0)))</f>
        <v/>
      </c>
      <c r="H4947" s="1" t="str">
        <f aca="false">IF(C4947="","",INDEX(Akaun!$D$5:$D$150,MATCH(C4947,Akaun!$A$5:$A$150,0)))</f>
        <v/>
      </c>
    </row>
    <row r="4948" customFormat="false" ht="15" hidden="false" customHeight="true" outlineLevel="0" collapsed="false">
      <c r="G4948" s="1" t="str">
        <f aca="false">IF(C4948="","",INDEX(Akaun!$F$5:$F$150,MATCH(C4948,Akaun!$A$5:$A$150,0)))</f>
        <v/>
      </c>
      <c r="H4948" s="1" t="str">
        <f aca="false">IF(C4948="","",INDEX(Akaun!$D$5:$D$150,MATCH(C4948,Akaun!$A$5:$A$150,0)))</f>
        <v/>
      </c>
    </row>
    <row r="4949" customFormat="false" ht="15" hidden="false" customHeight="true" outlineLevel="0" collapsed="false">
      <c r="G4949" s="1" t="str">
        <f aca="false">IF(C4949="","",INDEX(Akaun!$F$5:$F$150,MATCH(C4949,Akaun!$A$5:$A$150,0)))</f>
        <v/>
      </c>
      <c r="H4949" s="1" t="str">
        <f aca="false">IF(C4949="","",INDEX(Akaun!$D$5:$D$150,MATCH(C4949,Akaun!$A$5:$A$150,0)))</f>
        <v/>
      </c>
    </row>
    <row r="4950" customFormat="false" ht="15" hidden="false" customHeight="true" outlineLevel="0" collapsed="false">
      <c r="G4950" s="1" t="str">
        <f aca="false">IF(C4950="","",INDEX(Akaun!$F$5:$F$150,MATCH(C4950,Akaun!$A$5:$A$150,0)))</f>
        <v/>
      </c>
      <c r="H4950" s="1" t="str">
        <f aca="false">IF(C4950="","",INDEX(Akaun!$D$5:$D$150,MATCH(C4950,Akaun!$A$5:$A$150,0)))</f>
        <v/>
      </c>
    </row>
    <row r="4951" customFormat="false" ht="15" hidden="false" customHeight="true" outlineLevel="0" collapsed="false">
      <c r="G4951" s="1" t="str">
        <f aca="false">IF(C4951="","",INDEX(Akaun!$F$5:$F$150,MATCH(C4951,Akaun!$A$5:$A$150,0)))</f>
        <v/>
      </c>
      <c r="H4951" s="1" t="str">
        <f aca="false">IF(C4951="","",INDEX(Akaun!$D$5:$D$150,MATCH(C4951,Akaun!$A$5:$A$150,0)))</f>
        <v/>
      </c>
    </row>
    <row r="4952" customFormat="false" ht="15" hidden="false" customHeight="true" outlineLevel="0" collapsed="false">
      <c r="G4952" s="1" t="str">
        <f aca="false">IF(C4952="","",INDEX(Akaun!$F$5:$F$150,MATCH(C4952,Akaun!$A$5:$A$150,0)))</f>
        <v/>
      </c>
      <c r="H4952" s="1" t="str">
        <f aca="false">IF(C4952="","",INDEX(Akaun!$D$5:$D$150,MATCH(C4952,Akaun!$A$5:$A$150,0)))</f>
        <v/>
      </c>
    </row>
    <row r="4953" customFormat="false" ht="15" hidden="false" customHeight="true" outlineLevel="0" collapsed="false">
      <c r="G4953" s="1" t="str">
        <f aca="false">IF(C4953="","",INDEX(Akaun!$F$5:$F$150,MATCH(C4953,Akaun!$A$5:$A$150,0)))</f>
        <v/>
      </c>
      <c r="H4953" s="1" t="str">
        <f aca="false">IF(C4953="","",INDEX(Akaun!$D$5:$D$150,MATCH(C4953,Akaun!$A$5:$A$150,0)))</f>
        <v/>
      </c>
    </row>
    <row r="4954" customFormat="false" ht="15" hidden="false" customHeight="true" outlineLevel="0" collapsed="false">
      <c r="G4954" s="1" t="str">
        <f aca="false">IF(C4954="","",INDEX(Akaun!$F$5:$F$150,MATCH(C4954,Akaun!$A$5:$A$150,0)))</f>
        <v/>
      </c>
      <c r="H4954" s="1" t="str">
        <f aca="false">IF(C4954="","",INDEX(Akaun!$D$5:$D$150,MATCH(C4954,Akaun!$A$5:$A$150,0)))</f>
        <v/>
      </c>
    </row>
    <row r="4955" customFormat="false" ht="15" hidden="false" customHeight="true" outlineLevel="0" collapsed="false">
      <c r="G4955" s="1" t="str">
        <f aca="false">IF(C4955="","",INDEX(Akaun!$F$5:$F$150,MATCH(C4955,Akaun!$A$5:$A$150,0)))</f>
        <v/>
      </c>
      <c r="H4955" s="1" t="str">
        <f aca="false">IF(C4955="","",INDEX(Akaun!$D$5:$D$150,MATCH(C4955,Akaun!$A$5:$A$150,0)))</f>
        <v/>
      </c>
    </row>
    <row r="4956" customFormat="false" ht="15" hidden="false" customHeight="true" outlineLevel="0" collapsed="false">
      <c r="G4956" s="1" t="str">
        <f aca="false">IF(C4956="","",INDEX(Akaun!$F$5:$F$150,MATCH(C4956,Akaun!$A$5:$A$150,0)))</f>
        <v/>
      </c>
      <c r="H4956" s="1" t="str">
        <f aca="false">IF(C4956="","",INDEX(Akaun!$D$5:$D$150,MATCH(C4956,Akaun!$A$5:$A$150,0)))</f>
        <v/>
      </c>
    </row>
    <row r="4957" customFormat="false" ht="15" hidden="false" customHeight="true" outlineLevel="0" collapsed="false">
      <c r="G4957" s="1" t="str">
        <f aca="false">IF(C4957="","",INDEX(Akaun!$F$5:$F$150,MATCH(C4957,Akaun!$A$5:$A$150,0)))</f>
        <v/>
      </c>
      <c r="H4957" s="1" t="str">
        <f aca="false">IF(C4957="","",INDEX(Akaun!$D$5:$D$150,MATCH(C4957,Akaun!$A$5:$A$150,0)))</f>
        <v/>
      </c>
    </row>
    <row r="4958" customFormat="false" ht="15" hidden="false" customHeight="true" outlineLevel="0" collapsed="false">
      <c r="G4958" s="1" t="str">
        <f aca="false">IF(C4958="","",INDEX(Akaun!$F$5:$F$150,MATCH(C4958,Akaun!$A$5:$A$150,0)))</f>
        <v/>
      </c>
      <c r="H4958" s="1" t="str">
        <f aca="false">IF(C4958="","",INDEX(Akaun!$D$5:$D$150,MATCH(C4958,Akaun!$A$5:$A$150,0)))</f>
        <v/>
      </c>
    </row>
    <row r="4959" customFormat="false" ht="15" hidden="false" customHeight="true" outlineLevel="0" collapsed="false">
      <c r="G4959" s="1" t="str">
        <f aca="false">IF(C4959="","",INDEX(Akaun!$F$5:$F$150,MATCH(C4959,Akaun!$A$5:$A$150,0)))</f>
        <v/>
      </c>
      <c r="H4959" s="1" t="str">
        <f aca="false">IF(C4959="","",INDEX(Akaun!$D$5:$D$150,MATCH(C4959,Akaun!$A$5:$A$150,0)))</f>
        <v/>
      </c>
    </row>
    <row r="4960" customFormat="false" ht="15" hidden="false" customHeight="true" outlineLevel="0" collapsed="false">
      <c r="G4960" s="1" t="str">
        <f aca="false">IF(C4960="","",INDEX(Akaun!$F$5:$F$150,MATCH(C4960,Akaun!$A$5:$A$150,0)))</f>
        <v/>
      </c>
      <c r="H4960" s="1" t="str">
        <f aca="false">IF(C4960="","",INDEX(Akaun!$D$5:$D$150,MATCH(C4960,Akaun!$A$5:$A$150,0)))</f>
        <v/>
      </c>
    </row>
    <row r="4961" customFormat="false" ht="15" hidden="false" customHeight="true" outlineLevel="0" collapsed="false">
      <c r="G4961" s="1" t="str">
        <f aca="false">IF(C4961="","",INDEX(Akaun!$F$5:$F$150,MATCH(C4961,Akaun!$A$5:$A$150,0)))</f>
        <v/>
      </c>
      <c r="H4961" s="1" t="str">
        <f aca="false">IF(C4961="","",INDEX(Akaun!$D$5:$D$150,MATCH(C4961,Akaun!$A$5:$A$150,0)))</f>
        <v/>
      </c>
    </row>
    <row r="4962" customFormat="false" ht="15" hidden="false" customHeight="true" outlineLevel="0" collapsed="false">
      <c r="G4962" s="1" t="str">
        <f aca="false">IF(C4962="","",INDEX(Akaun!$F$5:$F$150,MATCH(C4962,Akaun!$A$5:$A$150,0)))</f>
        <v/>
      </c>
      <c r="H4962" s="1" t="str">
        <f aca="false">IF(C4962="","",INDEX(Akaun!$D$5:$D$150,MATCH(C4962,Akaun!$A$5:$A$150,0)))</f>
        <v/>
      </c>
    </row>
    <row r="4963" customFormat="false" ht="15" hidden="false" customHeight="true" outlineLevel="0" collapsed="false">
      <c r="G4963" s="1" t="str">
        <f aca="false">IF(C4963="","",INDEX(Akaun!$F$5:$F$150,MATCH(C4963,Akaun!$A$5:$A$150,0)))</f>
        <v/>
      </c>
      <c r="H4963" s="1" t="str">
        <f aca="false">IF(C4963="","",INDEX(Akaun!$D$5:$D$150,MATCH(C4963,Akaun!$A$5:$A$150,0)))</f>
        <v/>
      </c>
    </row>
    <row r="4964" customFormat="false" ht="15" hidden="false" customHeight="true" outlineLevel="0" collapsed="false">
      <c r="G4964" s="1" t="str">
        <f aca="false">IF(C4964="","",INDEX(Akaun!$F$5:$F$150,MATCH(C4964,Akaun!$A$5:$A$150,0)))</f>
        <v/>
      </c>
      <c r="H4964" s="1" t="str">
        <f aca="false">IF(C4964="","",INDEX(Akaun!$D$5:$D$150,MATCH(C4964,Akaun!$A$5:$A$150,0)))</f>
        <v/>
      </c>
    </row>
    <row r="4965" customFormat="false" ht="15" hidden="false" customHeight="true" outlineLevel="0" collapsed="false">
      <c r="G4965" s="1" t="str">
        <f aca="false">IF(C4965="","",INDEX(Akaun!$F$5:$F$150,MATCH(C4965,Akaun!$A$5:$A$150,0)))</f>
        <v/>
      </c>
      <c r="H4965" s="1" t="str">
        <f aca="false">IF(C4965="","",INDEX(Akaun!$D$5:$D$150,MATCH(C4965,Akaun!$A$5:$A$150,0)))</f>
        <v/>
      </c>
    </row>
    <row r="4966" customFormat="false" ht="15" hidden="false" customHeight="true" outlineLevel="0" collapsed="false">
      <c r="G4966" s="1" t="str">
        <f aca="false">IF(C4966="","",INDEX(Akaun!$F$5:$F$150,MATCH(C4966,Akaun!$A$5:$A$150,0)))</f>
        <v/>
      </c>
      <c r="H4966" s="1" t="str">
        <f aca="false">IF(C4966="","",INDEX(Akaun!$D$5:$D$150,MATCH(C4966,Akaun!$A$5:$A$150,0)))</f>
        <v/>
      </c>
    </row>
    <row r="4967" customFormat="false" ht="15" hidden="false" customHeight="true" outlineLevel="0" collapsed="false">
      <c r="G4967" s="1" t="str">
        <f aca="false">IF(C4967="","",INDEX(Akaun!$F$5:$F$150,MATCH(C4967,Akaun!$A$5:$A$150,0)))</f>
        <v/>
      </c>
      <c r="H4967" s="1" t="str">
        <f aca="false">IF(C4967="","",INDEX(Akaun!$D$5:$D$150,MATCH(C4967,Akaun!$A$5:$A$150,0)))</f>
        <v/>
      </c>
    </row>
    <row r="4968" customFormat="false" ht="15" hidden="false" customHeight="true" outlineLevel="0" collapsed="false">
      <c r="G4968" s="1" t="str">
        <f aca="false">IF(C4968="","",INDEX(Akaun!$F$5:$F$150,MATCH(C4968,Akaun!$A$5:$A$150,0)))</f>
        <v/>
      </c>
      <c r="H4968" s="1" t="str">
        <f aca="false">IF(C4968="","",INDEX(Akaun!$D$5:$D$150,MATCH(C4968,Akaun!$A$5:$A$150,0)))</f>
        <v/>
      </c>
    </row>
    <row r="4969" customFormat="false" ht="15" hidden="false" customHeight="true" outlineLevel="0" collapsed="false">
      <c r="G4969" s="1" t="str">
        <f aca="false">IF(C4969="","",INDEX(Akaun!$F$5:$F$150,MATCH(C4969,Akaun!$A$5:$A$150,0)))</f>
        <v/>
      </c>
      <c r="H4969" s="1" t="str">
        <f aca="false">IF(C4969="","",INDEX(Akaun!$D$5:$D$150,MATCH(C4969,Akaun!$A$5:$A$150,0)))</f>
        <v/>
      </c>
    </row>
    <row r="4970" customFormat="false" ht="15" hidden="false" customHeight="true" outlineLevel="0" collapsed="false">
      <c r="G4970" s="1" t="str">
        <f aca="false">IF(C4970="","",INDEX(Akaun!$F$5:$F$150,MATCH(C4970,Akaun!$A$5:$A$150,0)))</f>
        <v/>
      </c>
      <c r="H4970" s="1" t="str">
        <f aca="false">IF(C4970="","",INDEX(Akaun!$D$5:$D$150,MATCH(C4970,Akaun!$A$5:$A$150,0)))</f>
        <v/>
      </c>
    </row>
    <row r="4971" customFormat="false" ht="15" hidden="false" customHeight="true" outlineLevel="0" collapsed="false">
      <c r="G4971" s="1" t="str">
        <f aca="false">IF(C4971="","",INDEX(Akaun!$F$5:$F$150,MATCH(C4971,Akaun!$A$5:$A$150,0)))</f>
        <v/>
      </c>
      <c r="H4971" s="1" t="str">
        <f aca="false">IF(C4971="","",INDEX(Akaun!$D$5:$D$150,MATCH(C4971,Akaun!$A$5:$A$150,0)))</f>
        <v/>
      </c>
    </row>
    <row r="4972" customFormat="false" ht="15" hidden="false" customHeight="true" outlineLevel="0" collapsed="false">
      <c r="G4972" s="1" t="str">
        <f aca="false">IF(C4972="","",INDEX(Akaun!$F$5:$F$150,MATCH(C4972,Akaun!$A$5:$A$150,0)))</f>
        <v/>
      </c>
      <c r="H4972" s="1" t="str">
        <f aca="false">IF(C4972="","",INDEX(Akaun!$D$5:$D$150,MATCH(C4972,Akaun!$A$5:$A$150,0)))</f>
        <v/>
      </c>
    </row>
    <row r="4973" customFormat="false" ht="15" hidden="false" customHeight="true" outlineLevel="0" collapsed="false">
      <c r="G4973" s="1" t="str">
        <f aca="false">IF(C4973="","",INDEX(Akaun!$F$5:$F$150,MATCH(C4973,Akaun!$A$5:$A$150,0)))</f>
        <v/>
      </c>
      <c r="H4973" s="1" t="str">
        <f aca="false">IF(C4973="","",INDEX(Akaun!$D$5:$D$150,MATCH(C4973,Akaun!$A$5:$A$150,0)))</f>
        <v/>
      </c>
    </row>
    <row r="4974" customFormat="false" ht="15" hidden="false" customHeight="true" outlineLevel="0" collapsed="false">
      <c r="G4974" s="1" t="str">
        <f aca="false">IF(C4974="","",INDEX(Akaun!$F$5:$F$150,MATCH(C4974,Akaun!$A$5:$A$150,0)))</f>
        <v/>
      </c>
      <c r="H4974" s="1" t="str">
        <f aca="false">IF(C4974="","",INDEX(Akaun!$D$5:$D$150,MATCH(C4974,Akaun!$A$5:$A$150,0)))</f>
        <v/>
      </c>
    </row>
    <row r="4975" customFormat="false" ht="15" hidden="false" customHeight="true" outlineLevel="0" collapsed="false">
      <c r="G4975" s="1" t="str">
        <f aca="false">IF(C4975="","",INDEX(Akaun!$F$5:$F$150,MATCH(C4975,Akaun!$A$5:$A$150,0)))</f>
        <v/>
      </c>
      <c r="H4975" s="1" t="str">
        <f aca="false">IF(C4975="","",INDEX(Akaun!$D$5:$D$150,MATCH(C4975,Akaun!$A$5:$A$150,0)))</f>
        <v/>
      </c>
    </row>
    <row r="4976" customFormat="false" ht="15" hidden="false" customHeight="true" outlineLevel="0" collapsed="false">
      <c r="G4976" s="1" t="str">
        <f aca="false">IF(C4976="","",INDEX(Akaun!$F$5:$F$150,MATCH(C4976,Akaun!$A$5:$A$150,0)))</f>
        <v/>
      </c>
      <c r="H4976" s="1" t="str">
        <f aca="false">IF(C4976="","",INDEX(Akaun!$D$5:$D$150,MATCH(C4976,Akaun!$A$5:$A$150,0)))</f>
        <v/>
      </c>
    </row>
    <row r="4977" customFormat="false" ht="15" hidden="false" customHeight="true" outlineLevel="0" collapsed="false">
      <c r="G4977" s="1" t="str">
        <f aca="false">IF(C4977="","",INDEX(Akaun!$F$5:$F$150,MATCH(C4977,Akaun!$A$5:$A$150,0)))</f>
        <v/>
      </c>
      <c r="H4977" s="1" t="str">
        <f aca="false">IF(C4977="","",INDEX(Akaun!$D$5:$D$150,MATCH(C4977,Akaun!$A$5:$A$150,0)))</f>
        <v/>
      </c>
    </row>
    <row r="4978" customFormat="false" ht="15" hidden="false" customHeight="true" outlineLevel="0" collapsed="false">
      <c r="G4978" s="1" t="str">
        <f aca="false">IF(C4978="","",INDEX(Akaun!$F$5:$F$150,MATCH(C4978,Akaun!$A$5:$A$150,0)))</f>
        <v/>
      </c>
      <c r="H4978" s="1" t="str">
        <f aca="false">IF(C4978="","",INDEX(Akaun!$D$5:$D$150,MATCH(C4978,Akaun!$A$5:$A$150,0)))</f>
        <v/>
      </c>
    </row>
    <row r="4979" customFormat="false" ht="15" hidden="false" customHeight="true" outlineLevel="0" collapsed="false">
      <c r="G4979" s="1" t="str">
        <f aca="false">IF(C4979="","",INDEX(Akaun!$F$5:$F$150,MATCH(C4979,Akaun!$A$5:$A$150,0)))</f>
        <v/>
      </c>
      <c r="H4979" s="1" t="str">
        <f aca="false">IF(C4979="","",INDEX(Akaun!$D$5:$D$150,MATCH(C4979,Akaun!$A$5:$A$150,0)))</f>
        <v/>
      </c>
    </row>
    <row r="4980" customFormat="false" ht="15" hidden="false" customHeight="true" outlineLevel="0" collapsed="false">
      <c r="G4980" s="1" t="str">
        <f aca="false">IF(C4980="","",INDEX(Akaun!$F$5:$F$150,MATCH(C4980,Akaun!$A$5:$A$150,0)))</f>
        <v/>
      </c>
      <c r="H4980" s="1" t="str">
        <f aca="false">IF(C4980="","",INDEX(Akaun!$D$5:$D$150,MATCH(C4980,Akaun!$A$5:$A$150,0)))</f>
        <v/>
      </c>
    </row>
    <row r="4981" customFormat="false" ht="15" hidden="false" customHeight="true" outlineLevel="0" collapsed="false">
      <c r="G4981" s="1" t="str">
        <f aca="false">IF(C4981="","",INDEX(Akaun!$F$5:$F$150,MATCH(C4981,Akaun!$A$5:$A$150,0)))</f>
        <v/>
      </c>
      <c r="H4981" s="1" t="str">
        <f aca="false">IF(C4981="","",INDEX(Akaun!$D$5:$D$150,MATCH(C4981,Akaun!$A$5:$A$150,0)))</f>
        <v/>
      </c>
    </row>
    <row r="4982" customFormat="false" ht="15" hidden="false" customHeight="true" outlineLevel="0" collapsed="false">
      <c r="G4982" s="1" t="str">
        <f aca="false">IF(C4982="","",INDEX(Akaun!$F$5:$F$150,MATCH(C4982,Akaun!$A$5:$A$150,0)))</f>
        <v/>
      </c>
      <c r="H4982" s="1" t="str">
        <f aca="false">IF(C4982="","",INDEX(Akaun!$D$5:$D$150,MATCH(C4982,Akaun!$A$5:$A$150,0)))</f>
        <v/>
      </c>
    </row>
    <row r="4983" customFormat="false" ht="15" hidden="false" customHeight="true" outlineLevel="0" collapsed="false">
      <c r="G4983" s="1" t="str">
        <f aca="false">IF(C4983="","",INDEX(Akaun!$F$5:$F$150,MATCH(C4983,Akaun!$A$5:$A$150,0)))</f>
        <v/>
      </c>
      <c r="H4983" s="1" t="str">
        <f aca="false">IF(C4983="","",INDEX(Akaun!$D$5:$D$150,MATCH(C4983,Akaun!$A$5:$A$150,0)))</f>
        <v/>
      </c>
    </row>
    <row r="4984" customFormat="false" ht="15" hidden="false" customHeight="true" outlineLevel="0" collapsed="false">
      <c r="G4984" s="1" t="str">
        <f aca="false">IF(C4984="","",INDEX(Akaun!$F$5:$F$150,MATCH(C4984,Akaun!$A$5:$A$150,0)))</f>
        <v/>
      </c>
      <c r="H4984" s="1" t="str">
        <f aca="false">IF(C4984="","",INDEX(Akaun!$D$5:$D$150,MATCH(C4984,Akaun!$A$5:$A$150,0)))</f>
        <v/>
      </c>
    </row>
    <row r="4985" customFormat="false" ht="15" hidden="false" customHeight="true" outlineLevel="0" collapsed="false">
      <c r="G4985" s="1" t="str">
        <f aca="false">IF(C4985="","",INDEX(Akaun!$F$5:$F$150,MATCH(C4985,Akaun!$A$5:$A$150,0)))</f>
        <v/>
      </c>
      <c r="H4985" s="1" t="str">
        <f aca="false">IF(C4985="","",INDEX(Akaun!$D$5:$D$150,MATCH(C4985,Akaun!$A$5:$A$150,0)))</f>
        <v/>
      </c>
    </row>
    <row r="4986" customFormat="false" ht="15" hidden="false" customHeight="true" outlineLevel="0" collapsed="false">
      <c r="G4986" s="1" t="str">
        <f aca="false">IF(C4986="","",INDEX(Akaun!$F$5:$F$150,MATCH(C4986,Akaun!$A$5:$A$150,0)))</f>
        <v/>
      </c>
      <c r="H4986" s="1" t="str">
        <f aca="false">IF(C4986="","",INDEX(Akaun!$D$5:$D$150,MATCH(C4986,Akaun!$A$5:$A$150,0)))</f>
        <v/>
      </c>
    </row>
    <row r="4987" customFormat="false" ht="15" hidden="false" customHeight="true" outlineLevel="0" collapsed="false">
      <c r="G4987" s="1" t="str">
        <f aca="false">IF(C4987="","",INDEX(Akaun!$F$5:$F$150,MATCH(C4987,Akaun!$A$5:$A$150,0)))</f>
        <v/>
      </c>
      <c r="H4987" s="1" t="str">
        <f aca="false">IF(C4987="","",INDEX(Akaun!$D$5:$D$150,MATCH(C4987,Akaun!$A$5:$A$150,0)))</f>
        <v/>
      </c>
    </row>
    <row r="4988" customFormat="false" ht="15" hidden="false" customHeight="true" outlineLevel="0" collapsed="false">
      <c r="G4988" s="1" t="str">
        <f aca="false">IF(C4988="","",INDEX(Akaun!$F$5:$F$150,MATCH(C4988,Akaun!$A$5:$A$150,0)))</f>
        <v/>
      </c>
      <c r="H4988" s="1" t="str">
        <f aca="false">IF(C4988="","",INDEX(Akaun!$D$5:$D$150,MATCH(C4988,Akaun!$A$5:$A$150,0)))</f>
        <v/>
      </c>
    </row>
    <row r="4989" customFormat="false" ht="15" hidden="false" customHeight="true" outlineLevel="0" collapsed="false">
      <c r="G4989" s="1" t="str">
        <f aca="false">IF(C4989="","",INDEX(Akaun!$F$5:$F$150,MATCH(C4989,Akaun!$A$5:$A$150,0)))</f>
        <v/>
      </c>
      <c r="H4989" s="1" t="str">
        <f aca="false">IF(C4989="","",INDEX(Akaun!$D$5:$D$150,MATCH(C4989,Akaun!$A$5:$A$150,0)))</f>
        <v/>
      </c>
    </row>
    <row r="4990" customFormat="false" ht="15" hidden="false" customHeight="true" outlineLevel="0" collapsed="false">
      <c r="G4990" s="1" t="str">
        <f aca="false">IF(C4990="","",INDEX(Akaun!$F$5:$F$150,MATCH(C4990,Akaun!$A$5:$A$150,0)))</f>
        <v/>
      </c>
      <c r="H4990" s="1" t="str">
        <f aca="false">IF(C4990="","",INDEX(Akaun!$D$5:$D$150,MATCH(C4990,Akaun!$A$5:$A$150,0)))</f>
        <v/>
      </c>
    </row>
    <row r="4991" customFormat="false" ht="15" hidden="false" customHeight="true" outlineLevel="0" collapsed="false">
      <c r="G4991" s="1" t="str">
        <f aca="false">IF(C4991="","",INDEX(Akaun!$F$5:$F$150,MATCH(C4991,Akaun!$A$5:$A$150,0)))</f>
        <v/>
      </c>
      <c r="H4991" s="1" t="str">
        <f aca="false">IF(C4991="","",INDEX(Akaun!$D$5:$D$150,MATCH(C4991,Akaun!$A$5:$A$150,0)))</f>
        <v/>
      </c>
    </row>
    <row r="4992" customFormat="false" ht="15" hidden="false" customHeight="true" outlineLevel="0" collapsed="false">
      <c r="G4992" s="1" t="str">
        <f aca="false">IF(C4992="","",INDEX(Akaun!$F$5:$F$150,MATCH(C4992,Akaun!$A$5:$A$150,0)))</f>
        <v/>
      </c>
      <c r="H4992" s="1" t="str">
        <f aca="false">IF(C4992="","",INDEX(Akaun!$D$5:$D$150,MATCH(C4992,Akaun!$A$5:$A$150,0)))</f>
        <v/>
      </c>
    </row>
    <row r="4993" customFormat="false" ht="15" hidden="false" customHeight="true" outlineLevel="0" collapsed="false">
      <c r="G4993" s="1" t="str">
        <f aca="false">IF(C4993="","",INDEX(Akaun!$F$5:$F$150,MATCH(C4993,Akaun!$A$5:$A$150,0)))</f>
        <v/>
      </c>
      <c r="H4993" s="1" t="str">
        <f aca="false">IF(C4993="","",INDEX(Akaun!$D$5:$D$150,MATCH(C4993,Akaun!$A$5:$A$150,0)))</f>
        <v/>
      </c>
    </row>
    <row r="4994" customFormat="false" ht="15" hidden="false" customHeight="true" outlineLevel="0" collapsed="false">
      <c r="G4994" s="1" t="str">
        <f aca="false">IF(C4994="","",INDEX(Akaun!$F$5:$F$150,MATCH(C4994,Akaun!$A$5:$A$150,0)))</f>
        <v/>
      </c>
      <c r="H4994" s="1" t="str">
        <f aca="false">IF(C4994="","",INDEX(Akaun!$D$5:$D$150,MATCH(C4994,Akaun!$A$5:$A$150,0)))</f>
        <v/>
      </c>
    </row>
    <row r="4995" customFormat="false" ht="15" hidden="false" customHeight="true" outlineLevel="0" collapsed="false">
      <c r="G4995" s="1" t="str">
        <f aca="false">IF(C4995="","",INDEX(Akaun!$F$5:$F$150,MATCH(C4995,Akaun!$A$5:$A$150,0)))</f>
        <v/>
      </c>
      <c r="H4995" s="1" t="str">
        <f aca="false">IF(C4995="","",INDEX(Akaun!$D$5:$D$150,MATCH(C4995,Akaun!$A$5:$A$150,0)))</f>
        <v/>
      </c>
    </row>
    <row r="4996" customFormat="false" ht="15" hidden="false" customHeight="true" outlineLevel="0" collapsed="false">
      <c r="G4996" s="1" t="str">
        <f aca="false">IF(C4996="","",INDEX(Akaun!$F$5:$F$150,MATCH(C4996,Akaun!$A$5:$A$150,0)))</f>
        <v/>
      </c>
      <c r="H4996" s="1" t="str">
        <f aca="false">IF(C4996="","",INDEX(Akaun!$D$5:$D$150,MATCH(C4996,Akaun!$A$5:$A$150,0)))</f>
        <v/>
      </c>
    </row>
    <row r="4997" customFormat="false" ht="15" hidden="false" customHeight="true" outlineLevel="0" collapsed="false">
      <c r="G4997" s="1" t="str">
        <f aca="false">IF(C4997="","",INDEX(Akaun!$F$5:$F$150,MATCH(C4997,Akaun!$A$5:$A$150,0)))</f>
        <v/>
      </c>
      <c r="H4997" s="1" t="str">
        <f aca="false">IF(C4997="","",INDEX(Akaun!$D$5:$D$150,MATCH(C4997,Akaun!$A$5:$A$150,0)))</f>
        <v/>
      </c>
    </row>
    <row r="4998" customFormat="false" ht="15" hidden="false" customHeight="true" outlineLevel="0" collapsed="false">
      <c r="G4998" s="1" t="str">
        <f aca="false">IF(C4998="","",INDEX(Akaun!$F$5:$F$150,MATCH(C4998,Akaun!$A$5:$A$150,0)))</f>
        <v/>
      </c>
      <c r="H4998" s="1" t="str">
        <f aca="false">IF(C4998="","",INDEX(Akaun!$D$5:$D$150,MATCH(C4998,Akaun!$A$5:$A$150,0)))</f>
        <v/>
      </c>
    </row>
    <row r="4999" customFormat="false" ht="15" hidden="false" customHeight="true" outlineLevel="0" collapsed="false">
      <c r="G4999" s="1" t="str">
        <f aca="false">IF(C4999="","",INDEX(Akaun!$F$5:$F$150,MATCH(C4999,Akaun!$A$5:$A$150,0)))</f>
        <v/>
      </c>
      <c r="H4999" s="1" t="str">
        <f aca="false">IF(C4999="","",INDEX(Akaun!$D$5:$D$150,MATCH(C4999,Akaun!$A$5:$A$150,0)))</f>
        <v/>
      </c>
    </row>
    <row r="5000" customFormat="false" ht="15" hidden="false" customHeight="true" outlineLevel="0" collapsed="false">
      <c r="G5000" s="1" t="str">
        <f aca="false">IF(C5000="","",INDEX(Akaun!$F$5:$F$150,MATCH(C5000,Akaun!$A$5:$A$150,0)))</f>
        <v/>
      </c>
      <c r="H5000" s="1" t="str">
        <f aca="false">IF(C5000="","",INDEX(Akaun!$D$5:$D$150,MATCH(C5000,Akaun!$A$5:$A$150,0)))</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sheetData>
    <row r="1" customFormat="false" ht="15" hidden="false" customHeight="true" outlineLevel="0" collapsed="false">
      <c r="A1" s="40" t="s">
        <v>443</v>
      </c>
      <c r="B1" s="40" t="s">
        <v>444</v>
      </c>
      <c r="C1" s="40" t="s">
        <v>445</v>
      </c>
      <c r="D1" s="40" t="s">
        <v>446</v>
      </c>
      <c r="E1" s="40" t="s">
        <v>447</v>
      </c>
      <c r="F1" s="40" t="s">
        <v>448</v>
      </c>
      <c r="G1" s="40" t="s">
        <v>449</v>
      </c>
    </row>
    <row r="2" customFormat="false" ht="15" hidden="false" customHeight="true" outlineLevel="0" collapsed="false">
      <c r="A2" s="41"/>
      <c r="B2" s="1"/>
      <c r="C2" s="1"/>
      <c r="D2" s="1"/>
      <c r="E2" s="1"/>
      <c r="F2" s="1"/>
      <c r="G2" s="1"/>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B6" activeCellId="0" sqref="B6"/>
    </sheetView>
  </sheetViews>
  <sheetFormatPr defaultColWidth="14.43359375" defaultRowHeight="15" zeroHeight="false" outlineLevelRow="0" outlineLevelCol="0"/>
  <cols>
    <col collapsed="false" customWidth="true" hidden="false" outlineLevel="0" max="1" min="1" style="1" width="10"/>
    <col collapsed="false" customWidth="true" hidden="false" outlineLevel="0" max="2" min="2" style="1" width="34"/>
    <col collapsed="false" customWidth="true" hidden="false" outlineLevel="0" max="3" min="3" style="1" width="14"/>
    <col collapsed="false" customWidth="true" hidden="false" outlineLevel="0" max="7" min="4" style="1" width="15"/>
    <col collapsed="false" customWidth="true" hidden="false" outlineLevel="0" max="8" min="8" style="1" width="18"/>
    <col collapsed="false" customWidth="true" hidden="false" outlineLevel="0" max="26" min="9" style="1" width="8.71"/>
  </cols>
  <sheetData>
    <row r="1" customFormat="false" ht="17.25" hidden="false" customHeight="true" outlineLevel="0" collapsed="false">
      <c r="A1" s="9" t="s">
        <v>450</v>
      </c>
    </row>
    <row r="2" customFormat="false" ht="15" hidden="false" customHeight="true" outlineLevel="0" collapsed="false">
      <c r="A2" s="10" t="s">
        <v>451</v>
      </c>
    </row>
    <row r="3" customFormat="false" ht="15" hidden="false" customHeight="true" outlineLevel="0" collapsed="false"/>
    <row r="4" customFormat="false" ht="25.5" hidden="false" customHeight="true" outlineLevel="0" collapsed="false">
      <c r="A4" s="11" t="s">
        <v>267</v>
      </c>
      <c r="B4" s="11" t="s">
        <v>452</v>
      </c>
      <c r="C4" s="11" t="s">
        <v>270</v>
      </c>
      <c r="D4" s="11" t="s">
        <v>453</v>
      </c>
      <c r="E4" s="11" t="s">
        <v>454</v>
      </c>
      <c r="F4" s="11" t="s">
        <v>455</v>
      </c>
      <c r="G4" s="11" t="s">
        <v>456</v>
      </c>
      <c r="H4" s="11" t="s">
        <v>457</v>
      </c>
    </row>
    <row r="5" customFormat="false" ht="15" hidden="false" customHeight="true" outlineLevel="0" collapsed="false">
      <c r="A5" s="23" t="n">
        <f aca="false">Akaun!A5</f>
        <v>1010</v>
      </c>
      <c r="B5" s="20" t="str">
        <f aca="false">Akaun!C5</f>
        <v>Wang Di Tangan</v>
      </c>
      <c r="C5" s="20" t="str">
        <f aca="false">Akaun!D5</f>
        <v>Aset</v>
      </c>
      <c r="D5" s="39" t="n">
        <f aca="false">SUMIF(Baris_Transaksi!$C$5:$C$5000,A5,Baris_Transaksi!$D$5:$D$5000)</f>
        <v>0</v>
      </c>
      <c r="E5" s="39" t="n">
        <f aca="false">SUMIF(Baris_Transaksi!$C$5:$C$5000,A5,Baris_Transaksi!$E$5:$E$5000)</f>
        <v>0</v>
      </c>
      <c r="F5" s="39" t="n">
        <f aca="false">IF(D5-E5&gt;0,D5-E5,0)</f>
        <v>0</v>
      </c>
      <c r="G5" s="39" t="n">
        <f aca="false">IF(E5-D5&gt;0,E5-D5,0)</f>
        <v>0</v>
      </c>
      <c r="H5" s="39" t="n">
        <f aca="false">IF(OR(C5="Aset",C5="Perbelanjaan"),D5-E5,E5-D5)</f>
        <v>0</v>
      </c>
    </row>
    <row r="6" customFormat="false" ht="15" hidden="false" customHeight="true" outlineLevel="0" collapsed="false">
      <c r="A6" s="23" t="n">
        <f aca="false">Akaun!A6</f>
        <v>1020</v>
      </c>
      <c r="B6" s="20" t="str">
        <f aca="false">Akaun!C6</f>
        <v>Bank</v>
      </c>
      <c r="C6" s="20" t="str">
        <f aca="false">Akaun!D6</f>
        <v>Aset</v>
      </c>
      <c r="D6" s="39" t="n">
        <f aca="false">SUMIF(Baris_Transaksi!$C$5:$C$5000,A6,Baris_Transaksi!$D$5:$D$5000)</f>
        <v>0</v>
      </c>
      <c r="E6" s="39" t="n">
        <f aca="false">SUMIF(Baris_Transaksi!$C$5:$C$5000,A6,Baris_Transaksi!$E$5:$E$5000)</f>
        <v>0</v>
      </c>
      <c r="F6" s="39" t="n">
        <f aca="false">IF(D6-E6&gt;0,D6-E6,0)</f>
        <v>0</v>
      </c>
      <c r="G6" s="39" t="n">
        <f aca="false">IF(E6-D6&gt;0,E6-D6,0)</f>
        <v>0</v>
      </c>
      <c r="H6" s="39" t="n">
        <f aca="false">IF(OR(C6="Aset",C6="Perbelanjaan"),D6-E6,E6-D6)</f>
        <v>0</v>
      </c>
    </row>
    <row r="7" customFormat="false" ht="15" hidden="false" customHeight="true" outlineLevel="0" collapsed="false">
      <c r="A7" s="23" t="n">
        <f aca="false">Akaun!A7</f>
        <v>1030</v>
      </c>
      <c r="B7" s="20" t="str">
        <f aca="false">Akaun!C7</f>
        <v>Deposit Tetap</v>
      </c>
      <c r="C7" s="20" t="str">
        <f aca="false">Akaun!D7</f>
        <v>Aset</v>
      </c>
      <c r="D7" s="39" t="n">
        <f aca="false">SUMIF(Baris_Transaksi!$C$5:$C$5000,A7,Baris_Transaksi!$D$5:$D$5000)</f>
        <v>0</v>
      </c>
      <c r="E7" s="39" t="n">
        <f aca="false">SUMIF(Baris_Transaksi!$C$5:$C$5000,A7,Baris_Transaksi!$E$5:$E$5000)</f>
        <v>0</v>
      </c>
      <c r="F7" s="39" t="n">
        <f aca="false">IF(D7-E7&gt;0,D7-E7,0)</f>
        <v>0</v>
      </c>
      <c r="G7" s="39" t="n">
        <f aca="false">IF(E7-D7&gt;0,E7-D7,0)</f>
        <v>0</v>
      </c>
      <c r="H7" s="39" t="n">
        <f aca="false">IF(OR(C7="Aset",C7="Perbelanjaan"),D7-E7,E7-D7)</f>
        <v>0</v>
      </c>
    </row>
    <row r="8" customFormat="false" ht="15" hidden="false" customHeight="true" outlineLevel="0" collapsed="false">
      <c r="A8" s="23" t="n">
        <f aca="false">Akaun!A8</f>
        <v>1040</v>
      </c>
      <c r="B8" s="20" t="str">
        <f aca="false">Akaun!C8</f>
        <v>Aset Tetap</v>
      </c>
      <c r="C8" s="20" t="str">
        <f aca="false">Akaun!D8</f>
        <v>Aset</v>
      </c>
      <c r="D8" s="39" t="n">
        <f aca="false">SUMIF(Baris_Transaksi!$C$5:$C$5000,A8,Baris_Transaksi!$D$5:$D$5000)</f>
        <v>0</v>
      </c>
      <c r="E8" s="39" t="n">
        <f aca="false">SUMIF(Baris_Transaksi!$C$5:$C$5000,A8,Baris_Transaksi!$E$5:$E$5000)</f>
        <v>0</v>
      </c>
      <c r="F8" s="39" t="n">
        <f aca="false">IF(D8-E8&gt;0,D8-E8,0)</f>
        <v>0</v>
      </c>
      <c r="G8" s="39" t="n">
        <f aca="false">IF(E8-D8&gt;0,E8-D8,0)</f>
        <v>0</v>
      </c>
      <c r="H8" s="39" t="n">
        <f aca="false">IF(OR(C8="Aset",C8="Perbelanjaan"),D8-E8,E8-D8)</f>
        <v>0</v>
      </c>
    </row>
    <row r="9" customFormat="false" ht="15" hidden="false" customHeight="true" outlineLevel="0" collapsed="false">
      <c r="A9" s="23" t="n">
        <f aca="false">Akaun!A9</f>
        <v>1050</v>
      </c>
      <c r="B9" s="20" t="str">
        <f aca="false">Akaun!C9</f>
        <v>Akaun Deposit Koperasi</v>
      </c>
      <c r="C9" s="20" t="str">
        <f aca="false">Akaun!D9</f>
        <v>Aset</v>
      </c>
      <c r="D9" s="39" t="n">
        <f aca="false">SUMIF(Baris_Transaksi!$C$5:$C$5000,A9,Baris_Transaksi!$D$5:$D$5000)</f>
        <v>0</v>
      </c>
      <c r="E9" s="39" t="n">
        <f aca="false">SUMIF(Baris_Transaksi!$C$5:$C$5000,A9,Baris_Transaksi!$E$5:$E$5000)</f>
        <v>0</v>
      </c>
      <c r="F9" s="39" t="n">
        <f aca="false">IF(D9-E9&gt;0,D9-E9,0)</f>
        <v>0</v>
      </c>
      <c r="G9" s="39" t="n">
        <f aca="false">IF(E9-D9&gt;0,E9-D9,0)</f>
        <v>0</v>
      </c>
      <c r="H9" s="39" t="n">
        <f aca="false">IF(OR(C9="Aset",C9="Perbelanjaan"),D9-E9,E9-D9)</f>
        <v>0</v>
      </c>
    </row>
    <row r="10" customFormat="false" ht="15" hidden="false" customHeight="true" outlineLevel="0" collapsed="false">
      <c r="A10" s="23" t="n">
        <f aca="false">Akaun!A10</f>
        <v>1060</v>
      </c>
      <c r="B10" s="20" t="str">
        <f aca="false">Akaun!C10</f>
        <v>Inventori Runcit</v>
      </c>
      <c r="C10" s="20" t="str">
        <f aca="false">Akaun!D10</f>
        <v>Aset</v>
      </c>
      <c r="D10" s="39" t="n">
        <f aca="false">SUMIF(Baris_Transaksi!$C$5:$C$5000,A10,Baris_Transaksi!$D$5:$D$5000)</f>
        <v>0</v>
      </c>
      <c r="E10" s="39" t="n">
        <f aca="false">SUMIF(Baris_Transaksi!$C$5:$C$5000,A10,Baris_Transaksi!$E$5:$E$5000)</f>
        <v>0</v>
      </c>
      <c r="F10" s="39" t="n">
        <f aca="false">IF(D10-E10&gt;0,D10-E10,0)</f>
        <v>0</v>
      </c>
      <c r="G10" s="39" t="n">
        <f aca="false">IF(E10-D10&gt;0,E10-D10,0)</f>
        <v>0</v>
      </c>
      <c r="H10" s="39" t="n">
        <f aca="false">IF(OR(C10="Aset",C10="Perbelanjaan"),D10-E10,E10-D10)</f>
        <v>0</v>
      </c>
    </row>
    <row r="11" customFormat="false" ht="15" hidden="false" customHeight="true" outlineLevel="0" collapsed="false">
      <c r="A11" s="23" t="n">
        <f aca="false">Akaun!A11</f>
        <v>1070</v>
      </c>
      <c r="B11" s="20" t="str">
        <f aca="false">Akaun!C11</f>
        <v>Inventori Ayam &amp; Produk Sembelihan</v>
      </c>
      <c r="C11" s="20" t="str">
        <f aca="false">Akaun!D11</f>
        <v>Aset</v>
      </c>
      <c r="D11" s="39" t="n">
        <f aca="false">SUMIF(Baris_Transaksi!$C$5:$C$5000,A11,Baris_Transaksi!$D$5:$D$5000)</f>
        <v>0</v>
      </c>
      <c r="E11" s="39" t="n">
        <f aca="false">SUMIF(Baris_Transaksi!$C$5:$C$5000,A11,Baris_Transaksi!$E$5:$E$5000)</f>
        <v>0</v>
      </c>
      <c r="F11" s="39" t="n">
        <f aca="false">IF(D11-E11&gt;0,D11-E11,0)</f>
        <v>0</v>
      </c>
      <c r="G11" s="39" t="n">
        <f aca="false">IF(E11-D11&gt;0,E11-D11,0)</f>
        <v>0</v>
      </c>
      <c r="H11" s="39" t="n">
        <f aca="false">IF(OR(C11="Aset",C11="Perbelanjaan"),D11-E11,E11-D11)</f>
        <v>0</v>
      </c>
    </row>
    <row r="12" customFormat="false" ht="15" hidden="false" customHeight="true" outlineLevel="0" collapsed="false">
      <c r="A12" s="23" t="n">
        <f aca="false">Akaun!A12</f>
        <v>2010</v>
      </c>
      <c r="B12" s="20" t="str">
        <f aca="false">Akaun!C12</f>
        <v>Pelbagai Pemiutang</v>
      </c>
      <c r="C12" s="20" t="str">
        <f aca="false">Akaun!D12</f>
        <v>Liabiliti</v>
      </c>
      <c r="D12" s="39" t="n">
        <f aca="false">SUMIF(Baris_Transaksi!$C$5:$C$5000,A12,Baris_Transaksi!$D$5:$D$5000)</f>
        <v>0</v>
      </c>
      <c r="E12" s="39" t="n">
        <f aca="false">SUMIF(Baris_Transaksi!$C$5:$C$5000,A12,Baris_Transaksi!$E$5:$E$5000)</f>
        <v>0</v>
      </c>
      <c r="F12" s="39" t="n">
        <f aca="false">IF(D12-E12&gt;0,D12-E12,0)</f>
        <v>0</v>
      </c>
      <c r="G12" s="39" t="n">
        <f aca="false">IF(E12-D12&gt;0,E12-D12,0)</f>
        <v>0</v>
      </c>
      <c r="H12" s="39" t="n">
        <f aca="false">IF(OR(C12="Aset",C12="Perbelanjaan"),D12-E12,E12-D12)</f>
        <v>0</v>
      </c>
    </row>
    <row r="13" customFormat="false" ht="15" hidden="false" customHeight="true" outlineLevel="0" collapsed="false">
      <c r="A13" s="23" t="n">
        <f aca="false">Akaun!A13</f>
        <v>2020</v>
      </c>
      <c r="B13" s="20" t="str">
        <f aca="false">Akaun!C13</f>
        <v>Dividen Diisytiharkan</v>
      </c>
      <c r="C13" s="20" t="str">
        <f aca="false">Akaun!D13</f>
        <v>Liabiliti</v>
      </c>
      <c r="D13" s="39" t="n">
        <f aca="false">SUMIF(Baris_Transaksi!$C$5:$C$5000,A13,Baris_Transaksi!$D$5:$D$5000)</f>
        <v>0</v>
      </c>
      <c r="E13" s="39" t="n">
        <f aca="false">SUMIF(Baris_Transaksi!$C$5:$C$5000,A13,Baris_Transaksi!$E$5:$E$5000)</f>
        <v>0</v>
      </c>
      <c r="F13" s="39" t="n">
        <f aca="false">IF(D13-E13&gt;0,D13-E13,0)</f>
        <v>0</v>
      </c>
      <c r="G13" s="39" t="n">
        <f aca="false">IF(E13-D13&gt;0,E13-D13,0)</f>
        <v>0</v>
      </c>
      <c r="H13" s="39" t="n">
        <f aca="false">IF(OR(C13="Aset",C13="Perbelanjaan"),D13-E13,E13-D13)</f>
        <v>0</v>
      </c>
    </row>
    <row r="14" customFormat="false" ht="15" hidden="false" customHeight="true" outlineLevel="0" collapsed="false">
      <c r="A14" s="23" t="n">
        <f aca="false">Akaun!A14</f>
        <v>3010</v>
      </c>
      <c r="B14" s="20" t="str">
        <f aca="false">Akaun!C14</f>
        <v>Modal Syer Ahli</v>
      </c>
      <c r="C14" s="20" t="str">
        <f aca="false">Akaun!D14</f>
        <v>Ekuiti</v>
      </c>
      <c r="D14" s="39" t="n">
        <f aca="false">SUMIF(Baris_Transaksi!$C$5:$C$5000,A14,Baris_Transaksi!$D$5:$D$5000)</f>
        <v>0</v>
      </c>
      <c r="E14" s="39" t="n">
        <f aca="false">SUMIF(Baris_Transaksi!$C$5:$C$5000,A14,Baris_Transaksi!$E$5:$E$5000)</f>
        <v>0</v>
      </c>
      <c r="F14" s="39" t="n">
        <f aca="false">IF(D14-E14&gt;0,D14-E14,0)</f>
        <v>0</v>
      </c>
      <c r="G14" s="39" t="n">
        <f aca="false">IF(E14-D14&gt;0,E14-D14,0)</f>
        <v>0</v>
      </c>
      <c r="H14" s="39" t="n">
        <f aca="false">IF(OR(C14="Aset",C14="Perbelanjaan"),D14-E14,E14-D14)</f>
        <v>0</v>
      </c>
    </row>
    <row r="15" customFormat="false" ht="15" hidden="false" customHeight="true" outlineLevel="0" collapsed="false">
      <c r="A15" s="23" t="n">
        <f aca="false">Akaun!A15</f>
        <v>3020</v>
      </c>
      <c r="B15" s="20" t="str">
        <f aca="false">Akaun!C15</f>
        <v>Rizab Statutori</v>
      </c>
      <c r="C15" s="20" t="str">
        <f aca="false">Akaun!D15</f>
        <v>Ekuiti</v>
      </c>
      <c r="D15" s="39" t="n">
        <f aca="false">SUMIF(Baris_Transaksi!$C$5:$C$5000,A15,Baris_Transaksi!$D$5:$D$5000)</f>
        <v>0</v>
      </c>
      <c r="E15" s="39" t="n">
        <f aca="false">SUMIF(Baris_Transaksi!$C$5:$C$5000,A15,Baris_Transaksi!$E$5:$E$5000)</f>
        <v>0</v>
      </c>
      <c r="F15" s="39" t="n">
        <f aca="false">IF(D15-E15&gt;0,D15-E15,0)</f>
        <v>0</v>
      </c>
      <c r="G15" s="39" t="n">
        <f aca="false">IF(E15-D15&gt;0,E15-D15,0)</f>
        <v>0</v>
      </c>
      <c r="H15" s="39" t="n">
        <f aca="false">IF(OR(C15="Aset",C15="Perbelanjaan"),D15-E15,E15-D15)</f>
        <v>0</v>
      </c>
    </row>
    <row r="16" customFormat="false" ht="15" hidden="false" customHeight="true" outlineLevel="0" collapsed="false">
      <c r="A16" s="23" t="n">
        <f aca="false">Akaun!A16</f>
        <v>3030</v>
      </c>
      <c r="B16" s="20" t="str">
        <f aca="false">Akaun!C16</f>
        <v>Lebihan Terkumpul</v>
      </c>
      <c r="C16" s="20" t="str">
        <f aca="false">Akaun!D16</f>
        <v>Ekuiti</v>
      </c>
      <c r="D16" s="39" t="n">
        <f aca="false">SUMIF(Baris_Transaksi!$C$5:$C$5000,A16,Baris_Transaksi!$D$5:$D$5000)</f>
        <v>0</v>
      </c>
      <c r="E16" s="39" t="n">
        <f aca="false">SUMIF(Baris_Transaksi!$C$5:$C$5000,A16,Baris_Transaksi!$E$5:$E$5000)</f>
        <v>0</v>
      </c>
      <c r="F16" s="39" t="n">
        <f aca="false">IF(D16-E16&gt;0,D16-E16,0)</f>
        <v>0</v>
      </c>
      <c r="G16" s="39" t="n">
        <f aca="false">IF(E16-D16&gt;0,E16-D16,0)</f>
        <v>0</v>
      </c>
      <c r="H16" s="39" t="n">
        <f aca="false">IF(OR(C16="Aset",C16="Perbelanjaan"),D16-E16,E16-D16)</f>
        <v>0</v>
      </c>
    </row>
    <row r="17" customFormat="false" ht="15" hidden="false" customHeight="true" outlineLevel="0" collapsed="false">
      <c r="A17" s="23" t="n">
        <f aca="false">Akaun!A17</f>
        <v>4010</v>
      </c>
      <c r="B17" s="20" t="str">
        <f aca="false">Akaun!C17</f>
        <v>Fi Masuk</v>
      </c>
      <c r="C17" s="20" t="str">
        <f aca="false">Akaun!D17</f>
        <v>Hasil</v>
      </c>
      <c r="D17" s="39" t="n">
        <f aca="false">SUMIF(Baris_Transaksi!$C$5:$C$5000,A17,Baris_Transaksi!$D$5:$D$5000)</f>
        <v>0</v>
      </c>
      <c r="E17" s="39" t="n">
        <f aca="false">SUMIF(Baris_Transaksi!$C$5:$C$5000,A17,Baris_Transaksi!$E$5:$E$5000)</f>
        <v>0</v>
      </c>
      <c r="F17" s="39" t="n">
        <f aca="false">IF(D17-E17&gt;0,D17-E17,0)</f>
        <v>0</v>
      </c>
      <c r="G17" s="39" t="n">
        <f aca="false">IF(E17-D17&gt;0,E17-D17,0)</f>
        <v>0</v>
      </c>
      <c r="H17" s="39" t="n">
        <f aca="false">IF(OR(C17="Aset",C17="Perbelanjaan"),D17-E17,E17-D17)</f>
        <v>0</v>
      </c>
    </row>
    <row r="18" customFormat="false" ht="15" hidden="false" customHeight="true" outlineLevel="0" collapsed="false">
      <c r="A18" s="23" t="n">
        <f aca="false">Akaun!A18</f>
        <v>4020</v>
      </c>
      <c r="B18" s="20" t="str">
        <f aca="false">Akaun!C18</f>
        <v>Faedah Bank</v>
      </c>
      <c r="C18" s="20" t="str">
        <f aca="false">Akaun!D18</f>
        <v>Hasil</v>
      </c>
      <c r="D18" s="39" t="n">
        <f aca="false">SUMIF(Baris_Transaksi!$C$5:$C$5000,A18,Baris_Transaksi!$D$5:$D$5000)</f>
        <v>0</v>
      </c>
      <c r="E18" s="39" t="n">
        <f aca="false">SUMIF(Baris_Transaksi!$C$5:$C$5000,A18,Baris_Transaksi!$E$5:$E$5000)</f>
        <v>0</v>
      </c>
      <c r="F18" s="39" t="n">
        <f aca="false">IF(D18-E18&gt;0,D18-E18,0)</f>
        <v>0</v>
      </c>
      <c r="G18" s="39" t="n">
        <f aca="false">IF(E18-D18&gt;0,E18-D18,0)</f>
        <v>0</v>
      </c>
      <c r="H18" s="39" t="n">
        <f aca="false">IF(OR(C18="Aset",C18="Perbelanjaan"),D18-E18,E18-D18)</f>
        <v>0</v>
      </c>
    </row>
    <row r="19" customFormat="false" ht="15" hidden="false" customHeight="true" outlineLevel="0" collapsed="false">
      <c r="A19" s="23" t="n">
        <f aca="false">Akaun!A19</f>
        <v>4030</v>
      </c>
      <c r="B19" s="20" t="str">
        <f aca="false">Akaun!C19</f>
        <v>Hibah Bank</v>
      </c>
      <c r="C19" s="20" t="str">
        <f aca="false">Akaun!D19</f>
        <v>Hasil</v>
      </c>
      <c r="D19" s="39" t="n">
        <f aca="false">SUMIF(Baris_Transaksi!$C$5:$C$5000,A19,Baris_Transaksi!$D$5:$D$5000)</f>
        <v>0</v>
      </c>
      <c r="E19" s="39" t="n">
        <f aca="false">SUMIF(Baris_Transaksi!$C$5:$C$5000,A19,Baris_Transaksi!$E$5:$E$5000)</f>
        <v>0</v>
      </c>
      <c r="F19" s="39" t="n">
        <f aca="false">IF(D19-E19&gt;0,D19-E19,0)</f>
        <v>0</v>
      </c>
      <c r="G19" s="39" t="n">
        <f aca="false">IF(E19-D19&gt;0,E19-D19,0)</f>
        <v>0</v>
      </c>
      <c r="H19" s="39" t="n">
        <f aca="false">IF(OR(C19="Aset",C19="Perbelanjaan"),D19-E19,E19-D19)</f>
        <v>0</v>
      </c>
    </row>
    <row r="20" customFormat="false" ht="15" hidden="false" customHeight="true" outlineLevel="0" collapsed="false">
      <c r="A20" s="23" t="n">
        <f aca="false">Akaun!A20</f>
        <v>4040</v>
      </c>
      <c r="B20" s="20" t="str">
        <f aca="false">Akaun!C20</f>
        <v>Jualan Runcit</v>
      </c>
      <c r="C20" s="20" t="str">
        <f aca="false">Akaun!D20</f>
        <v>Hasil</v>
      </c>
      <c r="D20" s="39" t="n">
        <f aca="false">SUMIF(Baris_Transaksi!$C$5:$C$5000,A20,Baris_Transaksi!$D$5:$D$5000)</f>
        <v>0</v>
      </c>
      <c r="E20" s="39" t="n">
        <f aca="false">SUMIF(Baris_Transaksi!$C$5:$C$5000,A20,Baris_Transaksi!$E$5:$E$5000)</f>
        <v>0</v>
      </c>
      <c r="F20" s="39" t="n">
        <f aca="false">IF(D20-E20&gt;0,D20-E20,0)</f>
        <v>0</v>
      </c>
      <c r="G20" s="39" t="n">
        <f aca="false">IF(E20-D20&gt;0,E20-D20,0)</f>
        <v>0</v>
      </c>
      <c r="H20" s="39" t="n">
        <f aca="false">IF(OR(C20="Aset",C20="Perbelanjaan"),D20-E20,E20-D20)</f>
        <v>0</v>
      </c>
    </row>
    <row r="21" customFormat="false" ht="15" hidden="false" customHeight="true" outlineLevel="0" collapsed="false">
      <c r="A21" s="23" t="n">
        <f aca="false">Akaun!A21</f>
        <v>4050</v>
      </c>
      <c r="B21" s="20" t="str">
        <f aca="false">Akaun!C21</f>
        <v>Pendapatan Perkhidmatan</v>
      </c>
      <c r="C21" s="20" t="str">
        <f aca="false">Akaun!D21</f>
        <v>Hasil</v>
      </c>
      <c r="D21" s="39" t="n">
        <f aca="false">SUMIF(Baris_Transaksi!$C$5:$C$5000,A21,Baris_Transaksi!$D$5:$D$5000)</f>
        <v>0</v>
      </c>
      <c r="E21" s="39" t="n">
        <f aca="false">SUMIF(Baris_Transaksi!$C$5:$C$5000,A21,Baris_Transaksi!$E$5:$E$5000)</f>
        <v>0</v>
      </c>
      <c r="F21" s="39" t="n">
        <f aca="false">IF(D21-E21&gt;0,D21-E21,0)</f>
        <v>0</v>
      </c>
      <c r="G21" s="39" t="n">
        <f aca="false">IF(E21-D21&gt;0,E21-D21,0)</f>
        <v>0</v>
      </c>
      <c r="H21" s="39" t="n">
        <f aca="false">IF(OR(C21="Aset",C21="Perbelanjaan"),D21-E21,E21-D21)</f>
        <v>0</v>
      </c>
    </row>
    <row r="22" customFormat="false" ht="15" hidden="false" customHeight="true" outlineLevel="0" collapsed="false">
      <c r="A22" s="23" t="n">
        <f aca="false">Akaun!A22</f>
        <v>4060</v>
      </c>
      <c r="B22" s="20" t="str">
        <f aca="false">Akaun!C22</f>
        <v>Pendapatan Latihan &amp; Kursus</v>
      </c>
      <c r="C22" s="20" t="str">
        <f aca="false">Akaun!D22</f>
        <v>Hasil</v>
      </c>
      <c r="D22" s="39" t="n">
        <f aca="false">SUMIF(Baris_Transaksi!$C$5:$C$5000,A22,Baris_Transaksi!$D$5:$D$5000)</f>
        <v>0</v>
      </c>
      <c r="E22" s="39" t="n">
        <f aca="false">SUMIF(Baris_Transaksi!$C$5:$C$5000,A22,Baris_Transaksi!$E$5:$E$5000)</f>
        <v>0</v>
      </c>
      <c r="F22" s="39" t="n">
        <f aca="false">IF(D22-E22&gt;0,D22-E22,0)</f>
        <v>0</v>
      </c>
      <c r="G22" s="39" t="n">
        <f aca="false">IF(E22-D22&gt;0,E22-D22,0)</f>
        <v>0</v>
      </c>
      <c r="H22" s="39" t="n">
        <f aca="false">IF(OR(C22="Aset",C22="Perbelanjaan"),D22-E22,E22-D22)</f>
        <v>0</v>
      </c>
    </row>
    <row r="23" customFormat="false" ht="15" hidden="false" customHeight="true" outlineLevel="0" collapsed="false">
      <c r="A23" s="20" t="n">
        <f aca="false">Akaun!A23</f>
        <v>4070</v>
      </c>
      <c r="B23" s="20" t="str">
        <f aca="false">Akaun!C23</f>
        <v>Jualan Makanan &amp; Minuman</v>
      </c>
      <c r="C23" s="20" t="str">
        <f aca="false">Akaun!D23</f>
        <v>Hasil</v>
      </c>
      <c r="D23" s="39" t="n">
        <f aca="false">SUMIF(Baris_Transaksi!$C$5:$C$5000,A23,Baris_Transaksi!$D$5:$D$5000)</f>
        <v>0</v>
      </c>
      <c r="E23" s="39" t="n">
        <f aca="false">SUMIF(Baris_Transaksi!$C$5:$C$5000,A23,Baris_Transaksi!$E$5:$E$5000)</f>
        <v>0</v>
      </c>
      <c r="F23" s="39" t="n">
        <f aca="false">IF(D23-E23&gt;0,D23-E23,0)</f>
        <v>0</v>
      </c>
      <c r="G23" s="39" t="n">
        <f aca="false">IF(E23-D23&gt;0,E23-D23,0)</f>
        <v>0</v>
      </c>
      <c r="H23" s="39" t="n">
        <f aca="false">IF(OR(C23="Aset",C23="Perbelanjaan"),D23-E23,E23-D23)</f>
        <v>0</v>
      </c>
    </row>
    <row r="24" customFormat="false" ht="15" hidden="false" customHeight="true" outlineLevel="0" collapsed="false">
      <c r="A24" s="20" t="n">
        <f aca="false">Akaun!A24</f>
        <v>4080</v>
      </c>
      <c r="B24" s="20" t="str">
        <f aca="false">Akaun!C24</f>
        <v>Jualan Ayam &amp; Produk Sembelihan</v>
      </c>
      <c r="C24" s="20" t="str">
        <f aca="false">Akaun!D24</f>
        <v>Hasil</v>
      </c>
      <c r="D24" s="39" t="n">
        <f aca="false">SUMIF(Baris_Transaksi!$C$5:$C$5000,A24,Baris_Transaksi!$D$5:$D$5000)</f>
        <v>0</v>
      </c>
      <c r="E24" s="39" t="n">
        <f aca="false">SUMIF(Baris_Transaksi!$C$5:$C$5000,A24,Baris_Transaksi!$E$5:$E$5000)</f>
        <v>0</v>
      </c>
      <c r="F24" s="39" t="n">
        <f aca="false">IF(D24-E24&gt;0,D24-E24,0)</f>
        <v>0</v>
      </c>
      <c r="G24" s="39" t="n">
        <f aca="false">IF(E24-D24&gt;0,E24-D24,0)</f>
        <v>0</v>
      </c>
      <c r="H24" s="39" t="n">
        <f aca="false">IF(OR(C24="Aset",C24="Perbelanjaan"),D24-E24,E24-D24)</f>
        <v>0</v>
      </c>
    </row>
    <row r="25" customFormat="false" ht="15" hidden="false" customHeight="true" outlineLevel="0" collapsed="false">
      <c r="A25" s="20" t="n">
        <f aca="false">Akaun!A25</f>
        <v>5010</v>
      </c>
      <c r="B25" s="20" t="str">
        <f aca="false">Akaun!C25</f>
        <v>Perbelanjaan Pejabat</v>
      </c>
      <c r="C25" s="20" t="str">
        <f aca="false">Akaun!D25</f>
        <v>Perbelanjaan</v>
      </c>
      <c r="D25" s="39" t="n">
        <f aca="false">SUMIF(Baris_Transaksi!$C$5:$C$5000,A25,Baris_Transaksi!$D$5:$D$5000)</f>
        <v>0</v>
      </c>
      <c r="E25" s="39" t="n">
        <f aca="false">SUMIF(Baris_Transaksi!$C$5:$C$5000,A25,Baris_Transaksi!$E$5:$E$5000)</f>
        <v>0</v>
      </c>
      <c r="F25" s="39" t="n">
        <f aca="false">IF(D25-E25&gt;0,D25-E25,0)</f>
        <v>0</v>
      </c>
      <c r="G25" s="39" t="n">
        <f aca="false">IF(E25-D25&gt;0,E25-D25,0)</f>
        <v>0</v>
      </c>
      <c r="H25" s="39" t="n">
        <f aca="false">IF(OR(C25="Aset",C25="Perbelanjaan"),D25-E25,E25-D25)</f>
        <v>0</v>
      </c>
    </row>
    <row r="26" customFormat="false" ht="15" hidden="false" customHeight="true" outlineLevel="0" collapsed="false">
      <c r="A26" s="20" t="n">
        <f aca="false">Akaun!A26</f>
        <v>5020</v>
      </c>
      <c r="B26" s="20" t="str">
        <f aca="false">Akaun!C26</f>
        <v>Perbelanjaan Lembaga</v>
      </c>
      <c r="C26" s="20" t="str">
        <f aca="false">Akaun!D26</f>
        <v>Perbelanjaan</v>
      </c>
      <c r="D26" s="39" t="n">
        <f aca="false">SUMIF(Baris_Transaksi!$C$5:$C$5000,A26,Baris_Transaksi!$D$5:$D$5000)</f>
        <v>0</v>
      </c>
      <c r="E26" s="39" t="n">
        <f aca="false">SUMIF(Baris_Transaksi!$C$5:$C$5000,A26,Baris_Transaksi!$E$5:$E$5000)</f>
        <v>0</v>
      </c>
      <c r="F26" s="39" t="n">
        <f aca="false">IF(D26-E26&gt;0,D26-E26,0)</f>
        <v>0</v>
      </c>
      <c r="G26" s="39" t="n">
        <f aca="false">IF(E26-D26&gt;0,E26-D26,0)</f>
        <v>0</v>
      </c>
      <c r="H26" s="39" t="n">
        <f aca="false">IF(OR(C26="Aset",C26="Perbelanjaan"),D26-E26,E26-D26)</f>
        <v>0</v>
      </c>
    </row>
    <row r="27" customFormat="false" ht="15" hidden="false" customHeight="true" outlineLevel="0" collapsed="false">
      <c r="A27" s="20" t="n">
        <f aca="false">Akaun!A27</f>
        <v>5030</v>
      </c>
      <c r="B27" s="20" t="str">
        <f aca="false">Akaun!C27</f>
        <v>Gaji dan Elaun</v>
      </c>
      <c r="C27" s="20" t="str">
        <f aca="false">Akaun!D27</f>
        <v>Perbelanjaan</v>
      </c>
      <c r="D27" s="39" t="n">
        <f aca="false">SUMIF(Baris_Transaksi!$C$5:$C$5000,A27,Baris_Transaksi!$D$5:$D$5000)</f>
        <v>0</v>
      </c>
      <c r="E27" s="39" t="n">
        <f aca="false">SUMIF(Baris_Transaksi!$C$5:$C$5000,A27,Baris_Transaksi!$E$5:$E$5000)</f>
        <v>0</v>
      </c>
      <c r="F27" s="39" t="n">
        <f aca="false">IF(D27-E27&gt;0,D27-E27,0)</f>
        <v>0</v>
      </c>
      <c r="G27" s="39" t="n">
        <f aca="false">IF(E27-D27&gt;0,E27-D27,0)</f>
        <v>0</v>
      </c>
      <c r="H27" s="39" t="n">
        <f aca="false">IF(OR(C27="Aset",C27="Perbelanjaan"),D27-E27,E27-D27)</f>
        <v>0</v>
      </c>
    </row>
    <row r="28" customFormat="false" ht="15" hidden="false" customHeight="true" outlineLevel="0" collapsed="false">
      <c r="A28" s="20" t="n">
        <f aca="false">Akaun!A28</f>
        <v>5040</v>
      </c>
      <c r="B28" s="20" t="str">
        <f aca="false">Akaun!C28</f>
        <v>Alatulis dan Percetakan</v>
      </c>
      <c r="C28" s="20" t="str">
        <f aca="false">Akaun!D28</f>
        <v>Perbelanjaan</v>
      </c>
      <c r="D28" s="39" t="n">
        <f aca="false">SUMIF(Baris_Transaksi!$C$5:$C$5000,A28,Baris_Transaksi!$D$5:$D$5000)</f>
        <v>0</v>
      </c>
      <c r="E28" s="39" t="n">
        <f aca="false">SUMIF(Baris_Transaksi!$C$5:$C$5000,A28,Baris_Transaksi!$E$5:$E$5000)</f>
        <v>0</v>
      </c>
      <c r="F28" s="39" t="n">
        <f aca="false">IF(D28-E28&gt;0,D28-E28,0)</f>
        <v>0</v>
      </c>
      <c r="G28" s="39" t="n">
        <f aca="false">IF(E28-D28&gt;0,E28-D28,0)</f>
        <v>0</v>
      </c>
      <c r="H28" s="39" t="n">
        <f aca="false">IF(OR(C28="Aset",C28="Perbelanjaan"),D28-E28,E28-D28)</f>
        <v>0</v>
      </c>
    </row>
    <row r="29" customFormat="false" ht="15" hidden="false" customHeight="true" outlineLevel="0" collapsed="false">
      <c r="A29" s="20" t="n">
        <f aca="false">Akaun!A29</f>
        <v>5050</v>
      </c>
      <c r="B29" s="20" t="str">
        <f aca="false">Akaun!C29</f>
        <v>Fi Juruaudit</v>
      </c>
      <c r="C29" s="20" t="str">
        <f aca="false">Akaun!D29</f>
        <v>Perbelanjaan</v>
      </c>
      <c r="D29" s="39" t="n">
        <f aca="false">SUMIF(Baris_Transaksi!$C$5:$C$5000,A29,Baris_Transaksi!$D$5:$D$5000)</f>
        <v>0</v>
      </c>
      <c r="E29" s="39" t="n">
        <f aca="false">SUMIF(Baris_Transaksi!$C$5:$C$5000,A29,Baris_Transaksi!$E$5:$E$5000)</f>
        <v>0</v>
      </c>
      <c r="F29" s="39" t="n">
        <f aca="false">IF(D29-E29&gt;0,D29-E29,0)</f>
        <v>0</v>
      </c>
      <c r="G29" s="39" t="n">
        <f aca="false">IF(E29-D29&gt;0,E29-D29,0)</f>
        <v>0</v>
      </c>
      <c r="H29" s="39" t="n">
        <f aca="false">IF(OR(C29="Aset",C29="Perbelanjaan"),D29-E29,E29-D29)</f>
        <v>0</v>
      </c>
    </row>
    <row r="30" customFormat="false" ht="15" hidden="false" customHeight="true" outlineLevel="0" collapsed="false">
      <c r="A30" s="20" t="n">
        <f aca="false">Akaun!A30</f>
        <v>5060</v>
      </c>
      <c r="B30" s="20" t="str">
        <f aca="false">Akaun!C30</f>
        <v>Fi Perakaunan</v>
      </c>
      <c r="C30" s="20" t="str">
        <f aca="false">Akaun!D30</f>
        <v>Perbelanjaan</v>
      </c>
      <c r="D30" s="39" t="n">
        <f aca="false">SUMIF(Baris_Transaksi!$C$5:$C$5000,A30,Baris_Transaksi!$D$5:$D$5000)</f>
        <v>0</v>
      </c>
      <c r="E30" s="39" t="n">
        <f aca="false">SUMIF(Baris_Transaksi!$C$5:$C$5000,A30,Baris_Transaksi!$E$5:$E$5000)</f>
        <v>0</v>
      </c>
      <c r="F30" s="39" t="n">
        <f aca="false">IF(D30-E30&gt;0,D30-E30,0)</f>
        <v>0</v>
      </c>
      <c r="G30" s="39" t="n">
        <f aca="false">IF(E30-D30&gt;0,E30-D30,0)</f>
        <v>0</v>
      </c>
      <c r="H30" s="39" t="n">
        <f aca="false">IF(OR(C30="Aset",C30="Perbelanjaan"),D30-E30,E30-D30)</f>
        <v>0</v>
      </c>
    </row>
    <row r="31" customFormat="false" ht="15" hidden="false" customHeight="true" outlineLevel="0" collapsed="false">
      <c r="A31" s="20" t="n">
        <f aca="false">Akaun!A31</f>
        <v>5070</v>
      </c>
      <c r="B31" s="20" t="str">
        <f aca="false">Akaun!C31</f>
        <v>Caj Bank</v>
      </c>
      <c r="C31" s="20" t="str">
        <f aca="false">Akaun!D31</f>
        <v>Perbelanjaan</v>
      </c>
      <c r="D31" s="39" t="n">
        <f aca="false">SUMIF(Baris_Transaksi!$C$5:$C$5000,A31,Baris_Transaksi!$D$5:$D$5000)</f>
        <v>0</v>
      </c>
      <c r="E31" s="39" t="n">
        <f aca="false">SUMIF(Baris_Transaksi!$C$5:$C$5000,A31,Baris_Transaksi!$E$5:$E$5000)</f>
        <v>0</v>
      </c>
      <c r="F31" s="39" t="n">
        <f aca="false">IF(D31-E31&gt;0,D31-E31,0)</f>
        <v>0</v>
      </c>
      <c r="G31" s="39" t="n">
        <f aca="false">IF(E31-D31&gt;0,E31-D31,0)</f>
        <v>0</v>
      </c>
      <c r="H31" s="39" t="n">
        <f aca="false">IF(OR(C31="Aset",C31="Perbelanjaan"),D31-E31,E31-D31)</f>
        <v>0</v>
      </c>
    </row>
    <row r="32" customFormat="false" ht="15" hidden="false" customHeight="true" outlineLevel="0" collapsed="false">
      <c r="A32" s="20" t="n">
        <f aca="false">Akaun!A32</f>
        <v>5080</v>
      </c>
      <c r="B32" s="20" t="str">
        <f aca="false">Akaun!C32</f>
        <v>Perbelanjaan Mesyuarat Agung Tahunan</v>
      </c>
      <c r="C32" s="20" t="str">
        <f aca="false">Akaun!D32</f>
        <v>Perbelanjaan</v>
      </c>
      <c r="D32" s="39" t="n">
        <f aca="false">SUMIF(Baris_Transaksi!$C$5:$C$5000,A32,Baris_Transaksi!$D$5:$D$5000)</f>
        <v>0</v>
      </c>
      <c r="E32" s="39" t="n">
        <f aca="false">SUMIF(Baris_Transaksi!$C$5:$C$5000,A32,Baris_Transaksi!$E$5:$E$5000)</f>
        <v>0</v>
      </c>
      <c r="F32" s="39" t="n">
        <f aca="false">IF(D32-E32&gt;0,D32-E32,0)</f>
        <v>0</v>
      </c>
      <c r="G32" s="39" t="n">
        <f aca="false">IF(E32-D32&gt;0,E32-D32,0)</f>
        <v>0</v>
      </c>
      <c r="H32" s="39" t="n">
        <f aca="false">IF(OR(C32="Aset",C32="Perbelanjaan"),D32-E32,E32-D32)</f>
        <v>0</v>
      </c>
    </row>
    <row r="33" customFormat="false" ht="15" hidden="false" customHeight="true" outlineLevel="0" collapsed="false">
      <c r="A33" s="20" t="n">
        <f aca="false">Akaun!A33</f>
        <v>5090</v>
      </c>
      <c r="B33" s="20" t="str">
        <f aca="false">Akaun!C33</f>
        <v>Perbelanjaan Mesyuarat Agung Khas</v>
      </c>
      <c r="C33" s="20" t="str">
        <f aca="false">Akaun!D33</f>
        <v>Perbelanjaan</v>
      </c>
      <c r="D33" s="39" t="n">
        <f aca="false">SUMIF(Baris_Transaksi!$C$5:$C$5000,A33,Baris_Transaksi!$D$5:$D$5000)</f>
        <v>0</v>
      </c>
      <c r="E33" s="39" t="n">
        <f aca="false">SUMIF(Baris_Transaksi!$C$5:$C$5000,A33,Baris_Transaksi!$E$5:$E$5000)</f>
        <v>0</v>
      </c>
      <c r="F33" s="39" t="n">
        <f aca="false">IF(D33-E33&gt;0,D33-E33,0)</f>
        <v>0</v>
      </c>
      <c r="G33" s="39" t="n">
        <f aca="false">IF(E33-D33&gt;0,E33-D33,0)</f>
        <v>0</v>
      </c>
      <c r="H33" s="39" t="n">
        <f aca="false">IF(OR(C33="Aset",C33="Perbelanjaan"),D33-E33,E33-D33)</f>
        <v>0</v>
      </c>
    </row>
    <row r="34" customFormat="false" ht="15" hidden="false" customHeight="true" outlineLevel="0" collapsed="false">
      <c r="A34" s="20" t="n">
        <f aca="false">Akaun!A34</f>
        <v>5100</v>
      </c>
      <c r="B34" s="20" t="str">
        <f aca="false">Akaun!C34</f>
        <v>Honorarium ALK</v>
      </c>
      <c r="C34" s="20" t="str">
        <f aca="false">Akaun!D34</f>
        <v>Perbelanjaan</v>
      </c>
      <c r="D34" s="39" t="n">
        <f aca="false">SUMIF(Baris_Transaksi!$C$5:$C$5000,A34,Baris_Transaksi!$D$5:$D$5000)</f>
        <v>0</v>
      </c>
      <c r="E34" s="39" t="n">
        <f aca="false">SUMIF(Baris_Transaksi!$C$5:$C$5000,A34,Baris_Transaksi!$E$5:$E$5000)</f>
        <v>0</v>
      </c>
      <c r="F34" s="39" t="n">
        <f aca="false">IF(D34-E34&gt;0,D34-E34,0)</f>
        <v>0</v>
      </c>
      <c r="G34" s="39" t="n">
        <f aca="false">IF(E34-D34&gt;0,E34-D34,0)</f>
        <v>0</v>
      </c>
      <c r="H34" s="39" t="n">
        <f aca="false">IF(OR(C34="Aset",C34="Perbelanjaan"),D34-E34,E34-D34)</f>
        <v>0</v>
      </c>
    </row>
    <row r="35" customFormat="false" ht="15" hidden="false" customHeight="true" outlineLevel="0" collapsed="false">
      <c r="A35" s="20" t="n">
        <f aca="false">Akaun!A35</f>
        <v>5110</v>
      </c>
      <c r="B35" s="20" t="str">
        <f aca="false">Akaun!C35</f>
        <v>Cukai Pendapatan</v>
      </c>
      <c r="C35" s="20" t="str">
        <f aca="false">Akaun!D35</f>
        <v>Perbelanjaan</v>
      </c>
      <c r="D35" s="39" t="n">
        <f aca="false">SUMIF(Baris_Transaksi!$C$5:$C$5000,A35,Baris_Transaksi!$D$5:$D$5000)</f>
        <v>0</v>
      </c>
      <c r="E35" s="39" t="n">
        <f aca="false">SUMIF(Baris_Transaksi!$C$5:$C$5000,A35,Baris_Transaksi!$E$5:$E$5000)</f>
        <v>0</v>
      </c>
      <c r="F35" s="39" t="n">
        <f aca="false">IF(D35-E35&gt;0,D35-E35,0)</f>
        <v>0</v>
      </c>
      <c r="G35" s="39" t="n">
        <f aca="false">IF(E35-D35&gt;0,E35-D35,0)</f>
        <v>0</v>
      </c>
      <c r="H35" s="39" t="n">
        <f aca="false">IF(OR(C35="Aset",C35="Perbelanjaan"),D35-E35,E35-D35)</f>
        <v>0</v>
      </c>
    </row>
    <row r="36" customFormat="false" ht="15" hidden="false" customHeight="true" outlineLevel="0" collapsed="false">
      <c r="A36" s="20" t="n">
        <f aca="false">Akaun!A36</f>
        <v>5120</v>
      </c>
      <c r="B36" s="20" t="str">
        <f aca="false">Akaun!C36</f>
        <v>Zakat</v>
      </c>
      <c r="C36" s="20" t="str">
        <f aca="false">Akaun!D36</f>
        <v>Perbelanjaan</v>
      </c>
      <c r="D36" s="39" t="n">
        <f aca="false">SUMIF(Baris_Transaksi!$C$5:$C$5000,A36,Baris_Transaksi!$D$5:$D$5000)</f>
        <v>0</v>
      </c>
      <c r="E36" s="39" t="n">
        <f aca="false">SUMIF(Baris_Transaksi!$C$5:$C$5000,A36,Baris_Transaksi!$E$5:$E$5000)</f>
        <v>0</v>
      </c>
      <c r="F36" s="39" t="n">
        <f aca="false">IF(D36-E36&gt;0,D36-E36,0)</f>
        <v>0</v>
      </c>
      <c r="G36" s="39" t="n">
        <f aca="false">IF(E36-D36&gt;0,E36-D36,0)</f>
        <v>0</v>
      </c>
      <c r="H36" s="39" t="n">
        <f aca="false">IF(OR(C36="Aset",C36="Perbelanjaan"),D36-E36,E36-D36)</f>
        <v>0</v>
      </c>
    </row>
    <row r="37" customFormat="false" ht="15" hidden="false" customHeight="true" outlineLevel="0" collapsed="false">
      <c r="A37" s="20" t="n">
        <f aca="false">Akaun!A37</f>
        <v>5130</v>
      </c>
      <c r="B37" s="20" t="str">
        <f aca="false">Akaun!C37</f>
        <v>Bayaran KWA Pendidikan Koperasi</v>
      </c>
      <c r="C37" s="20" t="str">
        <f aca="false">Akaun!D37</f>
        <v>Perbelanjaan</v>
      </c>
      <c r="D37" s="39" t="n">
        <f aca="false">SUMIF(Baris_Transaksi!$C$5:$C$5000,A37,Baris_Transaksi!$D$5:$D$5000)</f>
        <v>0</v>
      </c>
      <c r="E37" s="39" t="n">
        <f aca="false">SUMIF(Baris_Transaksi!$C$5:$C$5000,A37,Baris_Transaksi!$E$5:$E$5000)</f>
        <v>0</v>
      </c>
      <c r="F37" s="39" t="n">
        <f aca="false">IF(D37-E37&gt;0,D37-E37,0)</f>
        <v>0</v>
      </c>
      <c r="G37" s="39" t="n">
        <f aca="false">IF(E37-D37&gt;0,E37-D37,0)</f>
        <v>0</v>
      </c>
      <c r="H37" s="39" t="n">
        <f aca="false">IF(OR(C37="Aset",C37="Perbelanjaan"),D37-E37,E37-D37)</f>
        <v>0</v>
      </c>
    </row>
    <row r="38" customFormat="false" ht="15" hidden="false" customHeight="true" outlineLevel="0" collapsed="false">
      <c r="A38" s="20" t="n">
        <f aca="false">Akaun!A38</f>
        <v>5140</v>
      </c>
      <c r="B38" s="20" t="str">
        <f aca="false">Akaun!C38</f>
        <v>Bayaran KWA Pembangunan Koperasi</v>
      </c>
      <c r="C38" s="20" t="str">
        <f aca="false">Akaun!D38</f>
        <v>Perbelanjaan</v>
      </c>
      <c r="D38" s="39" t="n">
        <f aca="false">SUMIF(Baris_Transaksi!$C$5:$C$5000,A38,Baris_Transaksi!$D$5:$D$5000)</f>
        <v>0</v>
      </c>
      <c r="E38" s="39" t="n">
        <f aca="false">SUMIF(Baris_Transaksi!$C$5:$C$5000,A38,Baris_Transaksi!$E$5:$E$5000)</f>
        <v>0</v>
      </c>
      <c r="F38" s="39" t="n">
        <f aca="false">IF(D38-E38&gt;0,D38-E38,0)</f>
        <v>0</v>
      </c>
      <c r="G38" s="39" t="n">
        <f aca="false">IF(E38-D38&gt;0,E38-D38,0)</f>
        <v>0</v>
      </c>
      <c r="H38" s="39" t="n">
        <f aca="false">IF(OR(C38="Aset",C38="Perbelanjaan"),D38-E38,E38-D38)</f>
        <v>0</v>
      </c>
    </row>
    <row r="39" customFormat="false" ht="15" hidden="false" customHeight="true" outlineLevel="0" collapsed="false">
      <c r="A39" s="20" t="n">
        <f aca="false">Akaun!A39</f>
        <v>5150</v>
      </c>
      <c r="B39" s="20" t="str">
        <f aca="false">Akaun!C39</f>
        <v>Internet dan Telefon</v>
      </c>
      <c r="C39" s="20" t="str">
        <f aca="false">Akaun!D39</f>
        <v>Perbelanjaan</v>
      </c>
      <c r="D39" s="39" t="n">
        <f aca="false">SUMIF(Baris_Transaksi!$C$5:$C$5000,A39,Baris_Transaksi!$D$5:$D$5000)</f>
        <v>0</v>
      </c>
      <c r="E39" s="39" t="n">
        <f aca="false">SUMIF(Baris_Transaksi!$C$5:$C$5000,A39,Baris_Transaksi!$E$5:$E$5000)</f>
        <v>0</v>
      </c>
      <c r="F39" s="39" t="n">
        <f aca="false">IF(D39-E39&gt;0,D39-E39,0)</f>
        <v>0</v>
      </c>
      <c r="G39" s="39" t="n">
        <f aca="false">IF(E39-D39&gt;0,E39-D39,0)</f>
        <v>0</v>
      </c>
      <c r="H39" s="39" t="n">
        <f aca="false">IF(OR(C39="Aset",C39="Perbelanjaan"),D39-E39,E39-D39)</f>
        <v>0</v>
      </c>
    </row>
    <row r="40" customFormat="false" ht="15" hidden="false" customHeight="true" outlineLevel="0" collapsed="false">
      <c r="A40" s="20" t="n">
        <f aca="false">Akaun!A40</f>
        <v>5160</v>
      </c>
      <c r="B40" s="20" t="str">
        <f aca="false">Akaun!C40</f>
        <v>Susut Nilai Aset</v>
      </c>
      <c r="C40" s="20" t="str">
        <f aca="false">Akaun!D40</f>
        <v>Perbelanjaan</v>
      </c>
      <c r="D40" s="39" t="n">
        <f aca="false">SUMIF(Baris_Transaksi!$C$5:$C$5000,A40,Baris_Transaksi!$D$5:$D$5000)</f>
        <v>0</v>
      </c>
      <c r="E40" s="39" t="n">
        <f aca="false">SUMIF(Baris_Transaksi!$C$5:$C$5000,A40,Baris_Transaksi!$E$5:$E$5000)</f>
        <v>0</v>
      </c>
      <c r="F40" s="39" t="n">
        <f aca="false">IF(D40-E40&gt;0,D40-E40,0)</f>
        <v>0</v>
      </c>
      <c r="G40" s="39" t="n">
        <f aca="false">IF(E40-D40&gt;0,E40-D40,0)</f>
        <v>0</v>
      </c>
      <c r="H40" s="39" t="n">
        <f aca="false">IF(OR(C40="Aset",C40="Perbelanjaan"),D40-E40,E40-D40)</f>
        <v>0</v>
      </c>
    </row>
    <row r="41" customFormat="false" ht="15" hidden="false" customHeight="true" outlineLevel="0" collapsed="false">
      <c r="A41" s="20" t="n">
        <f aca="false">Akaun!A41</f>
        <v>5170</v>
      </c>
      <c r="B41" s="20" t="str">
        <f aca="false">Akaun!C41</f>
        <v>Pelbagai Perbelanjaan</v>
      </c>
      <c r="C41" s="20" t="str">
        <f aca="false">Akaun!D41</f>
        <v>Perbelanjaan</v>
      </c>
      <c r="D41" s="39" t="n">
        <f aca="false">SUMIF(Baris_Transaksi!$C$5:$C$5000,A41,Baris_Transaksi!$D$5:$D$5000)</f>
        <v>0</v>
      </c>
      <c r="E41" s="39" t="n">
        <f aca="false">SUMIF(Baris_Transaksi!$C$5:$C$5000,A41,Baris_Transaksi!$E$5:$E$5000)</f>
        <v>0</v>
      </c>
      <c r="F41" s="39" t="n">
        <f aca="false">IF(D41-E41&gt;0,D41-E41,0)</f>
        <v>0</v>
      </c>
      <c r="G41" s="39" t="n">
        <f aca="false">IF(E41-D41&gt;0,E41-D41,0)</f>
        <v>0</v>
      </c>
      <c r="H41" s="39" t="n">
        <f aca="false">IF(OR(C41="Aset",C41="Perbelanjaan"),D41-E41,E41-D41)</f>
        <v>0</v>
      </c>
    </row>
    <row r="42" customFormat="false" ht="15" hidden="false" customHeight="true" outlineLevel="0" collapsed="false">
      <c r="A42" s="20" t="n">
        <f aca="false">Akaun!A42</f>
        <v>5180</v>
      </c>
      <c r="B42" s="20" t="str">
        <f aca="false">Akaun!C42</f>
        <v>Belian Runcit</v>
      </c>
      <c r="C42" s="20" t="str">
        <f aca="false">Akaun!D42</f>
        <v>Perbelanjaan</v>
      </c>
      <c r="D42" s="39" t="n">
        <f aca="false">SUMIF(Baris_Transaksi!$C$5:$C$5000,A42,Baris_Transaksi!$D$5:$D$5000)</f>
        <v>0</v>
      </c>
      <c r="E42" s="39" t="n">
        <f aca="false">SUMIF(Baris_Transaksi!$C$5:$C$5000,A42,Baris_Transaksi!$E$5:$E$5000)</f>
        <v>0</v>
      </c>
      <c r="F42" s="39" t="n">
        <f aca="false">IF(D42-E42&gt;0,D42-E42,0)</f>
        <v>0</v>
      </c>
      <c r="G42" s="39" t="n">
        <f aca="false">IF(E42-D42&gt;0,E42-D42,0)</f>
        <v>0</v>
      </c>
      <c r="H42" s="39" t="n">
        <f aca="false">IF(OR(C42="Aset",C42="Perbelanjaan"),D42-E42,E42-D42)</f>
        <v>0</v>
      </c>
    </row>
    <row r="43" customFormat="false" ht="15" hidden="false" customHeight="true" outlineLevel="0" collapsed="false">
      <c r="A43" s="20" t="n">
        <f aca="false">Akaun!A43</f>
        <v>5190</v>
      </c>
      <c r="B43" s="20" t="str">
        <f aca="false">Akaun!C43</f>
        <v>Kos Latihan &amp; Kursus</v>
      </c>
      <c r="C43" s="20" t="str">
        <f aca="false">Akaun!D43</f>
        <v>Perbelanjaan</v>
      </c>
      <c r="D43" s="39" t="n">
        <f aca="false">SUMIF(Baris_Transaksi!$C$5:$C$5000,A43,Baris_Transaksi!$D$5:$D$5000)</f>
        <v>0</v>
      </c>
      <c r="E43" s="39" t="n">
        <f aca="false">SUMIF(Baris_Transaksi!$C$5:$C$5000,A43,Baris_Transaksi!$E$5:$E$5000)</f>
        <v>0</v>
      </c>
      <c r="F43" s="39" t="n">
        <f aca="false">IF(D43-E43&gt;0,D43-E43,0)</f>
        <v>0</v>
      </c>
      <c r="G43" s="39" t="n">
        <f aca="false">IF(E43-D43&gt;0,E43-D43,0)</f>
        <v>0</v>
      </c>
      <c r="H43" s="39" t="n">
        <f aca="false">IF(OR(C43="Aset",C43="Perbelanjaan"),D43-E43,E43-D43)</f>
        <v>0</v>
      </c>
    </row>
    <row r="44" customFormat="false" ht="15" hidden="false" customHeight="true" outlineLevel="0" collapsed="false">
      <c r="A44" s="20" t="n">
        <f aca="false">Akaun!A44</f>
        <v>5200</v>
      </c>
      <c r="B44" s="20" t="str">
        <f aca="false">Akaun!C44</f>
        <v>Kos Bahan Mentah F&amp;B</v>
      </c>
      <c r="C44" s="20" t="str">
        <f aca="false">Akaun!D44</f>
        <v>Perbelanjaan</v>
      </c>
      <c r="D44" s="39" t="n">
        <f aca="false">SUMIF(Baris_Transaksi!$C$5:$C$5000,A44,Baris_Transaksi!$D$5:$D$5000)</f>
        <v>0</v>
      </c>
      <c r="E44" s="39" t="n">
        <f aca="false">SUMIF(Baris_Transaksi!$C$5:$C$5000,A44,Baris_Transaksi!$E$5:$E$5000)</f>
        <v>0</v>
      </c>
      <c r="F44" s="39" t="n">
        <f aca="false">IF(D44-E44&gt;0,D44-E44,0)</f>
        <v>0</v>
      </c>
      <c r="G44" s="39" t="n">
        <f aca="false">IF(E44-D44&gt;0,E44-D44,0)</f>
        <v>0</v>
      </c>
      <c r="H44" s="39" t="n">
        <f aca="false">IF(OR(C44="Aset",C44="Perbelanjaan"),D44-E44,E44-D44)</f>
        <v>0</v>
      </c>
    </row>
    <row r="45" customFormat="false" ht="15" hidden="false" customHeight="true" outlineLevel="0" collapsed="false">
      <c r="A45" s="20" t="n">
        <f aca="false">Akaun!A45</f>
        <v>5210</v>
      </c>
      <c r="B45" s="20" t="str">
        <f aca="false">Akaun!C45</f>
        <v>Belian Ayam Hidup</v>
      </c>
      <c r="C45" s="20" t="str">
        <f aca="false">Akaun!D45</f>
        <v>Perbelanjaan</v>
      </c>
      <c r="D45" s="39" t="n">
        <f aca="false">SUMIF(Baris_Transaksi!$C$5:$C$5000,A45,Baris_Transaksi!$D$5:$D$5000)</f>
        <v>0</v>
      </c>
      <c r="E45" s="39" t="n">
        <f aca="false">SUMIF(Baris_Transaksi!$C$5:$C$5000,A45,Baris_Transaksi!$E$5:$E$5000)</f>
        <v>0</v>
      </c>
      <c r="F45" s="39" t="n">
        <f aca="false">IF(D45-E45&gt;0,D45-E45,0)</f>
        <v>0</v>
      </c>
      <c r="G45" s="39" t="n">
        <f aca="false">IF(E45-D45&gt;0,E45-D45,0)</f>
        <v>0</v>
      </c>
      <c r="H45" s="39" t="n">
        <f aca="false">IF(OR(C45="Aset",C45="Perbelanjaan"),D45-E45,E45-D45)</f>
        <v>0</v>
      </c>
    </row>
    <row r="46" customFormat="false" ht="15" hidden="false" customHeight="true" outlineLevel="0" collapsed="false">
      <c r="A46" s="20" t="n">
        <f aca="false">Akaun!A46</f>
        <v>5220</v>
      </c>
      <c r="B46" s="20" t="str">
        <f aca="false">Akaun!C46</f>
        <v>Kos Sembelihan &amp; Pemprosesan</v>
      </c>
      <c r="C46" s="20" t="str">
        <f aca="false">Akaun!D46</f>
        <v>Perbelanjaan</v>
      </c>
      <c r="D46" s="39" t="n">
        <f aca="false">SUMIF(Baris_Transaksi!$C$5:$C$5000,A46,Baris_Transaksi!$D$5:$D$5000)</f>
        <v>0</v>
      </c>
      <c r="E46" s="39" t="n">
        <f aca="false">SUMIF(Baris_Transaksi!$C$5:$C$5000,A46,Baris_Transaksi!$E$5:$E$5000)</f>
        <v>0</v>
      </c>
      <c r="F46" s="39" t="n">
        <f aca="false">IF(D46-E46&gt;0,D46-E46,0)</f>
        <v>0</v>
      </c>
      <c r="G46" s="39" t="n">
        <f aca="false">IF(E46-D46&gt;0,E46-D46,0)</f>
        <v>0</v>
      </c>
      <c r="H46" s="39" t="n">
        <f aca="false">IF(OR(C46="Aset",C46="Perbelanjaan"),D46-E46,E46-D46)</f>
        <v>0</v>
      </c>
    </row>
    <row r="47" customFormat="false" ht="15" hidden="false" customHeight="true" outlineLevel="0" collapsed="false">
      <c r="A47" s="20" t="n">
        <f aca="false">Akaun!A47</f>
        <v>5230</v>
      </c>
      <c r="B47" s="20" t="str">
        <f aca="false">Akaun!C47</f>
        <v>Fi Pensijilan Halal</v>
      </c>
      <c r="C47" s="20" t="str">
        <f aca="false">Akaun!D47</f>
        <v>Perbelanjaan</v>
      </c>
      <c r="D47" s="39" t="n">
        <f aca="false">SUMIF(Baris_Transaksi!$C$5:$C$5000,A47,Baris_Transaksi!$D$5:$D$5000)</f>
        <v>0</v>
      </c>
      <c r="E47" s="39" t="n">
        <f aca="false">SUMIF(Baris_Transaksi!$C$5:$C$5000,A47,Baris_Transaksi!$E$5:$E$5000)</f>
        <v>0</v>
      </c>
      <c r="F47" s="39" t="n">
        <f aca="false">IF(D47-E47&gt;0,D47-E47,0)</f>
        <v>0</v>
      </c>
      <c r="G47" s="39" t="n">
        <f aca="false">IF(E47-D47&gt;0,E47-D47,0)</f>
        <v>0</v>
      </c>
      <c r="H47" s="39" t="n">
        <f aca="false">IF(OR(C47="Aset",C47="Perbelanjaan"),D47-E47,E47-D47)</f>
        <v>0</v>
      </c>
    </row>
    <row r="48" customFormat="false" ht="15" hidden="false" customHeight="true" outlineLevel="0" collapsed="false">
      <c r="A48" s="20" t="n">
        <f aca="false">Akaun!A48</f>
        <v>1080</v>
      </c>
      <c r="B48" s="20" t="str">
        <f aca="false">Akaun!C48</f>
        <v>Wang Runcit</v>
      </c>
      <c r="C48" s="20" t="str">
        <f aca="false">Akaun!D48</f>
        <v>Aset</v>
      </c>
      <c r="D48" s="39" t="n">
        <f aca="false">SUMIF(Baris_Transaksi!$C$5:$C$5000,A48,Baris_Transaksi!$D$5:$D$5000)</f>
        <v>0</v>
      </c>
      <c r="E48" s="39" t="n">
        <f aca="false">SUMIF(Baris_Transaksi!$C$5:$C$5000,A48,Baris_Transaksi!$E$5:$E$5000)</f>
        <v>0</v>
      </c>
      <c r="F48" s="39" t="n">
        <f aca="false">IF(D48-E48&gt;0,D48-E48,0)</f>
        <v>0</v>
      </c>
      <c r="G48" s="39" t="n">
        <f aca="false">IF(E48-D48&gt;0,E48-D48,0)</f>
        <v>0</v>
      </c>
      <c r="H48" s="39" t="n">
        <f aca="false">IF(OR(C48="Aset",C48="Perbelanjaan"),D48-E48,E48-D48)</f>
        <v>0</v>
      </c>
    </row>
    <row r="49" customFormat="false" ht="15" hidden="false" customHeight="true" outlineLevel="0" collapsed="false">
      <c r="A49" s="20" t="n">
        <f aca="false">Akaun!A49</f>
        <v>1090</v>
      </c>
      <c r="B49" s="20" t="str">
        <f aca="false">Akaun!C49</f>
        <v>Pelbagai Penghutang</v>
      </c>
      <c r="C49" s="20" t="str">
        <f aca="false">Akaun!D49</f>
        <v>Aset</v>
      </c>
      <c r="D49" s="39" t="n">
        <f aca="false">SUMIF(Baris_Transaksi!$C$5:$C$5000,A49,Baris_Transaksi!$D$5:$D$5000)</f>
        <v>0</v>
      </c>
      <c r="E49" s="39" t="n">
        <f aca="false">SUMIF(Baris_Transaksi!$C$5:$C$5000,A49,Baris_Transaksi!$E$5:$E$5000)</f>
        <v>0</v>
      </c>
      <c r="F49" s="39" t="n">
        <f aca="false">IF(D49-E49&gt;0,D49-E49,0)</f>
        <v>0</v>
      </c>
      <c r="G49" s="39" t="n">
        <f aca="false">IF(E49-D49&gt;0,E49-D49,0)</f>
        <v>0</v>
      </c>
      <c r="H49" s="39" t="n">
        <f aca="false">IF(OR(C49="Aset",C49="Perbelanjaan"),D49-E49,E49-D49)</f>
        <v>0</v>
      </c>
    </row>
    <row r="50" customFormat="false" ht="15" hidden="false" customHeight="true" outlineLevel="0" collapsed="false">
      <c r="A50" s="20" t="n">
        <f aca="false">Akaun!A50</f>
        <v>1100</v>
      </c>
      <c r="B50" s="20" t="str">
        <f aca="false">Akaun!C50</f>
        <v>Perbelanjaan Prabayar</v>
      </c>
      <c r="C50" s="20" t="str">
        <f aca="false">Akaun!D50</f>
        <v>Aset</v>
      </c>
      <c r="D50" s="39" t="n">
        <f aca="false">SUMIF(Baris_Transaksi!$C$5:$C$5000,A50,Baris_Transaksi!$D$5:$D$5000)</f>
        <v>0</v>
      </c>
      <c r="E50" s="39" t="n">
        <f aca="false">SUMIF(Baris_Transaksi!$C$5:$C$5000,A50,Baris_Transaksi!$E$5:$E$5000)</f>
        <v>0</v>
      </c>
      <c r="F50" s="39" t="n">
        <f aca="false">IF(D50-E50&gt;0,D50-E50,0)</f>
        <v>0</v>
      </c>
      <c r="G50" s="39" t="n">
        <f aca="false">IF(E50-D50&gt;0,E50-D50,0)</f>
        <v>0</v>
      </c>
      <c r="H50" s="39" t="n">
        <f aca="false">IF(OR(C50="Aset",C50="Perbelanjaan"),D50-E50,E50-D50)</f>
        <v>0</v>
      </c>
    </row>
    <row r="51" customFormat="false" ht="15" hidden="false" customHeight="true" outlineLevel="0" collapsed="false">
      <c r="A51" s="20" t="n">
        <f aca="false">Akaun!A51</f>
        <v>1110</v>
      </c>
      <c r="B51" s="20" t="str">
        <f aca="false">Akaun!C51</f>
        <v>Pendapatan Terakru</v>
      </c>
      <c r="C51" s="20" t="str">
        <f aca="false">Akaun!D51</f>
        <v>Aset</v>
      </c>
      <c r="D51" s="39" t="n">
        <f aca="false">SUMIF(Baris_Transaksi!$C$5:$C$5000,A51,Baris_Transaksi!$D$5:$D$5000)</f>
        <v>0</v>
      </c>
      <c r="E51" s="39" t="n">
        <f aca="false">SUMIF(Baris_Transaksi!$C$5:$C$5000,A51,Baris_Transaksi!$E$5:$E$5000)</f>
        <v>0</v>
      </c>
      <c r="F51" s="39" t="n">
        <f aca="false">IF(D51-E51&gt;0,D51-E51,0)</f>
        <v>0</v>
      </c>
      <c r="G51" s="39" t="n">
        <f aca="false">IF(E51-D51&gt;0,E51-D51,0)</f>
        <v>0</v>
      </c>
      <c r="H51" s="39" t="n">
        <f aca="false">IF(OR(C51="Aset",C51="Perbelanjaan"),D51-E51,E51-D51)</f>
        <v>0</v>
      </c>
    </row>
    <row r="52" customFormat="false" ht="15" hidden="false" customHeight="true" outlineLevel="0" collapsed="false">
      <c r="A52" s="20" t="n">
        <f aca="false">Akaun!A52</f>
        <v>2050</v>
      </c>
      <c r="B52" s="20" t="str">
        <f aca="false">Akaun!C52</f>
        <v>Perbelanjaan Terakru</v>
      </c>
      <c r="C52" s="20" t="str">
        <f aca="false">Akaun!D52</f>
        <v>Liabiliti</v>
      </c>
      <c r="D52" s="39" t="n">
        <f aca="false">SUMIF(Baris_Transaksi!$C$5:$C$5000,A52,Baris_Transaksi!$D$5:$D$5000)</f>
        <v>0</v>
      </c>
      <c r="E52" s="39" t="n">
        <f aca="false">SUMIF(Baris_Transaksi!$C$5:$C$5000,A52,Baris_Transaksi!$E$5:$E$5000)</f>
        <v>0</v>
      </c>
      <c r="F52" s="39" t="n">
        <f aca="false">IF(D52-E52&gt;0,D52-E52,0)</f>
        <v>0</v>
      </c>
      <c r="G52" s="39" t="n">
        <f aca="false">IF(E52-D52&gt;0,E52-D52,0)</f>
        <v>0</v>
      </c>
      <c r="H52" s="39" t="n">
        <f aca="false">IF(OR(C52="Aset",C52="Perbelanjaan"),D52-E52,E52-D52)</f>
        <v>0</v>
      </c>
    </row>
    <row r="53" customFormat="false" ht="15" hidden="false" customHeight="true" outlineLevel="0" collapsed="false">
      <c r="A53" s="20" t="n">
        <f aca="false">Akaun!A53</f>
        <v>2060</v>
      </c>
      <c r="B53" s="20" t="str">
        <f aca="false">Akaun!C53</f>
        <v>Pendapatan Belum Diperoleh</v>
      </c>
      <c r="C53" s="20" t="str">
        <f aca="false">Akaun!D53</f>
        <v>Liabiliti</v>
      </c>
      <c r="D53" s="39" t="n">
        <f aca="false">SUMIF(Baris_Transaksi!$C$5:$C$5000,A53,Baris_Transaksi!$D$5:$D$5000)</f>
        <v>0</v>
      </c>
      <c r="E53" s="39" t="n">
        <f aca="false">SUMIF(Baris_Transaksi!$C$5:$C$5000,A53,Baris_Transaksi!$E$5:$E$5000)</f>
        <v>0</v>
      </c>
      <c r="F53" s="39" t="n">
        <f aca="false">IF(D53-E53&gt;0,D53-E53,0)</f>
        <v>0</v>
      </c>
      <c r="G53" s="39" t="n">
        <f aca="false">IF(E53-D53&gt;0,E53-D53,0)</f>
        <v>0</v>
      </c>
      <c r="H53" s="39" t="n">
        <f aca="false">IF(OR(C53="Aset",C53="Perbelanjaan"),D53-E53,E53-D53)</f>
        <v>0</v>
      </c>
    </row>
    <row r="54" customFormat="false" ht="15" hidden="false" customHeight="true" outlineLevel="0" collapsed="false">
      <c r="A54" s="20" t="n">
        <f aca="false">Akaun!A54</f>
        <v>2070</v>
      </c>
      <c r="B54" s="20" t="str">
        <f aca="false">Akaun!C54</f>
        <v>Cukai Belum Dibayar</v>
      </c>
      <c r="C54" s="20" t="str">
        <f aca="false">Akaun!D54</f>
        <v>Liabiliti</v>
      </c>
      <c r="D54" s="39" t="n">
        <f aca="false">SUMIF(Baris_Transaksi!$C$5:$C$5000,A54,Baris_Transaksi!$D$5:$D$5000)</f>
        <v>0</v>
      </c>
      <c r="E54" s="39" t="n">
        <f aca="false">SUMIF(Baris_Transaksi!$C$5:$C$5000,A54,Baris_Transaksi!$E$5:$E$5000)</f>
        <v>0</v>
      </c>
      <c r="F54" s="39" t="n">
        <f aca="false">IF(D54-E54&gt;0,D54-E54,0)</f>
        <v>0</v>
      </c>
      <c r="G54" s="39" t="n">
        <f aca="false">IF(E54-D54&gt;0,E54-D54,0)</f>
        <v>0</v>
      </c>
      <c r="H54" s="39" t="n">
        <f aca="false">IF(OR(C54="Aset",C54="Perbelanjaan"),D54-E54,E54-D54)</f>
        <v>0</v>
      </c>
    </row>
    <row r="55" customFormat="false" ht="15" hidden="false" customHeight="true" outlineLevel="0" collapsed="false">
      <c r="A55" s="20" t="n">
        <f aca="false">Akaun!A55</f>
        <v>2080</v>
      </c>
      <c r="B55" s="20" t="str">
        <f aca="false">Akaun!C55</f>
        <v>Zakat Belum Dibayar</v>
      </c>
      <c r="C55" s="20" t="str">
        <f aca="false">Akaun!D55</f>
        <v>Liabiliti</v>
      </c>
      <c r="D55" s="39" t="n">
        <f aca="false">SUMIF(Baris_Transaksi!$C$5:$C$5000,A55,Baris_Transaksi!$D$5:$D$5000)</f>
        <v>0</v>
      </c>
      <c r="E55" s="39" t="n">
        <f aca="false">SUMIF(Baris_Transaksi!$C$5:$C$5000,A55,Baris_Transaksi!$E$5:$E$5000)</f>
        <v>0</v>
      </c>
      <c r="F55" s="39" t="n">
        <f aca="false">IF(D55-E55&gt;0,D55-E55,0)</f>
        <v>0</v>
      </c>
      <c r="G55" s="39" t="n">
        <f aca="false">IF(E55-D55&gt;0,E55-D55,0)</f>
        <v>0</v>
      </c>
      <c r="H55" s="39" t="n">
        <f aca="false">IF(OR(C55="Aset",C55="Perbelanjaan"),D55-E55,E55-D55)</f>
        <v>0</v>
      </c>
    </row>
    <row r="56" customFormat="false" ht="15" hidden="false" customHeight="true" outlineLevel="0" collapsed="false">
      <c r="A56" s="20" t="n">
        <f aca="false">Akaun!A56</f>
        <v>2090</v>
      </c>
      <c r="B56" s="20" t="str">
        <f aca="false">Akaun!C56</f>
        <v>Honorarium Belum Dibayar</v>
      </c>
      <c r="C56" s="20" t="str">
        <f aca="false">Akaun!D56</f>
        <v>Liabiliti</v>
      </c>
      <c r="D56" s="39" t="n">
        <f aca="false">SUMIF(Baris_Transaksi!$C$5:$C$5000,A56,Baris_Transaksi!$D$5:$D$5000)</f>
        <v>0</v>
      </c>
      <c r="E56" s="39" t="n">
        <f aca="false">SUMIF(Baris_Transaksi!$C$5:$C$5000,A56,Baris_Transaksi!$E$5:$E$5000)</f>
        <v>0</v>
      </c>
      <c r="F56" s="39" t="n">
        <f aca="false">IF(D56-E56&gt;0,D56-E56,0)</f>
        <v>0</v>
      </c>
      <c r="G56" s="39" t="n">
        <f aca="false">IF(E56-D56&gt;0,E56-D56,0)</f>
        <v>0</v>
      </c>
      <c r="H56" s="39" t="n">
        <f aca="false">IF(OR(C56="Aset",C56="Perbelanjaan"),D56-E56,E56-D56)</f>
        <v>0</v>
      </c>
    </row>
    <row r="57" customFormat="false" ht="15" hidden="false" customHeight="true" outlineLevel="0" collapsed="false">
      <c r="A57" s="20" t="n">
        <f aca="false">Akaun!A57</f>
        <v>2100</v>
      </c>
      <c r="B57" s="20" t="str">
        <f aca="false">Akaun!C57</f>
        <v>KWA Pendidikan Koperasi Belum Dibayar</v>
      </c>
      <c r="C57" s="20" t="str">
        <f aca="false">Akaun!D57</f>
        <v>Liabiliti</v>
      </c>
      <c r="D57" s="39" t="n">
        <f aca="false">SUMIF(Baris_Transaksi!$C$5:$C$5000,A57,Baris_Transaksi!$D$5:$D$5000)</f>
        <v>0</v>
      </c>
      <c r="E57" s="39" t="n">
        <f aca="false">SUMIF(Baris_Transaksi!$C$5:$C$5000,A57,Baris_Transaksi!$E$5:$E$5000)</f>
        <v>0</v>
      </c>
      <c r="F57" s="39" t="n">
        <f aca="false">IF(D57-E57&gt;0,D57-E57,0)</f>
        <v>0</v>
      </c>
      <c r="G57" s="39" t="n">
        <f aca="false">IF(E57-D57&gt;0,E57-D57,0)</f>
        <v>0</v>
      </c>
      <c r="H57" s="39" t="n">
        <f aca="false">IF(OR(C57="Aset",C57="Perbelanjaan"),D57-E57,E57-D57)</f>
        <v>0</v>
      </c>
    </row>
    <row r="58" customFormat="false" ht="15" hidden="false" customHeight="true" outlineLevel="0" collapsed="false">
      <c r="A58" s="20" t="n">
        <f aca="false">Akaun!A58</f>
        <v>2110</v>
      </c>
      <c r="B58" s="20" t="str">
        <f aca="false">Akaun!C58</f>
        <v>KWA Pembangunan Koperasi Belum Dibayar</v>
      </c>
      <c r="C58" s="20" t="str">
        <f aca="false">Akaun!D58</f>
        <v>Liabiliti</v>
      </c>
      <c r="D58" s="39" t="n">
        <f aca="false">SUMIF(Baris_Transaksi!$C$5:$C$5000,A58,Baris_Transaksi!$D$5:$D$5000)</f>
        <v>0</v>
      </c>
      <c r="E58" s="39" t="n">
        <f aca="false">SUMIF(Baris_Transaksi!$C$5:$C$5000,A58,Baris_Transaksi!$E$5:$E$5000)</f>
        <v>0</v>
      </c>
      <c r="F58" s="39" t="n">
        <f aca="false">IF(D58-E58&gt;0,D58-E58,0)</f>
        <v>0</v>
      </c>
      <c r="G58" s="39" t="n">
        <f aca="false">IF(E58-D58&gt;0,E58-D58,0)</f>
        <v>0</v>
      </c>
      <c r="H58" s="39" t="n">
        <f aca="false">IF(OR(C58="Aset",C58="Perbelanjaan"),D58-E58,E58-D58)</f>
        <v>0</v>
      </c>
    </row>
    <row r="59" customFormat="false" ht="15" hidden="false" customHeight="true" outlineLevel="0" collapsed="false">
      <c r="A59" s="20" t="n">
        <f aca="false">Akaun!A59</f>
        <v>1045</v>
      </c>
      <c r="B59" s="20" t="str">
        <f aca="false">Akaun!C59</f>
        <v>Susut Nilai Terkumpul - Aset Tetap</v>
      </c>
      <c r="C59" s="20" t="str">
        <f aca="false">Akaun!D59</f>
        <v>Aset</v>
      </c>
      <c r="D59" s="39" t="n">
        <f aca="false">SUMIF(Baris_Transaksi!$C$5:$C$5000,A59,Baris_Transaksi!$D$5:$D$5000)</f>
        <v>0</v>
      </c>
      <c r="E59" s="39" t="n">
        <f aca="false">SUMIF(Baris_Transaksi!$C$5:$C$5000,A59,Baris_Transaksi!$E$5:$E$5000)</f>
        <v>0</v>
      </c>
      <c r="F59" s="39" t="n">
        <f aca="false">IF(D59-E59&gt;0,D59-E59,0)</f>
        <v>0</v>
      </c>
      <c r="G59" s="39" t="n">
        <f aca="false">IF(E59-D59&gt;0,E59-D59,0)</f>
        <v>0</v>
      </c>
      <c r="H59" s="39" t="n">
        <f aca="false">IF(OR(C59="Aset",C59="Perbelanjaan"),D59-E59,E59-D59)</f>
        <v>0</v>
      </c>
    </row>
    <row r="60" customFormat="false" ht="15" hidden="false" customHeight="true" outlineLevel="0" collapsed="false">
      <c r="A60" s="20" t="n">
        <f aca="false">Akaun!A60</f>
        <v>1095</v>
      </c>
      <c r="B60" s="20" t="str">
        <f aca="false">Akaun!C60</f>
        <v>Peruntukan Hutang Ragu</v>
      </c>
      <c r="C60" s="20" t="str">
        <f aca="false">Akaun!D60</f>
        <v>Aset</v>
      </c>
      <c r="D60" s="39" t="n">
        <f aca="false">SUMIF(Baris_Transaksi!$C$5:$C$5000,A60,Baris_Transaksi!$D$5:$D$5000)</f>
        <v>0</v>
      </c>
      <c r="E60" s="39" t="n">
        <f aca="false">SUMIF(Baris_Transaksi!$C$5:$C$5000,A60,Baris_Transaksi!$E$5:$E$5000)</f>
        <v>0</v>
      </c>
      <c r="F60" s="39" t="n">
        <f aca="false">IF(D60-E60&gt;0,D60-E60,0)</f>
        <v>0</v>
      </c>
      <c r="G60" s="39" t="n">
        <f aca="false">IF(E60-D60&gt;0,E60-D60,0)</f>
        <v>0</v>
      </c>
      <c r="H60" s="39" t="n">
        <f aca="false">IF(OR(C60="Aset",C60="Perbelanjaan"),D60-E60,E60-D60)</f>
        <v>0</v>
      </c>
    </row>
    <row r="61" customFormat="false" ht="15" hidden="false" customHeight="true" outlineLevel="0" collapsed="false">
      <c r="A61" s="20" t="n">
        <f aca="false">Akaun!A61</f>
        <v>0</v>
      </c>
      <c r="B61" s="20" t="n">
        <f aca="false">Akaun!C61</f>
        <v>0</v>
      </c>
      <c r="C61" s="20" t="n">
        <f aca="false">Akaun!D61</f>
        <v>0</v>
      </c>
      <c r="D61" s="39" t="n">
        <f aca="false">SUMIF(Baris_Transaksi!$C$5:$C$5000,A61,Baris_Transaksi!$D$5:$D$5000)</f>
        <v>0</v>
      </c>
      <c r="E61" s="39" t="n">
        <f aca="false">SUMIF(Baris_Transaksi!$C$5:$C$5000,A61,Baris_Transaksi!$E$5:$E$5000)</f>
        <v>0</v>
      </c>
      <c r="F61" s="39" t="n">
        <f aca="false">IF(D61-E61&gt;0,D61-E61,0)</f>
        <v>0</v>
      </c>
      <c r="G61" s="39" t="n">
        <f aca="false">IF(E61-D61&gt;0,E61-D61,0)</f>
        <v>0</v>
      </c>
      <c r="H61" s="39" t="n">
        <f aca="false">IF(OR(C61="Aset",C61="Perbelanjaan"),D61-E61,E61-D61)</f>
        <v>0</v>
      </c>
    </row>
    <row r="62" customFormat="false" ht="15" hidden="false" customHeight="true" outlineLevel="0" collapsed="false">
      <c r="A62" s="20" t="n">
        <f aca="false">Akaun!A62</f>
        <v>0</v>
      </c>
      <c r="B62" s="20" t="n">
        <f aca="false">Akaun!C62</f>
        <v>0</v>
      </c>
      <c r="C62" s="20" t="n">
        <f aca="false">Akaun!D62</f>
        <v>0</v>
      </c>
      <c r="D62" s="39" t="n">
        <f aca="false">SUMIF(Baris_Transaksi!$C$5:$C$5000,A62,Baris_Transaksi!$D$5:$D$5000)</f>
        <v>0</v>
      </c>
      <c r="E62" s="39" t="n">
        <f aca="false">SUMIF(Baris_Transaksi!$C$5:$C$5000,A62,Baris_Transaksi!$E$5:$E$5000)</f>
        <v>0</v>
      </c>
      <c r="F62" s="39" t="n">
        <f aca="false">IF(D62-E62&gt;0,D62-E62,0)</f>
        <v>0</v>
      </c>
      <c r="G62" s="39" t="n">
        <f aca="false">IF(E62-D62&gt;0,E62-D62,0)</f>
        <v>0</v>
      </c>
      <c r="H62" s="39" t="n">
        <f aca="false">IF(OR(C62="Aset",C62="Perbelanjaan"),D62-E62,E62-D62)</f>
        <v>0</v>
      </c>
    </row>
    <row r="63" customFormat="false" ht="15" hidden="false" customHeight="true" outlineLevel="0" collapsed="false">
      <c r="A63" s="20" t="n">
        <f aca="false">Akaun!A63</f>
        <v>0</v>
      </c>
      <c r="B63" s="20" t="n">
        <f aca="false">Akaun!C63</f>
        <v>0</v>
      </c>
      <c r="C63" s="20" t="n">
        <f aca="false">Akaun!D63</f>
        <v>0</v>
      </c>
      <c r="D63" s="39" t="n">
        <f aca="false">SUMIF(Baris_Transaksi!$C$5:$C$5000,A63,Baris_Transaksi!$D$5:$D$5000)</f>
        <v>0</v>
      </c>
      <c r="E63" s="39" t="n">
        <f aca="false">SUMIF(Baris_Transaksi!$C$5:$C$5000,A63,Baris_Transaksi!$E$5:$E$5000)</f>
        <v>0</v>
      </c>
      <c r="F63" s="39" t="n">
        <f aca="false">IF(D63-E63&gt;0,D63-E63,0)</f>
        <v>0</v>
      </c>
      <c r="G63" s="39" t="n">
        <f aca="false">IF(E63-D63&gt;0,E63-D63,0)</f>
        <v>0</v>
      </c>
      <c r="H63" s="39" t="n">
        <f aca="false">IF(OR(C63="Aset",C63="Perbelanjaan"),D63-E63,E63-D63)</f>
        <v>0</v>
      </c>
    </row>
    <row r="64" customFormat="false" ht="15" hidden="false" customHeight="true" outlineLevel="0" collapsed="false">
      <c r="A64" s="20" t="n">
        <f aca="false">Akaun!A64</f>
        <v>0</v>
      </c>
      <c r="B64" s="20" t="n">
        <f aca="false">Akaun!C64</f>
        <v>0</v>
      </c>
      <c r="C64" s="20" t="n">
        <f aca="false">Akaun!D64</f>
        <v>0</v>
      </c>
      <c r="D64" s="39" t="n">
        <f aca="false">SUMIF(Baris_Transaksi!$C$5:$C$5000,A64,Baris_Transaksi!$D$5:$D$5000)</f>
        <v>0</v>
      </c>
      <c r="E64" s="39" t="n">
        <f aca="false">SUMIF(Baris_Transaksi!$C$5:$C$5000,A64,Baris_Transaksi!$E$5:$E$5000)</f>
        <v>0</v>
      </c>
      <c r="F64" s="39" t="n">
        <f aca="false">IF(D64-E64&gt;0,D64-E64,0)</f>
        <v>0</v>
      </c>
      <c r="G64" s="39" t="n">
        <f aca="false">IF(E64-D64&gt;0,E64-D64,0)</f>
        <v>0</v>
      </c>
      <c r="H64" s="39" t="n">
        <f aca="false">IF(OR(C64="Aset",C64="Perbelanjaan"),D64-E64,E64-D64)</f>
        <v>0</v>
      </c>
    </row>
    <row r="65" customFormat="false" ht="15" hidden="false" customHeight="true" outlineLevel="0" collapsed="false">
      <c r="A65" s="20" t="n">
        <f aca="false">Akaun!A65</f>
        <v>0</v>
      </c>
      <c r="B65" s="20" t="n">
        <f aca="false">Akaun!C65</f>
        <v>0</v>
      </c>
      <c r="C65" s="20" t="n">
        <f aca="false">Akaun!D65</f>
        <v>0</v>
      </c>
      <c r="D65" s="39" t="n">
        <f aca="false">SUMIF(Baris_Transaksi!$C$5:$C$5000,A65,Baris_Transaksi!$D$5:$D$5000)</f>
        <v>0</v>
      </c>
      <c r="E65" s="39" t="n">
        <f aca="false">SUMIF(Baris_Transaksi!$C$5:$C$5000,A65,Baris_Transaksi!$E$5:$E$5000)</f>
        <v>0</v>
      </c>
      <c r="F65" s="39" t="n">
        <f aca="false">IF(D65-E65&gt;0,D65-E65,0)</f>
        <v>0</v>
      </c>
      <c r="G65" s="39" t="n">
        <f aca="false">IF(E65-D65&gt;0,E65-D65,0)</f>
        <v>0</v>
      </c>
      <c r="H65" s="39" t="n">
        <f aca="false">IF(OR(C65="Aset",C65="Perbelanjaan"),D65-E65,E65-D65)</f>
        <v>0</v>
      </c>
    </row>
    <row r="66" customFormat="false" ht="15" hidden="false" customHeight="true" outlineLevel="0" collapsed="false">
      <c r="A66" s="20" t="n">
        <f aca="false">Akaun!A66</f>
        <v>0</v>
      </c>
      <c r="B66" s="20" t="n">
        <f aca="false">Akaun!C66</f>
        <v>0</v>
      </c>
      <c r="C66" s="20" t="n">
        <f aca="false">Akaun!D66</f>
        <v>0</v>
      </c>
      <c r="D66" s="39" t="n">
        <f aca="false">SUMIF(Baris_Transaksi!$C$5:$C$5000,A66,Baris_Transaksi!$D$5:$D$5000)</f>
        <v>0</v>
      </c>
      <c r="E66" s="39" t="n">
        <f aca="false">SUMIF(Baris_Transaksi!$C$5:$C$5000,A66,Baris_Transaksi!$E$5:$E$5000)</f>
        <v>0</v>
      </c>
      <c r="F66" s="39" t="n">
        <f aca="false">IF(D66-E66&gt;0,D66-E66,0)</f>
        <v>0</v>
      </c>
      <c r="G66" s="39" t="n">
        <f aca="false">IF(E66-D66&gt;0,E66-D66,0)</f>
        <v>0</v>
      </c>
      <c r="H66" s="39" t="n">
        <f aca="false">IF(OR(C66="Aset",C66="Perbelanjaan"),D66-E66,E66-D66)</f>
        <v>0</v>
      </c>
    </row>
    <row r="67" customFormat="false" ht="15" hidden="false" customHeight="true" outlineLevel="0" collapsed="false">
      <c r="A67" s="20" t="n">
        <f aca="false">Akaun!A67</f>
        <v>0</v>
      </c>
      <c r="B67" s="20" t="n">
        <f aca="false">Akaun!C67</f>
        <v>0</v>
      </c>
      <c r="C67" s="20" t="n">
        <f aca="false">Akaun!D67</f>
        <v>0</v>
      </c>
      <c r="D67" s="39" t="n">
        <f aca="false">SUMIF(Baris_Transaksi!$C$5:$C$5000,A67,Baris_Transaksi!$D$5:$D$5000)</f>
        <v>0</v>
      </c>
      <c r="E67" s="39" t="n">
        <f aca="false">SUMIF(Baris_Transaksi!$C$5:$C$5000,A67,Baris_Transaksi!$E$5:$E$5000)</f>
        <v>0</v>
      </c>
      <c r="F67" s="39" t="n">
        <f aca="false">IF(D67-E67&gt;0,D67-E67,0)</f>
        <v>0</v>
      </c>
      <c r="G67" s="39" t="n">
        <f aca="false">IF(E67-D67&gt;0,E67-D67,0)</f>
        <v>0</v>
      </c>
      <c r="H67" s="39" t="n">
        <f aca="false">IF(OR(C67="Aset",C67="Perbelanjaan"),D67-E67,E67-D67)</f>
        <v>0</v>
      </c>
    </row>
    <row r="68" customFormat="false" ht="15" hidden="false" customHeight="true" outlineLevel="0" collapsed="false">
      <c r="A68" s="20" t="n">
        <f aca="false">Akaun!A68</f>
        <v>0</v>
      </c>
      <c r="B68" s="20" t="n">
        <f aca="false">Akaun!C68</f>
        <v>0</v>
      </c>
      <c r="C68" s="20" t="n">
        <f aca="false">Akaun!D68</f>
        <v>0</v>
      </c>
      <c r="D68" s="39" t="n">
        <f aca="false">SUMIF(Baris_Transaksi!$C$5:$C$5000,A68,Baris_Transaksi!$D$5:$D$5000)</f>
        <v>0</v>
      </c>
      <c r="E68" s="39" t="n">
        <f aca="false">SUMIF(Baris_Transaksi!$C$5:$C$5000,A68,Baris_Transaksi!$E$5:$E$5000)</f>
        <v>0</v>
      </c>
      <c r="F68" s="39" t="n">
        <f aca="false">IF(D68-E68&gt;0,D68-E68,0)</f>
        <v>0</v>
      </c>
      <c r="G68" s="39" t="n">
        <f aca="false">IF(E68-D68&gt;0,E68-D68,0)</f>
        <v>0</v>
      </c>
      <c r="H68" s="39" t="n">
        <f aca="false">IF(OR(C68="Aset",C68="Perbelanjaan"),D68-E68,E68-D68)</f>
        <v>0</v>
      </c>
    </row>
    <row r="69" customFormat="false" ht="15" hidden="false" customHeight="true" outlineLevel="0" collapsed="false">
      <c r="A69" s="20" t="n">
        <f aca="false">Akaun!A69</f>
        <v>0</v>
      </c>
      <c r="B69" s="20" t="n">
        <f aca="false">Akaun!C69</f>
        <v>0</v>
      </c>
      <c r="C69" s="20" t="n">
        <f aca="false">Akaun!D69</f>
        <v>0</v>
      </c>
      <c r="D69" s="39" t="n">
        <f aca="false">SUMIF(Baris_Transaksi!$C$5:$C$5000,A69,Baris_Transaksi!$D$5:$D$5000)</f>
        <v>0</v>
      </c>
      <c r="E69" s="39" t="n">
        <f aca="false">SUMIF(Baris_Transaksi!$C$5:$C$5000,A69,Baris_Transaksi!$E$5:$E$5000)</f>
        <v>0</v>
      </c>
      <c r="F69" s="39" t="n">
        <f aca="false">IF(D69-E69&gt;0,D69-E69,0)</f>
        <v>0</v>
      </c>
      <c r="G69" s="39" t="n">
        <f aca="false">IF(E69-D69&gt;0,E69-D69,0)</f>
        <v>0</v>
      </c>
      <c r="H69" s="39" t="n">
        <f aca="false">IF(OR(C69="Aset",C69="Perbelanjaan"),D69-E69,E69-D69)</f>
        <v>0</v>
      </c>
    </row>
    <row r="70" customFormat="false" ht="15" hidden="false" customHeight="true" outlineLevel="0" collapsed="false">
      <c r="A70" s="20" t="n">
        <f aca="false">Akaun!A70</f>
        <v>0</v>
      </c>
      <c r="B70" s="20" t="n">
        <f aca="false">Akaun!C70</f>
        <v>0</v>
      </c>
      <c r="C70" s="20" t="n">
        <f aca="false">Akaun!D70</f>
        <v>0</v>
      </c>
      <c r="D70" s="39" t="n">
        <f aca="false">SUMIF(Baris_Transaksi!$C$5:$C$5000,A70,Baris_Transaksi!$D$5:$D$5000)</f>
        <v>0</v>
      </c>
      <c r="E70" s="39" t="n">
        <f aca="false">SUMIF(Baris_Transaksi!$C$5:$C$5000,A70,Baris_Transaksi!$E$5:$E$5000)</f>
        <v>0</v>
      </c>
      <c r="F70" s="39" t="n">
        <f aca="false">IF(D70-E70&gt;0,D70-E70,0)</f>
        <v>0</v>
      </c>
      <c r="G70" s="39" t="n">
        <f aca="false">IF(E70-D70&gt;0,E70-D70,0)</f>
        <v>0</v>
      </c>
      <c r="H70" s="39" t="n">
        <f aca="false">IF(OR(C70="Aset",C70="Perbelanjaan"),D70-E70,E70-D70)</f>
        <v>0</v>
      </c>
    </row>
    <row r="71" customFormat="false" ht="15" hidden="false" customHeight="true" outlineLevel="0" collapsed="false">
      <c r="A71" s="20" t="n">
        <f aca="false">Akaun!A71</f>
        <v>0</v>
      </c>
      <c r="B71" s="20" t="n">
        <f aca="false">Akaun!C71</f>
        <v>0</v>
      </c>
      <c r="C71" s="20" t="n">
        <f aca="false">Akaun!D71</f>
        <v>0</v>
      </c>
      <c r="D71" s="39" t="n">
        <f aca="false">SUMIF(Baris_Transaksi!$C$5:$C$5000,A71,Baris_Transaksi!$D$5:$D$5000)</f>
        <v>0</v>
      </c>
      <c r="E71" s="39" t="n">
        <f aca="false">SUMIF(Baris_Transaksi!$C$5:$C$5000,A71,Baris_Transaksi!$E$5:$E$5000)</f>
        <v>0</v>
      </c>
      <c r="F71" s="39" t="n">
        <f aca="false">IF(D71-E71&gt;0,D71-E71,0)</f>
        <v>0</v>
      </c>
      <c r="G71" s="39" t="n">
        <f aca="false">IF(E71-D71&gt;0,E71-D71,0)</f>
        <v>0</v>
      </c>
      <c r="H71" s="39" t="n">
        <f aca="false">IF(OR(C71="Aset",C71="Perbelanjaan"),D71-E71,E71-D71)</f>
        <v>0</v>
      </c>
    </row>
    <row r="72" customFormat="false" ht="15" hidden="false" customHeight="true" outlineLevel="0" collapsed="false">
      <c r="A72" s="20" t="n">
        <f aca="false">Akaun!A72</f>
        <v>0</v>
      </c>
      <c r="B72" s="20" t="n">
        <f aca="false">Akaun!C72</f>
        <v>0</v>
      </c>
      <c r="C72" s="20" t="n">
        <f aca="false">Akaun!D72</f>
        <v>0</v>
      </c>
      <c r="D72" s="39" t="n">
        <f aca="false">SUMIF(Baris_Transaksi!$C$5:$C$5000,A72,Baris_Transaksi!$D$5:$D$5000)</f>
        <v>0</v>
      </c>
      <c r="E72" s="39" t="n">
        <f aca="false">SUMIF(Baris_Transaksi!$C$5:$C$5000,A72,Baris_Transaksi!$E$5:$E$5000)</f>
        <v>0</v>
      </c>
      <c r="F72" s="39" t="n">
        <f aca="false">IF(D72-E72&gt;0,D72-E72,0)</f>
        <v>0</v>
      </c>
      <c r="G72" s="39" t="n">
        <f aca="false">IF(E72-D72&gt;0,E72-D72,0)</f>
        <v>0</v>
      </c>
      <c r="H72" s="39" t="n">
        <f aca="false">IF(OR(C72="Aset",C72="Perbelanjaan"),D72-E72,E72-D72)</f>
        <v>0</v>
      </c>
    </row>
    <row r="73" customFormat="false" ht="15" hidden="false" customHeight="true" outlineLevel="0" collapsed="false">
      <c r="A73" s="20" t="n">
        <f aca="false">Akaun!A73</f>
        <v>0</v>
      </c>
      <c r="B73" s="20" t="n">
        <f aca="false">Akaun!C73</f>
        <v>0</v>
      </c>
      <c r="C73" s="20" t="n">
        <f aca="false">Akaun!D73</f>
        <v>0</v>
      </c>
      <c r="D73" s="39" t="n">
        <f aca="false">SUMIF(Baris_Transaksi!$C$5:$C$5000,A73,Baris_Transaksi!$D$5:$D$5000)</f>
        <v>0</v>
      </c>
      <c r="E73" s="39" t="n">
        <f aca="false">SUMIF(Baris_Transaksi!$C$5:$C$5000,A73,Baris_Transaksi!$E$5:$E$5000)</f>
        <v>0</v>
      </c>
      <c r="F73" s="39" t="n">
        <f aca="false">IF(D73-E73&gt;0,D73-E73,0)</f>
        <v>0</v>
      </c>
      <c r="G73" s="39" t="n">
        <f aca="false">IF(E73-D73&gt;0,E73-D73,0)</f>
        <v>0</v>
      </c>
      <c r="H73" s="39" t="n">
        <f aca="false">IF(OR(C73="Aset",C73="Perbelanjaan"),D73-E73,E73-D73)</f>
        <v>0</v>
      </c>
    </row>
    <row r="74" customFormat="false" ht="15" hidden="false" customHeight="true" outlineLevel="0" collapsed="false">
      <c r="A74" s="20" t="n">
        <f aca="false">Akaun!A74</f>
        <v>0</v>
      </c>
      <c r="B74" s="20" t="n">
        <f aca="false">Akaun!C74</f>
        <v>0</v>
      </c>
      <c r="C74" s="20" t="n">
        <f aca="false">Akaun!D74</f>
        <v>0</v>
      </c>
      <c r="D74" s="39" t="n">
        <f aca="false">SUMIF(Baris_Transaksi!$C$5:$C$5000,A74,Baris_Transaksi!$D$5:$D$5000)</f>
        <v>0</v>
      </c>
      <c r="E74" s="39" t="n">
        <f aca="false">SUMIF(Baris_Transaksi!$C$5:$C$5000,A74,Baris_Transaksi!$E$5:$E$5000)</f>
        <v>0</v>
      </c>
      <c r="F74" s="39" t="n">
        <f aca="false">IF(D74-E74&gt;0,D74-E74,0)</f>
        <v>0</v>
      </c>
      <c r="G74" s="39" t="n">
        <f aca="false">IF(E74-D74&gt;0,E74-D74,0)</f>
        <v>0</v>
      </c>
      <c r="H74" s="39" t="n">
        <f aca="false">IF(OR(C74="Aset",C74="Perbelanjaan"),D74-E74,E74-D74)</f>
        <v>0</v>
      </c>
    </row>
    <row r="75" customFormat="false" ht="15" hidden="false" customHeight="true" outlineLevel="0" collapsed="false">
      <c r="A75" s="20" t="n">
        <f aca="false">Akaun!A75</f>
        <v>0</v>
      </c>
      <c r="B75" s="20" t="n">
        <f aca="false">Akaun!C75</f>
        <v>0</v>
      </c>
      <c r="C75" s="20" t="n">
        <f aca="false">Akaun!D75</f>
        <v>0</v>
      </c>
      <c r="D75" s="39" t="n">
        <f aca="false">SUMIF(Baris_Transaksi!$C$5:$C$5000,A75,Baris_Transaksi!$D$5:$D$5000)</f>
        <v>0</v>
      </c>
      <c r="E75" s="39" t="n">
        <f aca="false">SUMIF(Baris_Transaksi!$C$5:$C$5000,A75,Baris_Transaksi!$E$5:$E$5000)</f>
        <v>0</v>
      </c>
      <c r="F75" s="39" t="n">
        <f aca="false">IF(D75-E75&gt;0,D75-E75,0)</f>
        <v>0</v>
      </c>
      <c r="G75" s="39" t="n">
        <f aca="false">IF(E75-D75&gt;0,E75-D75,0)</f>
        <v>0</v>
      </c>
      <c r="H75" s="39" t="n">
        <f aca="false">IF(OR(C75="Aset",C75="Perbelanjaan"),D75-E75,E75-D75)</f>
        <v>0</v>
      </c>
    </row>
    <row r="76" customFormat="false" ht="15" hidden="false" customHeight="true" outlineLevel="0" collapsed="false">
      <c r="A76" s="20" t="n">
        <f aca="false">Akaun!A76</f>
        <v>0</v>
      </c>
      <c r="B76" s="20" t="n">
        <f aca="false">Akaun!C76</f>
        <v>0</v>
      </c>
      <c r="C76" s="20" t="n">
        <f aca="false">Akaun!D76</f>
        <v>0</v>
      </c>
      <c r="D76" s="39" t="n">
        <f aca="false">SUMIF(Baris_Transaksi!$C$5:$C$5000,A76,Baris_Transaksi!$D$5:$D$5000)</f>
        <v>0</v>
      </c>
      <c r="E76" s="39" t="n">
        <f aca="false">SUMIF(Baris_Transaksi!$C$5:$C$5000,A76,Baris_Transaksi!$E$5:$E$5000)</f>
        <v>0</v>
      </c>
      <c r="F76" s="39" t="n">
        <f aca="false">IF(D76-E76&gt;0,D76-E76,0)</f>
        <v>0</v>
      </c>
      <c r="G76" s="39" t="n">
        <f aca="false">IF(E76-D76&gt;0,E76-D76,0)</f>
        <v>0</v>
      </c>
      <c r="H76" s="39" t="n">
        <f aca="false">IF(OR(C76="Aset",C76="Perbelanjaan"),D76-E76,E76-D76)</f>
        <v>0</v>
      </c>
    </row>
    <row r="77" customFormat="false" ht="15" hidden="false" customHeight="true" outlineLevel="0" collapsed="false">
      <c r="A77" s="20" t="n">
        <f aca="false">Akaun!A77</f>
        <v>0</v>
      </c>
      <c r="B77" s="20" t="n">
        <f aca="false">Akaun!C77</f>
        <v>0</v>
      </c>
      <c r="C77" s="20" t="n">
        <f aca="false">Akaun!D77</f>
        <v>0</v>
      </c>
      <c r="D77" s="39" t="n">
        <f aca="false">SUMIF(Baris_Transaksi!$C$5:$C$5000,A77,Baris_Transaksi!$D$5:$D$5000)</f>
        <v>0</v>
      </c>
      <c r="E77" s="39" t="n">
        <f aca="false">SUMIF(Baris_Transaksi!$C$5:$C$5000,A77,Baris_Transaksi!$E$5:$E$5000)</f>
        <v>0</v>
      </c>
      <c r="F77" s="39" t="n">
        <f aca="false">IF(D77-E77&gt;0,D77-E77,0)</f>
        <v>0</v>
      </c>
      <c r="G77" s="39" t="n">
        <f aca="false">IF(E77-D77&gt;0,E77-D77,0)</f>
        <v>0</v>
      </c>
      <c r="H77" s="39" t="n">
        <f aca="false">IF(OR(C77="Aset",C77="Perbelanjaan"),D77-E77,E77-D77)</f>
        <v>0</v>
      </c>
    </row>
    <row r="78" customFormat="false" ht="15" hidden="false" customHeight="true" outlineLevel="0" collapsed="false">
      <c r="A78" s="20" t="n">
        <f aca="false">Akaun!A78</f>
        <v>0</v>
      </c>
      <c r="B78" s="20" t="n">
        <f aca="false">Akaun!C78</f>
        <v>0</v>
      </c>
      <c r="C78" s="20" t="n">
        <f aca="false">Akaun!D78</f>
        <v>0</v>
      </c>
      <c r="D78" s="39" t="n">
        <f aca="false">SUMIF(Baris_Transaksi!$C$5:$C$5000,A78,Baris_Transaksi!$D$5:$D$5000)</f>
        <v>0</v>
      </c>
      <c r="E78" s="39" t="n">
        <f aca="false">SUMIF(Baris_Transaksi!$C$5:$C$5000,A78,Baris_Transaksi!$E$5:$E$5000)</f>
        <v>0</v>
      </c>
      <c r="F78" s="39" t="n">
        <f aca="false">IF(D78-E78&gt;0,D78-E78,0)</f>
        <v>0</v>
      </c>
      <c r="G78" s="39" t="n">
        <f aca="false">IF(E78-D78&gt;0,E78-D78,0)</f>
        <v>0</v>
      </c>
      <c r="H78" s="39" t="n">
        <f aca="false">IF(OR(C78="Aset",C78="Perbelanjaan"),D78-E78,E78-D78)</f>
        <v>0</v>
      </c>
    </row>
    <row r="79" customFormat="false" ht="15" hidden="false" customHeight="true" outlineLevel="0" collapsed="false">
      <c r="A79" s="20" t="n">
        <f aca="false">Akaun!A79</f>
        <v>0</v>
      </c>
      <c r="B79" s="20" t="n">
        <f aca="false">Akaun!C79</f>
        <v>0</v>
      </c>
      <c r="C79" s="20" t="n">
        <f aca="false">Akaun!D79</f>
        <v>0</v>
      </c>
      <c r="D79" s="39" t="n">
        <f aca="false">SUMIF(Baris_Transaksi!$C$5:$C$5000,A79,Baris_Transaksi!$D$5:$D$5000)</f>
        <v>0</v>
      </c>
      <c r="E79" s="39" t="n">
        <f aca="false">SUMIF(Baris_Transaksi!$C$5:$C$5000,A79,Baris_Transaksi!$E$5:$E$5000)</f>
        <v>0</v>
      </c>
      <c r="F79" s="39" t="n">
        <f aca="false">IF(D79-E79&gt;0,D79-E79,0)</f>
        <v>0</v>
      </c>
      <c r="G79" s="39" t="n">
        <f aca="false">IF(E79-D79&gt;0,E79-D79,0)</f>
        <v>0</v>
      </c>
      <c r="H79" s="39" t="n">
        <f aca="false">IF(OR(C79="Aset",C79="Perbelanjaan"),D79-E79,E79-D79)</f>
        <v>0</v>
      </c>
    </row>
    <row r="80" customFormat="false" ht="15" hidden="false" customHeight="true" outlineLevel="0" collapsed="false">
      <c r="A80" s="20" t="n">
        <f aca="false">Akaun!A80</f>
        <v>0</v>
      </c>
      <c r="B80" s="20" t="n">
        <f aca="false">Akaun!C80</f>
        <v>0</v>
      </c>
      <c r="C80" s="20" t="n">
        <f aca="false">Akaun!D80</f>
        <v>0</v>
      </c>
      <c r="D80" s="39" t="n">
        <f aca="false">SUMIF(Baris_Transaksi!$C$5:$C$5000,A80,Baris_Transaksi!$D$5:$D$5000)</f>
        <v>0</v>
      </c>
      <c r="E80" s="39" t="n">
        <f aca="false">SUMIF(Baris_Transaksi!$C$5:$C$5000,A80,Baris_Transaksi!$E$5:$E$5000)</f>
        <v>0</v>
      </c>
      <c r="F80" s="39" t="n">
        <f aca="false">IF(D80-E80&gt;0,D80-E80,0)</f>
        <v>0</v>
      </c>
      <c r="G80" s="39" t="n">
        <f aca="false">IF(E80-D80&gt;0,E80-D80,0)</f>
        <v>0</v>
      </c>
      <c r="H80" s="39" t="n">
        <f aca="false">IF(OR(C80="Aset",C80="Perbelanjaan"),D80-E80,E80-D80)</f>
        <v>0</v>
      </c>
    </row>
    <row r="81" customFormat="false" ht="15" hidden="false" customHeight="true" outlineLevel="0" collapsed="false">
      <c r="A81" s="20" t="n">
        <f aca="false">Akaun!A81</f>
        <v>0</v>
      </c>
      <c r="B81" s="20" t="n">
        <f aca="false">Akaun!C81</f>
        <v>0</v>
      </c>
      <c r="C81" s="20" t="n">
        <f aca="false">Akaun!D81</f>
        <v>0</v>
      </c>
      <c r="D81" s="39" t="n">
        <f aca="false">SUMIF(Baris_Transaksi!$C$5:$C$5000,A81,Baris_Transaksi!$D$5:$D$5000)</f>
        <v>0</v>
      </c>
      <c r="E81" s="39" t="n">
        <f aca="false">SUMIF(Baris_Transaksi!$C$5:$C$5000,A81,Baris_Transaksi!$E$5:$E$5000)</f>
        <v>0</v>
      </c>
      <c r="F81" s="39" t="n">
        <f aca="false">IF(D81-E81&gt;0,D81-E81,0)</f>
        <v>0</v>
      </c>
      <c r="G81" s="39" t="n">
        <f aca="false">IF(E81-D81&gt;0,E81-D81,0)</f>
        <v>0</v>
      </c>
      <c r="H81" s="39" t="n">
        <f aca="false">IF(OR(C81="Aset",C81="Perbelanjaan"),D81-E81,E81-D81)</f>
        <v>0</v>
      </c>
    </row>
    <row r="82" customFormat="false" ht="15" hidden="false" customHeight="true" outlineLevel="0" collapsed="false">
      <c r="A82" s="20" t="n">
        <f aca="false">Akaun!A82</f>
        <v>0</v>
      </c>
      <c r="B82" s="20" t="n">
        <f aca="false">Akaun!C82</f>
        <v>0</v>
      </c>
      <c r="C82" s="20" t="n">
        <f aca="false">Akaun!D82</f>
        <v>0</v>
      </c>
      <c r="D82" s="39" t="n">
        <f aca="false">SUMIF(Baris_Transaksi!$C$5:$C$5000,A82,Baris_Transaksi!$D$5:$D$5000)</f>
        <v>0</v>
      </c>
      <c r="E82" s="39" t="n">
        <f aca="false">SUMIF(Baris_Transaksi!$C$5:$C$5000,A82,Baris_Transaksi!$E$5:$E$5000)</f>
        <v>0</v>
      </c>
      <c r="F82" s="39" t="n">
        <f aca="false">IF(D82-E82&gt;0,D82-E82,0)</f>
        <v>0</v>
      </c>
      <c r="G82" s="39" t="n">
        <f aca="false">IF(E82-D82&gt;0,E82-D82,0)</f>
        <v>0</v>
      </c>
      <c r="H82" s="39" t="n">
        <f aca="false">IF(OR(C82="Aset",C82="Perbelanjaan"),D82-E82,E82-D82)</f>
        <v>0</v>
      </c>
    </row>
    <row r="83" customFormat="false" ht="15" hidden="false" customHeight="true" outlineLevel="0" collapsed="false">
      <c r="A83" s="20" t="n">
        <f aca="false">Akaun!A83</f>
        <v>0</v>
      </c>
      <c r="B83" s="20" t="n">
        <f aca="false">Akaun!C83</f>
        <v>0</v>
      </c>
      <c r="C83" s="20" t="n">
        <f aca="false">Akaun!D83</f>
        <v>0</v>
      </c>
      <c r="D83" s="39" t="n">
        <f aca="false">SUMIF(Baris_Transaksi!$C$5:$C$5000,A83,Baris_Transaksi!$D$5:$D$5000)</f>
        <v>0</v>
      </c>
      <c r="E83" s="39" t="n">
        <f aca="false">SUMIF(Baris_Transaksi!$C$5:$C$5000,A83,Baris_Transaksi!$E$5:$E$5000)</f>
        <v>0</v>
      </c>
      <c r="F83" s="39" t="n">
        <f aca="false">IF(D83-E83&gt;0,D83-E83,0)</f>
        <v>0</v>
      </c>
      <c r="G83" s="39" t="n">
        <f aca="false">IF(E83-D83&gt;0,E83-D83,0)</f>
        <v>0</v>
      </c>
      <c r="H83" s="39" t="n">
        <f aca="false">IF(OR(C83="Aset",C83="Perbelanjaan"),D83-E83,E83-D83)</f>
        <v>0</v>
      </c>
    </row>
    <row r="84" customFormat="false" ht="15" hidden="false" customHeight="true" outlineLevel="0" collapsed="false">
      <c r="A84" s="20" t="n">
        <f aca="false">Akaun!A84</f>
        <v>0</v>
      </c>
      <c r="B84" s="20" t="n">
        <f aca="false">Akaun!C84</f>
        <v>0</v>
      </c>
      <c r="C84" s="20" t="n">
        <f aca="false">Akaun!D84</f>
        <v>0</v>
      </c>
      <c r="D84" s="39" t="n">
        <f aca="false">SUMIF(Baris_Transaksi!$C$5:$C$5000,A84,Baris_Transaksi!$D$5:$D$5000)</f>
        <v>0</v>
      </c>
      <c r="E84" s="39" t="n">
        <f aca="false">SUMIF(Baris_Transaksi!$C$5:$C$5000,A84,Baris_Transaksi!$E$5:$E$5000)</f>
        <v>0</v>
      </c>
      <c r="F84" s="39" t="n">
        <f aca="false">IF(D84-E84&gt;0,D84-E84,0)</f>
        <v>0</v>
      </c>
      <c r="G84" s="39" t="n">
        <f aca="false">IF(E84-D84&gt;0,E84-D84,0)</f>
        <v>0</v>
      </c>
      <c r="H84" s="39" t="n">
        <f aca="false">IF(OR(C84="Aset",C84="Perbelanjaan"),D84-E84,E84-D84)</f>
        <v>0</v>
      </c>
    </row>
    <row r="85" customFormat="false" ht="15" hidden="false" customHeight="true" outlineLevel="0" collapsed="false">
      <c r="A85" s="20" t="n">
        <f aca="false">Akaun!A85</f>
        <v>0</v>
      </c>
      <c r="B85" s="20" t="n">
        <f aca="false">Akaun!C85</f>
        <v>0</v>
      </c>
      <c r="C85" s="20" t="n">
        <f aca="false">Akaun!D85</f>
        <v>0</v>
      </c>
      <c r="D85" s="39" t="n">
        <f aca="false">SUMIF(Baris_Transaksi!$C$5:$C$5000,A85,Baris_Transaksi!$D$5:$D$5000)</f>
        <v>0</v>
      </c>
      <c r="E85" s="39" t="n">
        <f aca="false">SUMIF(Baris_Transaksi!$C$5:$C$5000,A85,Baris_Transaksi!$E$5:$E$5000)</f>
        <v>0</v>
      </c>
      <c r="F85" s="39" t="n">
        <f aca="false">IF(D85-E85&gt;0,D85-E85,0)</f>
        <v>0</v>
      </c>
      <c r="G85" s="39" t="n">
        <f aca="false">IF(E85-D85&gt;0,E85-D85,0)</f>
        <v>0</v>
      </c>
      <c r="H85" s="39" t="n">
        <f aca="false">IF(OR(C85="Aset",C85="Perbelanjaan"),D85-E85,E85-D85)</f>
        <v>0</v>
      </c>
    </row>
    <row r="86" customFormat="false" ht="15" hidden="false" customHeight="true" outlineLevel="0" collapsed="false">
      <c r="A86" s="20" t="n">
        <f aca="false">Akaun!A86</f>
        <v>0</v>
      </c>
      <c r="B86" s="20" t="n">
        <f aca="false">Akaun!C86</f>
        <v>0</v>
      </c>
      <c r="C86" s="20" t="n">
        <f aca="false">Akaun!D86</f>
        <v>0</v>
      </c>
      <c r="D86" s="39" t="n">
        <f aca="false">SUMIF(Baris_Transaksi!$C$5:$C$5000,A86,Baris_Transaksi!$D$5:$D$5000)</f>
        <v>0</v>
      </c>
      <c r="E86" s="39" t="n">
        <f aca="false">SUMIF(Baris_Transaksi!$C$5:$C$5000,A86,Baris_Transaksi!$E$5:$E$5000)</f>
        <v>0</v>
      </c>
      <c r="F86" s="39" t="n">
        <f aca="false">IF(D86-E86&gt;0,D86-E86,0)</f>
        <v>0</v>
      </c>
      <c r="G86" s="39" t="n">
        <f aca="false">IF(E86-D86&gt;0,E86-D86,0)</f>
        <v>0</v>
      </c>
      <c r="H86" s="39" t="n">
        <f aca="false">IF(OR(C86="Aset",C86="Perbelanjaan"),D86-E86,E86-D86)</f>
        <v>0</v>
      </c>
    </row>
    <row r="87" customFormat="false" ht="15" hidden="false" customHeight="true" outlineLevel="0" collapsed="false">
      <c r="A87" s="20" t="n">
        <f aca="false">Akaun!A87</f>
        <v>0</v>
      </c>
      <c r="B87" s="20" t="n">
        <f aca="false">Akaun!C87</f>
        <v>0</v>
      </c>
      <c r="C87" s="20" t="n">
        <f aca="false">Akaun!D87</f>
        <v>0</v>
      </c>
      <c r="D87" s="39" t="n">
        <f aca="false">SUMIF(Baris_Transaksi!$C$5:$C$5000,A87,Baris_Transaksi!$D$5:$D$5000)</f>
        <v>0</v>
      </c>
      <c r="E87" s="39" t="n">
        <f aca="false">SUMIF(Baris_Transaksi!$C$5:$C$5000,A87,Baris_Transaksi!$E$5:$E$5000)</f>
        <v>0</v>
      </c>
      <c r="F87" s="39" t="n">
        <f aca="false">IF(D87-E87&gt;0,D87-E87,0)</f>
        <v>0</v>
      </c>
      <c r="G87" s="39" t="n">
        <f aca="false">IF(E87-D87&gt;0,E87-D87,0)</f>
        <v>0</v>
      </c>
      <c r="H87" s="39" t="n">
        <f aca="false">IF(OR(C87="Aset",C87="Perbelanjaan"),D87-E87,E87-D87)</f>
        <v>0</v>
      </c>
    </row>
    <row r="88" customFormat="false" ht="15" hidden="false" customHeight="true" outlineLevel="0" collapsed="false">
      <c r="A88" s="20" t="n">
        <f aca="false">Akaun!A88</f>
        <v>0</v>
      </c>
      <c r="B88" s="20" t="n">
        <f aca="false">Akaun!C88</f>
        <v>0</v>
      </c>
      <c r="C88" s="20" t="n">
        <f aca="false">Akaun!D88</f>
        <v>0</v>
      </c>
      <c r="D88" s="39" t="n">
        <f aca="false">SUMIF(Baris_Transaksi!$C$5:$C$5000,A88,Baris_Transaksi!$D$5:$D$5000)</f>
        <v>0</v>
      </c>
      <c r="E88" s="39" t="n">
        <f aca="false">SUMIF(Baris_Transaksi!$C$5:$C$5000,A88,Baris_Transaksi!$E$5:$E$5000)</f>
        <v>0</v>
      </c>
      <c r="F88" s="39" t="n">
        <f aca="false">IF(D88-E88&gt;0,D88-E88,0)</f>
        <v>0</v>
      </c>
      <c r="G88" s="39" t="n">
        <f aca="false">IF(E88-D88&gt;0,E88-D88,0)</f>
        <v>0</v>
      </c>
      <c r="H88" s="39" t="n">
        <f aca="false">IF(OR(C88="Aset",C88="Perbelanjaan"),D88-E88,E88-D88)</f>
        <v>0</v>
      </c>
    </row>
    <row r="89" customFormat="false" ht="15" hidden="false" customHeight="true" outlineLevel="0" collapsed="false">
      <c r="A89" s="20" t="n">
        <f aca="false">Akaun!A89</f>
        <v>0</v>
      </c>
      <c r="B89" s="20" t="n">
        <f aca="false">Akaun!C89</f>
        <v>0</v>
      </c>
      <c r="C89" s="20" t="n">
        <f aca="false">Akaun!D89</f>
        <v>0</v>
      </c>
      <c r="D89" s="39" t="n">
        <f aca="false">SUMIF(Baris_Transaksi!$C$5:$C$5000,A89,Baris_Transaksi!$D$5:$D$5000)</f>
        <v>0</v>
      </c>
      <c r="E89" s="39" t="n">
        <f aca="false">SUMIF(Baris_Transaksi!$C$5:$C$5000,A89,Baris_Transaksi!$E$5:$E$5000)</f>
        <v>0</v>
      </c>
      <c r="F89" s="39" t="n">
        <f aca="false">IF(D89-E89&gt;0,D89-E89,0)</f>
        <v>0</v>
      </c>
      <c r="G89" s="39" t="n">
        <f aca="false">IF(E89-D89&gt;0,E89-D89,0)</f>
        <v>0</v>
      </c>
      <c r="H89" s="39" t="n">
        <f aca="false">IF(OR(C89="Aset",C89="Perbelanjaan"),D89-E89,E89-D89)</f>
        <v>0</v>
      </c>
    </row>
    <row r="90" customFormat="false" ht="15" hidden="false" customHeight="true" outlineLevel="0" collapsed="false">
      <c r="A90" s="20" t="n">
        <f aca="false">Akaun!A90</f>
        <v>0</v>
      </c>
      <c r="B90" s="20" t="n">
        <f aca="false">Akaun!C90</f>
        <v>0</v>
      </c>
      <c r="C90" s="20" t="n">
        <f aca="false">Akaun!D90</f>
        <v>0</v>
      </c>
      <c r="D90" s="39" t="n">
        <f aca="false">SUMIF(Baris_Transaksi!$C$5:$C$5000,A90,Baris_Transaksi!$D$5:$D$5000)</f>
        <v>0</v>
      </c>
      <c r="E90" s="39" t="n">
        <f aca="false">SUMIF(Baris_Transaksi!$C$5:$C$5000,A90,Baris_Transaksi!$E$5:$E$5000)</f>
        <v>0</v>
      </c>
      <c r="F90" s="39" t="n">
        <f aca="false">IF(D90-E90&gt;0,D90-E90,0)</f>
        <v>0</v>
      </c>
      <c r="G90" s="39" t="n">
        <f aca="false">IF(E90-D90&gt;0,E90-D90,0)</f>
        <v>0</v>
      </c>
      <c r="H90" s="39" t="n">
        <f aca="false">IF(OR(C90="Aset",C90="Perbelanjaan"),D90-E90,E90-D90)</f>
        <v>0</v>
      </c>
    </row>
    <row r="91" customFormat="false" ht="15" hidden="false" customHeight="true" outlineLevel="0" collapsed="false">
      <c r="A91" s="20" t="n">
        <f aca="false">Akaun!A91</f>
        <v>0</v>
      </c>
      <c r="B91" s="20" t="n">
        <f aca="false">Akaun!C91</f>
        <v>0</v>
      </c>
      <c r="C91" s="20" t="n">
        <f aca="false">Akaun!D91</f>
        <v>0</v>
      </c>
      <c r="D91" s="39" t="n">
        <f aca="false">SUMIF(Baris_Transaksi!$C$5:$C$5000,A91,Baris_Transaksi!$D$5:$D$5000)</f>
        <v>0</v>
      </c>
      <c r="E91" s="39" t="n">
        <f aca="false">SUMIF(Baris_Transaksi!$C$5:$C$5000,A91,Baris_Transaksi!$E$5:$E$5000)</f>
        <v>0</v>
      </c>
      <c r="F91" s="39" t="n">
        <f aca="false">IF(D91-E91&gt;0,D91-E91,0)</f>
        <v>0</v>
      </c>
      <c r="G91" s="39" t="n">
        <f aca="false">IF(E91-D91&gt;0,E91-D91,0)</f>
        <v>0</v>
      </c>
      <c r="H91" s="39" t="n">
        <f aca="false">IF(OR(C91="Aset",C91="Perbelanjaan"),D91-E91,E91-D91)</f>
        <v>0</v>
      </c>
    </row>
    <row r="92" customFormat="false" ht="15" hidden="false" customHeight="true" outlineLevel="0" collapsed="false">
      <c r="A92" s="20" t="n">
        <f aca="false">Akaun!A92</f>
        <v>0</v>
      </c>
      <c r="B92" s="20" t="n">
        <f aca="false">Akaun!C92</f>
        <v>0</v>
      </c>
      <c r="C92" s="20" t="n">
        <f aca="false">Akaun!D92</f>
        <v>0</v>
      </c>
      <c r="D92" s="39" t="n">
        <f aca="false">SUMIF(Baris_Transaksi!$C$5:$C$5000,A92,Baris_Transaksi!$D$5:$D$5000)</f>
        <v>0</v>
      </c>
      <c r="E92" s="39" t="n">
        <f aca="false">SUMIF(Baris_Transaksi!$C$5:$C$5000,A92,Baris_Transaksi!$E$5:$E$5000)</f>
        <v>0</v>
      </c>
      <c r="F92" s="39" t="n">
        <f aca="false">IF(D92-E92&gt;0,D92-E92,0)</f>
        <v>0</v>
      </c>
      <c r="G92" s="39" t="n">
        <f aca="false">IF(E92-D92&gt;0,E92-D92,0)</f>
        <v>0</v>
      </c>
      <c r="H92" s="39" t="n">
        <f aca="false">IF(OR(C92="Aset",C92="Perbelanjaan"),D92-E92,E92-D92)</f>
        <v>0</v>
      </c>
    </row>
    <row r="93" customFormat="false" ht="15" hidden="false" customHeight="true" outlineLevel="0" collapsed="false">
      <c r="A93" s="20" t="n">
        <f aca="false">Akaun!A93</f>
        <v>0</v>
      </c>
      <c r="B93" s="20" t="n">
        <f aca="false">Akaun!C93</f>
        <v>0</v>
      </c>
      <c r="C93" s="20" t="n">
        <f aca="false">Akaun!D93</f>
        <v>0</v>
      </c>
      <c r="D93" s="39" t="n">
        <f aca="false">SUMIF(Baris_Transaksi!$C$5:$C$5000,A93,Baris_Transaksi!$D$5:$D$5000)</f>
        <v>0</v>
      </c>
      <c r="E93" s="39" t="n">
        <f aca="false">SUMIF(Baris_Transaksi!$C$5:$C$5000,A93,Baris_Transaksi!$E$5:$E$5000)</f>
        <v>0</v>
      </c>
      <c r="F93" s="39" t="n">
        <f aca="false">IF(D93-E93&gt;0,D93-E93,0)</f>
        <v>0</v>
      </c>
      <c r="G93" s="39" t="n">
        <f aca="false">IF(E93-D93&gt;0,E93-D93,0)</f>
        <v>0</v>
      </c>
      <c r="H93" s="39" t="n">
        <f aca="false">IF(OR(C93="Aset",C93="Perbelanjaan"),D93-E93,E93-D93)</f>
        <v>0</v>
      </c>
    </row>
    <row r="94" customFormat="false" ht="15" hidden="false" customHeight="true" outlineLevel="0" collapsed="false">
      <c r="A94" s="20" t="n">
        <f aca="false">Akaun!A94</f>
        <v>0</v>
      </c>
      <c r="B94" s="20" t="n">
        <f aca="false">Akaun!C94</f>
        <v>0</v>
      </c>
      <c r="C94" s="20" t="n">
        <f aca="false">Akaun!D94</f>
        <v>0</v>
      </c>
      <c r="D94" s="39" t="n">
        <f aca="false">SUMIF(Baris_Transaksi!$C$5:$C$5000,A94,Baris_Transaksi!$D$5:$D$5000)</f>
        <v>0</v>
      </c>
      <c r="E94" s="39" t="n">
        <f aca="false">SUMIF(Baris_Transaksi!$C$5:$C$5000,A94,Baris_Transaksi!$E$5:$E$5000)</f>
        <v>0</v>
      </c>
      <c r="F94" s="39" t="n">
        <f aca="false">IF(D94-E94&gt;0,D94-E94,0)</f>
        <v>0</v>
      </c>
      <c r="G94" s="39" t="n">
        <f aca="false">IF(E94-D94&gt;0,E94-D94,0)</f>
        <v>0</v>
      </c>
      <c r="H94" s="39" t="n">
        <f aca="false">IF(OR(C94="Aset",C94="Perbelanjaan"),D94-E94,E94-D94)</f>
        <v>0</v>
      </c>
    </row>
    <row r="95" customFormat="false" ht="15" hidden="false" customHeight="true" outlineLevel="0" collapsed="false">
      <c r="A95" s="20" t="n">
        <f aca="false">Akaun!A95</f>
        <v>0</v>
      </c>
      <c r="B95" s="20" t="n">
        <f aca="false">Akaun!C95</f>
        <v>0</v>
      </c>
      <c r="C95" s="20" t="n">
        <f aca="false">Akaun!D95</f>
        <v>0</v>
      </c>
      <c r="D95" s="39" t="n">
        <f aca="false">SUMIF(Baris_Transaksi!$C$5:$C$5000,A95,Baris_Transaksi!$D$5:$D$5000)</f>
        <v>0</v>
      </c>
      <c r="E95" s="39" t="n">
        <f aca="false">SUMIF(Baris_Transaksi!$C$5:$C$5000,A95,Baris_Transaksi!$E$5:$E$5000)</f>
        <v>0</v>
      </c>
      <c r="F95" s="39" t="n">
        <f aca="false">IF(D95-E95&gt;0,D95-E95,0)</f>
        <v>0</v>
      </c>
      <c r="G95" s="39" t="n">
        <f aca="false">IF(E95-D95&gt;0,E95-D95,0)</f>
        <v>0</v>
      </c>
      <c r="H95" s="39" t="n">
        <f aca="false">IF(OR(C95="Aset",C95="Perbelanjaan"),D95-E95,E95-D95)</f>
        <v>0</v>
      </c>
    </row>
    <row r="96" customFormat="false" ht="15" hidden="false" customHeight="true" outlineLevel="0" collapsed="false">
      <c r="A96" s="20" t="n">
        <f aca="false">Akaun!A96</f>
        <v>0</v>
      </c>
      <c r="B96" s="20" t="n">
        <f aca="false">Akaun!C96</f>
        <v>0</v>
      </c>
      <c r="C96" s="20" t="n">
        <f aca="false">Akaun!D96</f>
        <v>0</v>
      </c>
      <c r="D96" s="39" t="n">
        <f aca="false">SUMIF(Baris_Transaksi!$C$5:$C$5000,A96,Baris_Transaksi!$D$5:$D$5000)</f>
        <v>0</v>
      </c>
      <c r="E96" s="39" t="n">
        <f aca="false">SUMIF(Baris_Transaksi!$C$5:$C$5000,A96,Baris_Transaksi!$E$5:$E$5000)</f>
        <v>0</v>
      </c>
      <c r="F96" s="39" t="n">
        <f aca="false">IF(D96-E96&gt;0,D96-E96,0)</f>
        <v>0</v>
      </c>
      <c r="G96" s="39" t="n">
        <f aca="false">IF(E96-D96&gt;0,E96-D96,0)</f>
        <v>0</v>
      </c>
      <c r="H96" s="39" t="n">
        <f aca="false">IF(OR(C96="Aset",C96="Perbelanjaan"),D96-E96,E96-D96)</f>
        <v>0</v>
      </c>
    </row>
    <row r="97" customFormat="false" ht="15" hidden="false" customHeight="true" outlineLevel="0" collapsed="false">
      <c r="A97" s="20" t="n">
        <f aca="false">Akaun!A97</f>
        <v>0</v>
      </c>
      <c r="B97" s="20" t="n">
        <f aca="false">Akaun!C97</f>
        <v>0</v>
      </c>
      <c r="C97" s="20" t="n">
        <f aca="false">Akaun!D97</f>
        <v>0</v>
      </c>
      <c r="D97" s="39" t="n">
        <f aca="false">SUMIF(Baris_Transaksi!$C$5:$C$5000,A97,Baris_Transaksi!$D$5:$D$5000)</f>
        <v>0</v>
      </c>
      <c r="E97" s="39" t="n">
        <f aca="false">SUMIF(Baris_Transaksi!$C$5:$C$5000,A97,Baris_Transaksi!$E$5:$E$5000)</f>
        <v>0</v>
      </c>
      <c r="F97" s="39" t="n">
        <f aca="false">IF(D97-E97&gt;0,D97-E97,0)</f>
        <v>0</v>
      </c>
      <c r="G97" s="39" t="n">
        <f aca="false">IF(E97-D97&gt;0,E97-D97,0)</f>
        <v>0</v>
      </c>
      <c r="H97" s="39" t="n">
        <f aca="false">IF(OR(C97="Aset",C97="Perbelanjaan"),D97-E97,E97-D97)</f>
        <v>0</v>
      </c>
    </row>
    <row r="98" customFormat="false" ht="15" hidden="false" customHeight="true" outlineLevel="0" collapsed="false">
      <c r="A98" s="20" t="n">
        <f aca="false">Akaun!A98</f>
        <v>0</v>
      </c>
      <c r="B98" s="20" t="n">
        <f aca="false">Akaun!C98</f>
        <v>0</v>
      </c>
      <c r="C98" s="20" t="n">
        <f aca="false">Akaun!D98</f>
        <v>0</v>
      </c>
      <c r="D98" s="39" t="n">
        <f aca="false">SUMIF(Baris_Transaksi!$C$5:$C$5000,A98,Baris_Transaksi!$D$5:$D$5000)</f>
        <v>0</v>
      </c>
      <c r="E98" s="39" t="n">
        <f aca="false">SUMIF(Baris_Transaksi!$C$5:$C$5000,A98,Baris_Transaksi!$E$5:$E$5000)</f>
        <v>0</v>
      </c>
      <c r="F98" s="39" t="n">
        <f aca="false">IF(D98-E98&gt;0,D98-E98,0)</f>
        <v>0</v>
      </c>
      <c r="G98" s="39" t="n">
        <f aca="false">IF(E98-D98&gt;0,E98-D98,0)</f>
        <v>0</v>
      </c>
      <c r="H98" s="39" t="n">
        <f aca="false">IF(OR(C98="Aset",C98="Perbelanjaan"),D98-E98,E98-D98)</f>
        <v>0</v>
      </c>
    </row>
    <row r="99" customFormat="false" ht="15" hidden="false" customHeight="true" outlineLevel="0" collapsed="false">
      <c r="A99" s="20" t="n">
        <f aca="false">Akaun!A99</f>
        <v>0</v>
      </c>
      <c r="B99" s="20" t="n">
        <f aca="false">Akaun!C99</f>
        <v>0</v>
      </c>
      <c r="C99" s="20" t="n">
        <f aca="false">Akaun!D99</f>
        <v>0</v>
      </c>
      <c r="D99" s="39" t="n">
        <f aca="false">SUMIF(Baris_Transaksi!$C$5:$C$5000,A99,Baris_Transaksi!$D$5:$D$5000)</f>
        <v>0</v>
      </c>
      <c r="E99" s="39" t="n">
        <f aca="false">SUMIF(Baris_Transaksi!$C$5:$C$5000,A99,Baris_Transaksi!$E$5:$E$5000)</f>
        <v>0</v>
      </c>
      <c r="F99" s="39" t="n">
        <f aca="false">IF(D99-E99&gt;0,D99-E99,0)</f>
        <v>0</v>
      </c>
      <c r="G99" s="39" t="n">
        <f aca="false">IF(E99-D99&gt;0,E99-D99,0)</f>
        <v>0</v>
      </c>
      <c r="H99" s="39" t="n">
        <f aca="false">IF(OR(C99="Aset",C99="Perbelanjaan"),D99-E99,E99-D99)</f>
        <v>0</v>
      </c>
    </row>
    <row r="100" customFormat="false" ht="15" hidden="false" customHeight="true" outlineLevel="0" collapsed="false">
      <c r="A100" s="20" t="n">
        <f aca="false">Akaun!A100</f>
        <v>0</v>
      </c>
      <c r="B100" s="20" t="n">
        <f aca="false">Akaun!C100</f>
        <v>0</v>
      </c>
      <c r="C100" s="20" t="n">
        <f aca="false">Akaun!D100</f>
        <v>0</v>
      </c>
      <c r="D100" s="39" t="n">
        <f aca="false">SUMIF(Baris_Transaksi!$C$5:$C$5000,A100,Baris_Transaksi!$D$5:$D$5000)</f>
        <v>0</v>
      </c>
      <c r="E100" s="39" t="n">
        <f aca="false">SUMIF(Baris_Transaksi!$C$5:$C$5000,A100,Baris_Transaksi!$E$5:$E$5000)</f>
        <v>0</v>
      </c>
      <c r="F100" s="39" t="n">
        <f aca="false">IF(D100-E100&gt;0,D100-E100,0)</f>
        <v>0</v>
      </c>
      <c r="G100" s="39" t="n">
        <f aca="false">IF(E100-D100&gt;0,E100-D100,0)</f>
        <v>0</v>
      </c>
      <c r="H100" s="39" t="n">
        <f aca="false">IF(OR(C100="Aset",C100="Perbelanjaan"),D100-E100,E100-D100)</f>
        <v>0</v>
      </c>
    </row>
    <row r="101" customFormat="false" ht="15" hidden="false" customHeight="true" outlineLevel="0" collapsed="false">
      <c r="A101" s="20" t="n">
        <f aca="false">Akaun!A101</f>
        <v>0</v>
      </c>
      <c r="B101" s="20" t="n">
        <f aca="false">Akaun!C101</f>
        <v>0</v>
      </c>
      <c r="C101" s="20" t="n">
        <f aca="false">Akaun!D101</f>
        <v>0</v>
      </c>
      <c r="D101" s="39" t="n">
        <f aca="false">SUMIF(Baris_Transaksi!$C$5:$C$5000,A101,Baris_Transaksi!$D$5:$D$5000)</f>
        <v>0</v>
      </c>
      <c r="E101" s="39" t="n">
        <f aca="false">SUMIF(Baris_Transaksi!$C$5:$C$5000,A101,Baris_Transaksi!$E$5:$E$5000)</f>
        <v>0</v>
      </c>
      <c r="F101" s="39" t="n">
        <f aca="false">IF(D101-E101&gt;0,D101-E101,0)</f>
        <v>0</v>
      </c>
      <c r="G101" s="39" t="n">
        <f aca="false">IF(E101-D101&gt;0,E101-D101,0)</f>
        <v>0</v>
      </c>
      <c r="H101" s="39" t="n">
        <f aca="false">IF(OR(C101="Aset",C101="Perbelanjaan"),D101-E101,E101-D101)</f>
        <v>0</v>
      </c>
    </row>
    <row r="102" customFormat="false" ht="15" hidden="false" customHeight="true" outlineLevel="0" collapsed="false">
      <c r="A102" s="20" t="n">
        <f aca="false">Akaun!A102</f>
        <v>0</v>
      </c>
      <c r="B102" s="20" t="n">
        <f aca="false">Akaun!C102</f>
        <v>0</v>
      </c>
      <c r="C102" s="20" t="n">
        <f aca="false">Akaun!D102</f>
        <v>0</v>
      </c>
      <c r="D102" s="39" t="n">
        <f aca="false">SUMIF(Baris_Transaksi!$C$5:$C$5000,A102,Baris_Transaksi!$D$5:$D$5000)</f>
        <v>0</v>
      </c>
      <c r="E102" s="39" t="n">
        <f aca="false">SUMIF(Baris_Transaksi!$C$5:$C$5000,A102,Baris_Transaksi!$E$5:$E$5000)</f>
        <v>0</v>
      </c>
      <c r="F102" s="39" t="n">
        <f aca="false">IF(D102-E102&gt;0,D102-E102,0)</f>
        <v>0</v>
      </c>
      <c r="G102" s="39" t="n">
        <f aca="false">IF(E102-D102&gt;0,E102-D102,0)</f>
        <v>0</v>
      </c>
      <c r="H102" s="39" t="n">
        <f aca="false">IF(OR(C102="Aset",C102="Perbelanjaan"),D102-E102,E102-D102)</f>
        <v>0</v>
      </c>
    </row>
    <row r="103" customFormat="false" ht="15" hidden="false" customHeight="true" outlineLevel="0" collapsed="false">
      <c r="A103" s="20" t="n">
        <f aca="false">Akaun!A103</f>
        <v>0</v>
      </c>
      <c r="B103" s="20" t="n">
        <f aca="false">Akaun!C103</f>
        <v>0</v>
      </c>
      <c r="C103" s="20" t="n">
        <f aca="false">Akaun!D103</f>
        <v>0</v>
      </c>
      <c r="D103" s="39" t="n">
        <f aca="false">SUMIF(Baris_Transaksi!$C$5:$C$5000,A103,Baris_Transaksi!$D$5:$D$5000)</f>
        <v>0</v>
      </c>
      <c r="E103" s="39" t="n">
        <f aca="false">SUMIF(Baris_Transaksi!$C$5:$C$5000,A103,Baris_Transaksi!$E$5:$E$5000)</f>
        <v>0</v>
      </c>
      <c r="F103" s="39" t="n">
        <f aca="false">IF(D103-E103&gt;0,D103-E103,0)</f>
        <v>0</v>
      </c>
      <c r="G103" s="39" t="n">
        <f aca="false">IF(E103-D103&gt;0,E103-D103,0)</f>
        <v>0</v>
      </c>
      <c r="H103" s="39" t="n">
        <f aca="false">IF(OR(C103="Aset",C103="Perbelanjaan"),D103-E103,E103-D103)</f>
        <v>0</v>
      </c>
    </row>
    <row r="104" customFormat="false" ht="15" hidden="false" customHeight="true" outlineLevel="0" collapsed="false">
      <c r="A104" s="20" t="n">
        <f aca="false">Akaun!A104</f>
        <v>0</v>
      </c>
      <c r="B104" s="20" t="n">
        <f aca="false">Akaun!C104</f>
        <v>0</v>
      </c>
      <c r="C104" s="20" t="n">
        <f aca="false">Akaun!D104</f>
        <v>0</v>
      </c>
      <c r="D104" s="39" t="n">
        <f aca="false">SUMIF(Baris_Transaksi!$C$5:$C$5000,A104,Baris_Transaksi!$D$5:$D$5000)</f>
        <v>0</v>
      </c>
      <c r="E104" s="39" t="n">
        <f aca="false">SUMIF(Baris_Transaksi!$C$5:$C$5000,A104,Baris_Transaksi!$E$5:$E$5000)</f>
        <v>0</v>
      </c>
      <c r="F104" s="39" t="n">
        <f aca="false">IF(D104-E104&gt;0,D104-E104,0)</f>
        <v>0</v>
      </c>
      <c r="G104" s="39" t="n">
        <f aca="false">IF(E104-D104&gt;0,E104-D104,0)</f>
        <v>0</v>
      </c>
      <c r="H104" s="39" t="n">
        <f aca="false">IF(OR(C104="Aset",C104="Perbelanjaan"),D104-E104,E104-D104)</f>
        <v>0</v>
      </c>
    </row>
    <row r="105" customFormat="false" ht="15" hidden="false" customHeight="true" outlineLevel="0" collapsed="false">
      <c r="A105" s="20" t="n">
        <f aca="false">Akaun!A105</f>
        <v>0</v>
      </c>
      <c r="B105" s="20" t="n">
        <f aca="false">Akaun!C105</f>
        <v>0</v>
      </c>
      <c r="C105" s="20" t="n">
        <f aca="false">Akaun!D105</f>
        <v>0</v>
      </c>
      <c r="D105" s="39" t="n">
        <f aca="false">SUMIF(Baris_Transaksi!$C$5:$C$5000,A105,Baris_Transaksi!$D$5:$D$5000)</f>
        <v>0</v>
      </c>
      <c r="E105" s="39" t="n">
        <f aca="false">SUMIF(Baris_Transaksi!$C$5:$C$5000,A105,Baris_Transaksi!$E$5:$E$5000)</f>
        <v>0</v>
      </c>
      <c r="F105" s="39" t="n">
        <f aca="false">IF(D105-E105&gt;0,D105-E105,0)</f>
        <v>0</v>
      </c>
      <c r="G105" s="39" t="n">
        <f aca="false">IF(E105-D105&gt;0,E105-D105,0)</f>
        <v>0</v>
      </c>
      <c r="H105" s="39" t="n">
        <f aca="false">IF(OR(C105="Aset",C105="Perbelanjaan"),D105-E105,E105-D105)</f>
        <v>0</v>
      </c>
    </row>
    <row r="106" customFormat="false" ht="15" hidden="false" customHeight="true" outlineLevel="0" collapsed="false">
      <c r="A106" s="20" t="n">
        <f aca="false">Akaun!A106</f>
        <v>0</v>
      </c>
      <c r="B106" s="20" t="n">
        <f aca="false">Akaun!C106</f>
        <v>0</v>
      </c>
      <c r="C106" s="20" t="n">
        <f aca="false">Akaun!D106</f>
        <v>0</v>
      </c>
      <c r="D106" s="39" t="n">
        <f aca="false">SUMIF(Baris_Transaksi!$C$5:$C$5000,A106,Baris_Transaksi!$D$5:$D$5000)</f>
        <v>0</v>
      </c>
      <c r="E106" s="39" t="n">
        <f aca="false">SUMIF(Baris_Transaksi!$C$5:$C$5000,A106,Baris_Transaksi!$E$5:$E$5000)</f>
        <v>0</v>
      </c>
      <c r="F106" s="39" t="n">
        <f aca="false">IF(D106-E106&gt;0,D106-E106,0)</f>
        <v>0</v>
      </c>
      <c r="G106" s="39" t="n">
        <f aca="false">IF(E106-D106&gt;0,E106-D106,0)</f>
        <v>0</v>
      </c>
      <c r="H106" s="39" t="n">
        <f aca="false">IF(OR(C106="Aset",C106="Perbelanjaan"),D106-E106,E106-D106)</f>
        <v>0</v>
      </c>
    </row>
    <row r="107" customFormat="false" ht="15" hidden="false" customHeight="true" outlineLevel="0" collapsed="false">
      <c r="A107" s="20" t="n">
        <f aca="false">Akaun!A107</f>
        <v>0</v>
      </c>
      <c r="B107" s="20" t="n">
        <f aca="false">Akaun!C107</f>
        <v>0</v>
      </c>
      <c r="C107" s="20" t="n">
        <f aca="false">Akaun!D107</f>
        <v>0</v>
      </c>
      <c r="D107" s="39" t="n">
        <f aca="false">SUMIF(Baris_Transaksi!$C$5:$C$5000,A107,Baris_Transaksi!$D$5:$D$5000)</f>
        <v>0</v>
      </c>
      <c r="E107" s="39" t="n">
        <f aca="false">SUMIF(Baris_Transaksi!$C$5:$C$5000,A107,Baris_Transaksi!$E$5:$E$5000)</f>
        <v>0</v>
      </c>
      <c r="F107" s="39" t="n">
        <f aca="false">IF(D107-E107&gt;0,D107-E107,0)</f>
        <v>0</v>
      </c>
      <c r="G107" s="39" t="n">
        <f aca="false">IF(E107-D107&gt;0,E107-D107,0)</f>
        <v>0</v>
      </c>
      <c r="H107" s="39" t="n">
        <f aca="false">IF(OR(C107="Aset",C107="Perbelanjaan"),D107-E107,E107-D107)</f>
        <v>0</v>
      </c>
    </row>
    <row r="108" customFormat="false" ht="15" hidden="false" customHeight="true" outlineLevel="0" collapsed="false">
      <c r="A108" s="20" t="n">
        <f aca="false">Akaun!A108</f>
        <v>0</v>
      </c>
      <c r="B108" s="20" t="n">
        <f aca="false">Akaun!C108</f>
        <v>0</v>
      </c>
      <c r="C108" s="20" t="n">
        <f aca="false">Akaun!D108</f>
        <v>0</v>
      </c>
      <c r="D108" s="39" t="n">
        <f aca="false">SUMIF(Baris_Transaksi!$C$5:$C$5000,A108,Baris_Transaksi!$D$5:$D$5000)</f>
        <v>0</v>
      </c>
      <c r="E108" s="39" t="n">
        <f aca="false">SUMIF(Baris_Transaksi!$C$5:$C$5000,A108,Baris_Transaksi!$E$5:$E$5000)</f>
        <v>0</v>
      </c>
      <c r="F108" s="39" t="n">
        <f aca="false">IF(D108-E108&gt;0,D108-E108,0)</f>
        <v>0</v>
      </c>
      <c r="G108" s="39" t="n">
        <f aca="false">IF(E108-D108&gt;0,E108-D108,0)</f>
        <v>0</v>
      </c>
      <c r="H108" s="39" t="n">
        <f aca="false">IF(OR(C108="Aset",C108="Perbelanjaan"),D108-E108,E108-D108)</f>
        <v>0</v>
      </c>
    </row>
    <row r="109" customFormat="false" ht="15" hidden="false" customHeight="true" outlineLevel="0" collapsed="false">
      <c r="A109" s="20" t="n">
        <f aca="false">Akaun!A109</f>
        <v>0</v>
      </c>
      <c r="B109" s="20" t="n">
        <f aca="false">Akaun!C109</f>
        <v>0</v>
      </c>
      <c r="C109" s="20" t="n">
        <f aca="false">Akaun!D109</f>
        <v>0</v>
      </c>
      <c r="D109" s="39" t="n">
        <f aca="false">SUMIF(Baris_Transaksi!$C$5:$C$5000,A109,Baris_Transaksi!$D$5:$D$5000)</f>
        <v>0</v>
      </c>
      <c r="E109" s="39" t="n">
        <f aca="false">SUMIF(Baris_Transaksi!$C$5:$C$5000,A109,Baris_Transaksi!$E$5:$E$5000)</f>
        <v>0</v>
      </c>
      <c r="F109" s="39" t="n">
        <f aca="false">IF(D109-E109&gt;0,D109-E109,0)</f>
        <v>0</v>
      </c>
      <c r="G109" s="39" t="n">
        <f aca="false">IF(E109-D109&gt;0,E109-D109,0)</f>
        <v>0</v>
      </c>
      <c r="H109" s="39" t="n">
        <f aca="false">IF(OR(C109="Aset",C109="Perbelanjaan"),D109-E109,E109-D109)</f>
        <v>0</v>
      </c>
    </row>
    <row r="110" customFormat="false" ht="15" hidden="false" customHeight="true" outlineLevel="0" collapsed="false">
      <c r="A110" s="20" t="n">
        <f aca="false">Akaun!A110</f>
        <v>0</v>
      </c>
      <c r="B110" s="20" t="n">
        <f aca="false">Akaun!C110</f>
        <v>0</v>
      </c>
      <c r="C110" s="20" t="n">
        <f aca="false">Akaun!D110</f>
        <v>0</v>
      </c>
      <c r="D110" s="39" t="n">
        <f aca="false">SUMIF(Baris_Transaksi!$C$5:$C$5000,A110,Baris_Transaksi!$D$5:$D$5000)</f>
        <v>0</v>
      </c>
      <c r="E110" s="39" t="n">
        <f aca="false">SUMIF(Baris_Transaksi!$C$5:$C$5000,A110,Baris_Transaksi!$E$5:$E$5000)</f>
        <v>0</v>
      </c>
      <c r="F110" s="39" t="n">
        <f aca="false">IF(D110-E110&gt;0,D110-E110,0)</f>
        <v>0</v>
      </c>
      <c r="G110" s="39" t="n">
        <f aca="false">IF(E110-D110&gt;0,E110-D110,0)</f>
        <v>0</v>
      </c>
      <c r="H110" s="39" t="n">
        <f aca="false">IF(OR(C110="Aset",C110="Perbelanjaan"),D110-E110,E110-D110)</f>
        <v>0</v>
      </c>
    </row>
    <row r="111" customFormat="false" ht="15" hidden="false" customHeight="true" outlineLevel="0" collapsed="false">
      <c r="A111" s="20" t="n">
        <f aca="false">Akaun!A111</f>
        <v>0</v>
      </c>
      <c r="B111" s="20" t="n">
        <f aca="false">Akaun!C111</f>
        <v>0</v>
      </c>
      <c r="C111" s="20" t="n">
        <f aca="false">Akaun!D111</f>
        <v>0</v>
      </c>
      <c r="D111" s="39" t="n">
        <f aca="false">SUMIF(Baris_Transaksi!$C$5:$C$5000,A111,Baris_Transaksi!$D$5:$D$5000)</f>
        <v>0</v>
      </c>
      <c r="E111" s="39" t="n">
        <f aca="false">SUMIF(Baris_Transaksi!$C$5:$C$5000,A111,Baris_Transaksi!$E$5:$E$5000)</f>
        <v>0</v>
      </c>
      <c r="F111" s="39" t="n">
        <f aca="false">IF(D111-E111&gt;0,D111-E111,0)</f>
        <v>0</v>
      </c>
      <c r="G111" s="39" t="n">
        <f aca="false">IF(E111-D111&gt;0,E111-D111,0)</f>
        <v>0</v>
      </c>
      <c r="H111" s="39" t="n">
        <f aca="false">IF(OR(C111="Aset",C111="Perbelanjaan"),D111-E111,E111-D111)</f>
        <v>0</v>
      </c>
    </row>
    <row r="112" customFormat="false" ht="15" hidden="false" customHeight="true" outlineLevel="0" collapsed="false">
      <c r="A112" s="20" t="n">
        <f aca="false">Akaun!A112</f>
        <v>0</v>
      </c>
      <c r="B112" s="20" t="n">
        <f aca="false">Akaun!C112</f>
        <v>0</v>
      </c>
      <c r="C112" s="20" t="n">
        <f aca="false">Akaun!D112</f>
        <v>0</v>
      </c>
      <c r="D112" s="39" t="n">
        <f aca="false">SUMIF(Baris_Transaksi!$C$5:$C$5000,A112,Baris_Transaksi!$D$5:$D$5000)</f>
        <v>0</v>
      </c>
      <c r="E112" s="39" t="n">
        <f aca="false">SUMIF(Baris_Transaksi!$C$5:$C$5000,A112,Baris_Transaksi!$E$5:$E$5000)</f>
        <v>0</v>
      </c>
      <c r="F112" s="39" t="n">
        <f aca="false">IF(D112-E112&gt;0,D112-E112,0)</f>
        <v>0</v>
      </c>
      <c r="G112" s="39" t="n">
        <f aca="false">IF(E112-D112&gt;0,E112-D112,0)</f>
        <v>0</v>
      </c>
      <c r="H112" s="39" t="n">
        <f aca="false">IF(OR(C112="Aset",C112="Perbelanjaan"),D112-E112,E112-D112)</f>
        <v>0</v>
      </c>
    </row>
    <row r="113" customFormat="false" ht="15" hidden="false" customHeight="true" outlineLevel="0" collapsed="false">
      <c r="A113" s="20" t="n">
        <f aca="false">Akaun!A113</f>
        <v>0</v>
      </c>
      <c r="B113" s="20" t="n">
        <f aca="false">Akaun!C113</f>
        <v>0</v>
      </c>
      <c r="C113" s="20" t="n">
        <f aca="false">Akaun!D113</f>
        <v>0</v>
      </c>
      <c r="D113" s="39" t="n">
        <f aca="false">SUMIF(Baris_Transaksi!$C$5:$C$5000,A113,Baris_Transaksi!$D$5:$D$5000)</f>
        <v>0</v>
      </c>
      <c r="E113" s="39" t="n">
        <f aca="false">SUMIF(Baris_Transaksi!$C$5:$C$5000,A113,Baris_Transaksi!$E$5:$E$5000)</f>
        <v>0</v>
      </c>
      <c r="F113" s="39" t="n">
        <f aca="false">IF(D113-E113&gt;0,D113-E113,0)</f>
        <v>0</v>
      </c>
      <c r="G113" s="39" t="n">
        <f aca="false">IF(E113-D113&gt;0,E113-D113,0)</f>
        <v>0</v>
      </c>
      <c r="H113" s="39" t="n">
        <f aca="false">IF(OR(C113="Aset",C113="Perbelanjaan"),D113-E113,E113-D113)</f>
        <v>0</v>
      </c>
    </row>
    <row r="114" customFormat="false" ht="15" hidden="false" customHeight="true" outlineLevel="0" collapsed="false">
      <c r="A114" s="20" t="n">
        <f aca="false">Akaun!A114</f>
        <v>0</v>
      </c>
      <c r="B114" s="20" t="n">
        <f aca="false">Akaun!C114</f>
        <v>0</v>
      </c>
      <c r="C114" s="20" t="n">
        <f aca="false">Akaun!D114</f>
        <v>0</v>
      </c>
      <c r="D114" s="39" t="n">
        <f aca="false">SUMIF(Baris_Transaksi!$C$5:$C$5000,A114,Baris_Transaksi!$D$5:$D$5000)</f>
        <v>0</v>
      </c>
      <c r="E114" s="39" t="n">
        <f aca="false">SUMIF(Baris_Transaksi!$C$5:$C$5000,A114,Baris_Transaksi!$E$5:$E$5000)</f>
        <v>0</v>
      </c>
      <c r="F114" s="39" t="n">
        <f aca="false">IF(D114-E114&gt;0,D114-E114,0)</f>
        <v>0</v>
      </c>
      <c r="G114" s="39" t="n">
        <f aca="false">IF(E114-D114&gt;0,E114-D114,0)</f>
        <v>0</v>
      </c>
      <c r="H114" s="39" t="n">
        <f aca="false">IF(OR(C114="Aset",C114="Perbelanjaan"),D114-E114,E114-D114)</f>
        <v>0</v>
      </c>
    </row>
    <row r="115" customFormat="false" ht="15" hidden="false" customHeight="true" outlineLevel="0" collapsed="false">
      <c r="A115" s="20" t="n">
        <f aca="false">Akaun!A115</f>
        <v>0</v>
      </c>
      <c r="B115" s="20" t="n">
        <f aca="false">Akaun!C115</f>
        <v>0</v>
      </c>
      <c r="C115" s="20" t="n">
        <f aca="false">Akaun!D115</f>
        <v>0</v>
      </c>
      <c r="D115" s="39" t="n">
        <f aca="false">SUMIF(Baris_Transaksi!$C$5:$C$5000,A115,Baris_Transaksi!$D$5:$D$5000)</f>
        <v>0</v>
      </c>
      <c r="E115" s="39" t="n">
        <f aca="false">SUMIF(Baris_Transaksi!$C$5:$C$5000,A115,Baris_Transaksi!$E$5:$E$5000)</f>
        <v>0</v>
      </c>
      <c r="F115" s="39" t="n">
        <f aca="false">IF(D115-E115&gt;0,D115-E115,0)</f>
        <v>0</v>
      </c>
      <c r="G115" s="39" t="n">
        <f aca="false">IF(E115-D115&gt;0,E115-D115,0)</f>
        <v>0</v>
      </c>
      <c r="H115" s="39" t="n">
        <f aca="false">IF(OR(C115="Aset",C115="Perbelanjaan"),D115-E115,E115-D115)</f>
        <v>0</v>
      </c>
    </row>
    <row r="116" customFormat="false" ht="15" hidden="false" customHeight="true" outlineLevel="0" collapsed="false">
      <c r="A116" s="20" t="n">
        <f aca="false">Akaun!A116</f>
        <v>0</v>
      </c>
      <c r="B116" s="20" t="n">
        <f aca="false">Akaun!C116</f>
        <v>0</v>
      </c>
      <c r="C116" s="20" t="n">
        <f aca="false">Akaun!D116</f>
        <v>0</v>
      </c>
      <c r="D116" s="39" t="n">
        <f aca="false">SUMIF(Baris_Transaksi!$C$5:$C$5000,A116,Baris_Transaksi!$D$5:$D$5000)</f>
        <v>0</v>
      </c>
      <c r="E116" s="39" t="n">
        <f aca="false">SUMIF(Baris_Transaksi!$C$5:$C$5000,A116,Baris_Transaksi!$E$5:$E$5000)</f>
        <v>0</v>
      </c>
      <c r="F116" s="39" t="n">
        <f aca="false">IF(D116-E116&gt;0,D116-E116,0)</f>
        <v>0</v>
      </c>
      <c r="G116" s="39" t="n">
        <f aca="false">IF(E116-D116&gt;0,E116-D116,0)</f>
        <v>0</v>
      </c>
      <c r="H116" s="39" t="n">
        <f aca="false">IF(OR(C116="Aset",C116="Perbelanjaan"),D116-E116,E116-D116)</f>
        <v>0</v>
      </c>
    </row>
    <row r="117" customFormat="false" ht="15" hidden="false" customHeight="true" outlineLevel="0" collapsed="false">
      <c r="A117" s="20" t="n">
        <f aca="false">Akaun!A117</f>
        <v>0</v>
      </c>
      <c r="B117" s="20" t="n">
        <f aca="false">Akaun!C117</f>
        <v>0</v>
      </c>
      <c r="C117" s="20" t="n">
        <f aca="false">Akaun!D117</f>
        <v>0</v>
      </c>
      <c r="D117" s="39" t="n">
        <f aca="false">SUMIF(Baris_Transaksi!$C$5:$C$5000,A117,Baris_Transaksi!$D$5:$D$5000)</f>
        <v>0</v>
      </c>
      <c r="E117" s="39" t="n">
        <f aca="false">SUMIF(Baris_Transaksi!$C$5:$C$5000,A117,Baris_Transaksi!$E$5:$E$5000)</f>
        <v>0</v>
      </c>
      <c r="F117" s="39" t="n">
        <f aca="false">IF(D117-E117&gt;0,D117-E117,0)</f>
        <v>0</v>
      </c>
      <c r="G117" s="39" t="n">
        <f aca="false">IF(E117-D117&gt;0,E117-D117,0)</f>
        <v>0</v>
      </c>
      <c r="H117" s="39" t="n">
        <f aca="false">IF(OR(C117="Aset",C117="Perbelanjaan"),D117-E117,E117-D117)</f>
        <v>0</v>
      </c>
    </row>
    <row r="118" customFormat="false" ht="15" hidden="false" customHeight="true" outlineLevel="0" collapsed="false">
      <c r="A118" s="20" t="n">
        <f aca="false">Akaun!A118</f>
        <v>0</v>
      </c>
      <c r="B118" s="20" t="n">
        <f aca="false">Akaun!C118</f>
        <v>0</v>
      </c>
      <c r="C118" s="20" t="n">
        <f aca="false">Akaun!D118</f>
        <v>0</v>
      </c>
      <c r="D118" s="39" t="n">
        <f aca="false">SUMIF(Baris_Transaksi!$C$5:$C$5000,A118,Baris_Transaksi!$D$5:$D$5000)</f>
        <v>0</v>
      </c>
      <c r="E118" s="39" t="n">
        <f aca="false">SUMIF(Baris_Transaksi!$C$5:$C$5000,A118,Baris_Transaksi!$E$5:$E$5000)</f>
        <v>0</v>
      </c>
      <c r="F118" s="39" t="n">
        <f aca="false">IF(D118-E118&gt;0,D118-E118,0)</f>
        <v>0</v>
      </c>
      <c r="G118" s="39" t="n">
        <f aca="false">IF(E118-D118&gt;0,E118-D118,0)</f>
        <v>0</v>
      </c>
      <c r="H118" s="39" t="n">
        <f aca="false">IF(OR(C118="Aset",C118="Perbelanjaan"),D118-E118,E118-D118)</f>
        <v>0</v>
      </c>
    </row>
    <row r="119" customFormat="false" ht="15" hidden="false" customHeight="true" outlineLevel="0" collapsed="false">
      <c r="A119" s="20" t="n">
        <f aca="false">Akaun!A119</f>
        <v>0</v>
      </c>
      <c r="B119" s="20" t="n">
        <f aca="false">Akaun!C119</f>
        <v>0</v>
      </c>
      <c r="C119" s="20" t="n">
        <f aca="false">Akaun!D119</f>
        <v>0</v>
      </c>
      <c r="D119" s="39" t="n">
        <f aca="false">SUMIF(Baris_Transaksi!$C$5:$C$5000,A119,Baris_Transaksi!$D$5:$D$5000)</f>
        <v>0</v>
      </c>
      <c r="E119" s="39" t="n">
        <f aca="false">SUMIF(Baris_Transaksi!$C$5:$C$5000,A119,Baris_Transaksi!$E$5:$E$5000)</f>
        <v>0</v>
      </c>
      <c r="F119" s="39" t="n">
        <f aca="false">IF(D119-E119&gt;0,D119-E119,0)</f>
        <v>0</v>
      </c>
      <c r="G119" s="39" t="n">
        <f aca="false">IF(E119-D119&gt;0,E119-D119,0)</f>
        <v>0</v>
      </c>
      <c r="H119" s="39" t="n">
        <f aca="false">IF(OR(C119="Aset",C119="Perbelanjaan"),D119-E119,E119-D119)</f>
        <v>0</v>
      </c>
    </row>
    <row r="120" customFormat="false" ht="15" hidden="false" customHeight="true" outlineLevel="0" collapsed="false">
      <c r="A120" s="20" t="n">
        <f aca="false">Akaun!A120</f>
        <v>0</v>
      </c>
      <c r="B120" s="20" t="n">
        <f aca="false">Akaun!C120</f>
        <v>0</v>
      </c>
      <c r="C120" s="20" t="n">
        <f aca="false">Akaun!D120</f>
        <v>0</v>
      </c>
      <c r="D120" s="39" t="n">
        <f aca="false">SUMIF(Baris_Transaksi!$C$5:$C$5000,A120,Baris_Transaksi!$D$5:$D$5000)</f>
        <v>0</v>
      </c>
      <c r="E120" s="39" t="n">
        <f aca="false">SUMIF(Baris_Transaksi!$C$5:$C$5000,A120,Baris_Transaksi!$E$5:$E$5000)</f>
        <v>0</v>
      </c>
      <c r="F120" s="39" t="n">
        <f aca="false">IF(D120-E120&gt;0,D120-E120,0)</f>
        <v>0</v>
      </c>
      <c r="G120" s="39" t="n">
        <f aca="false">IF(E120-D120&gt;0,E120-D120,0)</f>
        <v>0</v>
      </c>
      <c r="H120" s="39" t="n">
        <f aca="false">IF(OR(C120="Aset",C120="Perbelanjaan"),D120-E120,E120-D120)</f>
        <v>0</v>
      </c>
    </row>
    <row r="121" customFormat="false" ht="15" hidden="false" customHeight="true" outlineLevel="0" collapsed="false">
      <c r="A121" s="20" t="n">
        <f aca="false">Akaun!A121</f>
        <v>0</v>
      </c>
      <c r="B121" s="20" t="n">
        <f aca="false">Akaun!C121</f>
        <v>0</v>
      </c>
      <c r="C121" s="20" t="n">
        <f aca="false">Akaun!D121</f>
        <v>0</v>
      </c>
      <c r="D121" s="39" t="n">
        <f aca="false">SUMIF(Baris_Transaksi!$C$5:$C$5000,A121,Baris_Transaksi!$D$5:$D$5000)</f>
        <v>0</v>
      </c>
      <c r="E121" s="39" t="n">
        <f aca="false">SUMIF(Baris_Transaksi!$C$5:$C$5000,A121,Baris_Transaksi!$E$5:$E$5000)</f>
        <v>0</v>
      </c>
      <c r="F121" s="39" t="n">
        <f aca="false">IF(D121-E121&gt;0,D121-E121,0)</f>
        <v>0</v>
      </c>
      <c r="G121" s="39" t="n">
        <f aca="false">IF(E121-D121&gt;0,E121-D121,0)</f>
        <v>0</v>
      </c>
      <c r="H121" s="39" t="n">
        <f aca="false">IF(OR(C121="Aset",C121="Perbelanjaan"),D121-E121,E121-D121)</f>
        <v>0</v>
      </c>
    </row>
    <row r="122" customFormat="false" ht="15" hidden="false" customHeight="true" outlineLevel="0" collapsed="false">
      <c r="A122" s="20" t="n">
        <f aca="false">Akaun!A122</f>
        <v>0</v>
      </c>
      <c r="B122" s="20" t="n">
        <f aca="false">Akaun!C122</f>
        <v>0</v>
      </c>
      <c r="C122" s="20" t="n">
        <f aca="false">Akaun!D122</f>
        <v>0</v>
      </c>
      <c r="D122" s="39" t="n">
        <f aca="false">SUMIF(Baris_Transaksi!$C$5:$C$5000,A122,Baris_Transaksi!$D$5:$D$5000)</f>
        <v>0</v>
      </c>
      <c r="E122" s="39" t="n">
        <f aca="false">SUMIF(Baris_Transaksi!$C$5:$C$5000,A122,Baris_Transaksi!$E$5:$E$5000)</f>
        <v>0</v>
      </c>
      <c r="F122" s="39" t="n">
        <f aca="false">IF(D122-E122&gt;0,D122-E122,0)</f>
        <v>0</v>
      </c>
      <c r="G122" s="39" t="n">
        <f aca="false">IF(E122-D122&gt;0,E122-D122,0)</f>
        <v>0</v>
      </c>
      <c r="H122" s="39" t="n">
        <f aca="false">IF(OR(C122="Aset",C122="Perbelanjaan"),D122-E122,E122-D122)</f>
        <v>0</v>
      </c>
    </row>
    <row r="123" customFormat="false" ht="15" hidden="false" customHeight="true" outlineLevel="0" collapsed="false">
      <c r="A123" s="20" t="n">
        <f aca="false">Akaun!A123</f>
        <v>0</v>
      </c>
      <c r="B123" s="20" t="n">
        <f aca="false">Akaun!C123</f>
        <v>0</v>
      </c>
      <c r="C123" s="20" t="n">
        <f aca="false">Akaun!D123</f>
        <v>0</v>
      </c>
      <c r="D123" s="39" t="n">
        <f aca="false">SUMIF(Baris_Transaksi!$C$5:$C$5000,A123,Baris_Transaksi!$D$5:$D$5000)</f>
        <v>0</v>
      </c>
      <c r="E123" s="39" t="n">
        <f aca="false">SUMIF(Baris_Transaksi!$C$5:$C$5000,A123,Baris_Transaksi!$E$5:$E$5000)</f>
        <v>0</v>
      </c>
      <c r="F123" s="39" t="n">
        <f aca="false">IF(D123-E123&gt;0,D123-E123,0)</f>
        <v>0</v>
      </c>
      <c r="G123" s="39" t="n">
        <f aca="false">IF(E123-D123&gt;0,E123-D123,0)</f>
        <v>0</v>
      </c>
      <c r="H123" s="39" t="n">
        <f aca="false">IF(OR(C123="Aset",C123="Perbelanjaan"),D123-E123,E123-D123)</f>
        <v>0</v>
      </c>
    </row>
    <row r="124" customFormat="false" ht="15" hidden="false" customHeight="true" outlineLevel="0" collapsed="false">
      <c r="A124" s="20" t="n">
        <f aca="false">Akaun!A124</f>
        <v>0</v>
      </c>
      <c r="B124" s="20" t="n">
        <f aca="false">Akaun!C124</f>
        <v>0</v>
      </c>
      <c r="C124" s="20" t="n">
        <f aca="false">Akaun!D124</f>
        <v>0</v>
      </c>
      <c r="D124" s="39" t="n">
        <f aca="false">SUMIF(Baris_Transaksi!$C$5:$C$5000,A124,Baris_Transaksi!$D$5:$D$5000)</f>
        <v>0</v>
      </c>
      <c r="E124" s="39" t="n">
        <f aca="false">SUMIF(Baris_Transaksi!$C$5:$C$5000,A124,Baris_Transaksi!$E$5:$E$5000)</f>
        <v>0</v>
      </c>
      <c r="F124" s="39" t="n">
        <f aca="false">IF(D124-E124&gt;0,D124-E124,0)</f>
        <v>0</v>
      </c>
      <c r="G124" s="39" t="n">
        <f aca="false">IF(E124-D124&gt;0,E124-D124,0)</f>
        <v>0</v>
      </c>
      <c r="H124" s="39" t="n">
        <f aca="false">IF(OR(C124="Aset",C124="Perbelanjaan"),D124-E124,E124-D124)</f>
        <v>0</v>
      </c>
    </row>
    <row r="125" customFormat="false" ht="15" hidden="false" customHeight="true" outlineLevel="0" collapsed="false">
      <c r="A125" s="20" t="n">
        <f aca="false">Akaun!A125</f>
        <v>0</v>
      </c>
      <c r="B125" s="20" t="n">
        <f aca="false">Akaun!C125</f>
        <v>0</v>
      </c>
      <c r="C125" s="20" t="n">
        <f aca="false">Akaun!D125</f>
        <v>0</v>
      </c>
      <c r="D125" s="39" t="n">
        <f aca="false">SUMIF(Baris_Transaksi!$C$5:$C$5000,A125,Baris_Transaksi!$D$5:$D$5000)</f>
        <v>0</v>
      </c>
      <c r="E125" s="39" t="n">
        <f aca="false">SUMIF(Baris_Transaksi!$C$5:$C$5000,A125,Baris_Transaksi!$E$5:$E$5000)</f>
        <v>0</v>
      </c>
      <c r="F125" s="39" t="n">
        <f aca="false">IF(D125-E125&gt;0,D125-E125,0)</f>
        <v>0</v>
      </c>
      <c r="G125" s="39" t="n">
        <f aca="false">IF(E125-D125&gt;0,E125-D125,0)</f>
        <v>0</v>
      </c>
      <c r="H125" s="39" t="n">
        <f aca="false">IF(OR(C125="Aset",C125="Perbelanjaan"),D125-E125,E125-D125)</f>
        <v>0</v>
      </c>
    </row>
    <row r="126" customFormat="false" ht="15" hidden="false" customHeight="true" outlineLevel="0" collapsed="false">
      <c r="A126" s="20" t="n">
        <f aca="false">Akaun!A126</f>
        <v>0</v>
      </c>
      <c r="B126" s="20" t="n">
        <f aca="false">Akaun!C126</f>
        <v>0</v>
      </c>
      <c r="C126" s="20" t="n">
        <f aca="false">Akaun!D126</f>
        <v>0</v>
      </c>
      <c r="D126" s="39" t="n">
        <f aca="false">SUMIF(Baris_Transaksi!$C$5:$C$5000,A126,Baris_Transaksi!$D$5:$D$5000)</f>
        <v>0</v>
      </c>
      <c r="E126" s="39" t="n">
        <f aca="false">SUMIF(Baris_Transaksi!$C$5:$C$5000,A126,Baris_Transaksi!$E$5:$E$5000)</f>
        <v>0</v>
      </c>
      <c r="F126" s="39" t="n">
        <f aca="false">IF(D126-E126&gt;0,D126-E126,0)</f>
        <v>0</v>
      </c>
      <c r="G126" s="39" t="n">
        <f aca="false">IF(E126-D126&gt;0,E126-D126,0)</f>
        <v>0</v>
      </c>
      <c r="H126" s="39" t="n">
        <f aca="false">IF(OR(C126="Aset",C126="Perbelanjaan"),D126-E126,E126-D126)</f>
        <v>0</v>
      </c>
    </row>
    <row r="127" customFormat="false" ht="15" hidden="false" customHeight="true" outlineLevel="0" collapsed="false">
      <c r="A127" s="20" t="n">
        <f aca="false">Akaun!A127</f>
        <v>0</v>
      </c>
      <c r="B127" s="20" t="n">
        <f aca="false">Akaun!C127</f>
        <v>0</v>
      </c>
      <c r="C127" s="20" t="n">
        <f aca="false">Akaun!D127</f>
        <v>0</v>
      </c>
      <c r="D127" s="39" t="n">
        <f aca="false">SUMIF(Baris_Transaksi!$C$5:$C$5000,A127,Baris_Transaksi!$D$5:$D$5000)</f>
        <v>0</v>
      </c>
      <c r="E127" s="39" t="n">
        <f aca="false">SUMIF(Baris_Transaksi!$C$5:$C$5000,A127,Baris_Transaksi!$E$5:$E$5000)</f>
        <v>0</v>
      </c>
      <c r="F127" s="39" t="n">
        <f aca="false">IF(D127-E127&gt;0,D127-E127,0)</f>
        <v>0</v>
      </c>
      <c r="G127" s="39" t="n">
        <f aca="false">IF(E127-D127&gt;0,E127-D127,0)</f>
        <v>0</v>
      </c>
      <c r="H127" s="39" t="n">
        <f aca="false">IF(OR(C127="Aset",C127="Perbelanjaan"),D127-E127,E127-D127)</f>
        <v>0</v>
      </c>
    </row>
    <row r="128" customFormat="false" ht="15" hidden="false" customHeight="true" outlineLevel="0" collapsed="false">
      <c r="A128" s="20" t="n">
        <f aca="false">Akaun!A128</f>
        <v>0</v>
      </c>
      <c r="B128" s="20" t="n">
        <f aca="false">Akaun!C128</f>
        <v>0</v>
      </c>
      <c r="C128" s="20" t="n">
        <f aca="false">Akaun!D128</f>
        <v>0</v>
      </c>
      <c r="D128" s="39" t="n">
        <f aca="false">SUMIF(Baris_Transaksi!$C$5:$C$5000,A128,Baris_Transaksi!$D$5:$D$5000)</f>
        <v>0</v>
      </c>
      <c r="E128" s="39" t="n">
        <f aca="false">SUMIF(Baris_Transaksi!$C$5:$C$5000,A128,Baris_Transaksi!$E$5:$E$5000)</f>
        <v>0</v>
      </c>
      <c r="F128" s="39" t="n">
        <f aca="false">IF(D128-E128&gt;0,D128-E128,0)</f>
        <v>0</v>
      </c>
      <c r="G128" s="39" t="n">
        <f aca="false">IF(E128-D128&gt;0,E128-D128,0)</f>
        <v>0</v>
      </c>
      <c r="H128" s="39" t="n">
        <f aca="false">IF(OR(C128="Aset",C128="Perbelanjaan"),D128-E128,E128-D128)</f>
        <v>0</v>
      </c>
    </row>
    <row r="129" customFormat="false" ht="15" hidden="false" customHeight="true" outlineLevel="0" collapsed="false">
      <c r="A129" s="20" t="n">
        <f aca="false">Akaun!A129</f>
        <v>0</v>
      </c>
      <c r="B129" s="20" t="n">
        <f aca="false">Akaun!C129</f>
        <v>0</v>
      </c>
      <c r="C129" s="20" t="n">
        <f aca="false">Akaun!D129</f>
        <v>0</v>
      </c>
      <c r="D129" s="39" t="n">
        <f aca="false">SUMIF(Baris_Transaksi!$C$5:$C$5000,A129,Baris_Transaksi!$D$5:$D$5000)</f>
        <v>0</v>
      </c>
      <c r="E129" s="39" t="n">
        <f aca="false">SUMIF(Baris_Transaksi!$C$5:$C$5000,A129,Baris_Transaksi!$E$5:$E$5000)</f>
        <v>0</v>
      </c>
      <c r="F129" s="39" t="n">
        <f aca="false">IF(D129-E129&gt;0,D129-E129,0)</f>
        <v>0</v>
      </c>
      <c r="G129" s="39" t="n">
        <f aca="false">IF(E129-D129&gt;0,E129-D129,0)</f>
        <v>0</v>
      </c>
      <c r="H129" s="39" t="n">
        <f aca="false">IF(OR(C129="Aset",C129="Perbelanjaan"),D129-E129,E129-D129)</f>
        <v>0</v>
      </c>
    </row>
    <row r="130" customFormat="false" ht="15" hidden="false" customHeight="true" outlineLevel="0" collapsed="false">
      <c r="A130" s="20" t="n">
        <f aca="false">Akaun!A130</f>
        <v>0</v>
      </c>
      <c r="B130" s="20" t="n">
        <f aca="false">Akaun!C130</f>
        <v>0</v>
      </c>
      <c r="C130" s="20" t="n">
        <f aca="false">Akaun!D130</f>
        <v>0</v>
      </c>
      <c r="D130" s="39" t="n">
        <f aca="false">SUMIF(Baris_Transaksi!$C$5:$C$5000,A130,Baris_Transaksi!$D$5:$D$5000)</f>
        <v>0</v>
      </c>
      <c r="E130" s="39" t="n">
        <f aca="false">SUMIF(Baris_Transaksi!$C$5:$C$5000,A130,Baris_Transaksi!$E$5:$E$5000)</f>
        <v>0</v>
      </c>
      <c r="F130" s="39" t="n">
        <f aca="false">IF(D130-E130&gt;0,D130-E130,0)</f>
        <v>0</v>
      </c>
      <c r="G130" s="39" t="n">
        <f aca="false">IF(E130-D130&gt;0,E130-D130,0)</f>
        <v>0</v>
      </c>
      <c r="H130" s="39" t="n">
        <f aca="false">IF(OR(C130="Aset",C130="Perbelanjaan"),D130-E130,E130-D130)</f>
        <v>0</v>
      </c>
    </row>
    <row r="131" customFormat="false" ht="15" hidden="false" customHeight="true" outlineLevel="0" collapsed="false">
      <c r="A131" s="20" t="n">
        <f aca="false">Akaun!A131</f>
        <v>0</v>
      </c>
      <c r="B131" s="20" t="n">
        <f aca="false">Akaun!C131</f>
        <v>0</v>
      </c>
      <c r="C131" s="20" t="n">
        <f aca="false">Akaun!D131</f>
        <v>0</v>
      </c>
      <c r="D131" s="39" t="n">
        <f aca="false">SUMIF(Baris_Transaksi!$C$5:$C$5000,A131,Baris_Transaksi!$D$5:$D$5000)</f>
        <v>0</v>
      </c>
      <c r="E131" s="39" t="n">
        <f aca="false">SUMIF(Baris_Transaksi!$C$5:$C$5000,A131,Baris_Transaksi!$E$5:$E$5000)</f>
        <v>0</v>
      </c>
      <c r="F131" s="39" t="n">
        <f aca="false">IF(D131-E131&gt;0,D131-E131,0)</f>
        <v>0</v>
      </c>
      <c r="G131" s="39" t="n">
        <f aca="false">IF(E131-D131&gt;0,E131-D131,0)</f>
        <v>0</v>
      </c>
      <c r="H131" s="39" t="n">
        <f aca="false">IF(OR(C131="Aset",C131="Perbelanjaan"),D131-E131,E131-D131)</f>
        <v>0</v>
      </c>
    </row>
    <row r="132" customFormat="false" ht="15" hidden="false" customHeight="true" outlineLevel="0" collapsed="false">
      <c r="A132" s="20" t="n">
        <f aca="false">Akaun!A132</f>
        <v>0</v>
      </c>
      <c r="B132" s="20" t="n">
        <f aca="false">Akaun!C132</f>
        <v>0</v>
      </c>
      <c r="C132" s="20" t="n">
        <f aca="false">Akaun!D132</f>
        <v>0</v>
      </c>
      <c r="D132" s="39" t="n">
        <f aca="false">SUMIF(Baris_Transaksi!$C$5:$C$5000,A132,Baris_Transaksi!$D$5:$D$5000)</f>
        <v>0</v>
      </c>
      <c r="E132" s="39" t="n">
        <f aca="false">SUMIF(Baris_Transaksi!$C$5:$C$5000,A132,Baris_Transaksi!$E$5:$E$5000)</f>
        <v>0</v>
      </c>
      <c r="F132" s="39" t="n">
        <f aca="false">IF(D132-E132&gt;0,D132-E132,0)</f>
        <v>0</v>
      </c>
      <c r="G132" s="39" t="n">
        <f aca="false">IF(E132-D132&gt;0,E132-D132,0)</f>
        <v>0</v>
      </c>
      <c r="H132" s="39" t="n">
        <f aca="false">IF(OR(C132="Aset",C132="Perbelanjaan"),D132-E132,E132-D132)</f>
        <v>0</v>
      </c>
    </row>
    <row r="133" customFormat="false" ht="15" hidden="false" customHeight="true" outlineLevel="0" collapsed="false">
      <c r="A133" s="20" t="n">
        <f aca="false">Akaun!A133</f>
        <v>0</v>
      </c>
      <c r="B133" s="20" t="n">
        <f aca="false">Akaun!C133</f>
        <v>0</v>
      </c>
      <c r="C133" s="20" t="n">
        <f aca="false">Akaun!D133</f>
        <v>0</v>
      </c>
      <c r="D133" s="39" t="n">
        <f aca="false">SUMIF(Baris_Transaksi!$C$5:$C$5000,A133,Baris_Transaksi!$D$5:$D$5000)</f>
        <v>0</v>
      </c>
      <c r="E133" s="39" t="n">
        <f aca="false">SUMIF(Baris_Transaksi!$C$5:$C$5000,A133,Baris_Transaksi!$E$5:$E$5000)</f>
        <v>0</v>
      </c>
      <c r="F133" s="39" t="n">
        <f aca="false">IF(D133-E133&gt;0,D133-E133,0)</f>
        <v>0</v>
      </c>
      <c r="G133" s="39" t="n">
        <f aca="false">IF(E133-D133&gt;0,E133-D133,0)</f>
        <v>0</v>
      </c>
      <c r="H133" s="39" t="n">
        <f aca="false">IF(OR(C133="Aset",C133="Perbelanjaan"),D133-E133,E133-D133)</f>
        <v>0</v>
      </c>
    </row>
    <row r="134" customFormat="false" ht="15" hidden="false" customHeight="true" outlineLevel="0" collapsed="false">
      <c r="A134" s="20" t="n">
        <f aca="false">Akaun!A134</f>
        <v>0</v>
      </c>
      <c r="B134" s="20" t="n">
        <f aca="false">Akaun!C134</f>
        <v>0</v>
      </c>
      <c r="C134" s="20" t="n">
        <f aca="false">Akaun!D134</f>
        <v>0</v>
      </c>
      <c r="D134" s="39" t="n">
        <f aca="false">SUMIF(Baris_Transaksi!$C$5:$C$5000,A134,Baris_Transaksi!$D$5:$D$5000)</f>
        <v>0</v>
      </c>
      <c r="E134" s="39" t="n">
        <f aca="false">SUMIF(Baris_Transaksi!$C$5:$C$5000,A134,Baris_Transaksi!$E$5:$E$5000)</f>
        <v>0</v>
      </c>
      <c r="F134" s="39" t="n">
        <f aca="false">IF(D134-E134&gt;0,D134-E134,0)</f>
        <v>0</v>
      </c>
      <c r="G134" s="39" t="n">
        <f aca="false">IF(E134-D134&gt;0,E134-D134,0)</f>
        <v>0</v>
      </c>
      <c r="H134" s="39" t="n">
        <f aca="false">IF(OR(C134="Aset",C134="Perbelanjaan"),D134-E134,E134-D134)</f>
        <v>0</v>
      </c>
    </row>
    <row r="135" customFormat="false" ht="15" hidden="false" customHeight="true" outlineLevel="0" collapsed="false">
      <c r="A135" s="20" t="n">
        <f aca="false">Akaun!A135</f>
        <v>0</v>
      </c>
      <c r="B135" s="20" t="n">
        <f aca="false">Akaun!C135</f>
        <v>0</v>
      </c>
      <c r="C135" s="20" t="n">
        <f aca="false">Akaun!D135</f>
        <v>0</v>
      </c>
      <c r="D135" s="39" t="n">
        <f aca="false">SUMIF(Baris_Transaksi!$C$5:$C$5000,A135,Baris_Transaksi!$D$5:$D$5000)</f>
        <v>0</v>
      </c>
      <c r="E135" s="39" t="n">
        <f aca="false">SUMIF(Baris_Transaksi!$C$5:$C$5000,A135,Baris_Transaksi!$E$5:$E$5000)</f>
        <v>0</v>
      </c>
      <c r="F135" s="39" t="n">
        <f aca="false">IF(D135-E135&gt;0,D135-E135,0)</f>
        <v>0</v>
      </c>
      <c r="G135" s="39" t="n">
        <f aca="false">IF(E135-D135&gt;0,E135-D135,0)</f>
        <v>0</v>
      </c>
      <c r="H135" s="39" t="n">
        <f aca="false">IF(OR(C135="Aset",C135="Perbelanjaan"),D135-E135,E135-D135)</f>
        <v>0</v>
      </c>
    </row>
    <row r="136" customFormat="false" ht="15" hidden="false" customHeight="true" outlineLevel="0" collapsed="false">
      <c r="A136" s="20" t="n">
        <f aca="false">Akaun!A136</f>
        <v>0</v>
      </c>
      <c r="B136" s="20" t="n">
        <f aca="false">Akaun!C136</f>
        <v>0</v>
      </c>
      <c r="C136" s="20" t="n">
        <f aca="false">Akaun!D136</f>
        <v>0</v>
      </c>
      <c r="D136" s="39" t="n">
        <f aca="false">SUMIF(Baris_Transaksi!$C$5:$C$5000,A136,Baris_Transaksi!$D$5:$D$5000)</f>
        <v>0</v>
      </c>
      <c r="E136" s="39" t="n">
        <f aca="false">SUMIF(Baris_Transaksi!$C$5:$C$5000,A136,Baris_Transaksi!$E$5:$E$5000)</f>
        <v>0</v>
      </c>
      <c r="F136" s="39" t="n">
        <f aca="false">IF(D136-E136&gt;0,D136-E136,0)</f>
        <v>0</v>
      </c>
      <c r="G136" s="39" t="n">
        <f aca="false">IF(E136-D136&gt;0,E136-D136,0)</f>
        <v>0</v>
      </c>
      <c r="H136" s="39" t="n">
        <f aca="false">IF(OR(C136="Aset",C136="Perbelanjaan"),D136-E136,E136-D136)</f>
        <v>0</v>
      </c>
    </row>
    <row r="137" customFormat="false" ht="15" hidden="false" customHeight="true" outlineLevel="0" collapsed="false">
      <c r="A137" s="20" t="n">
        <f aca="false">Akaun!A137</f>
        <v>0</v>
      </c>
      <c r="B137" s="20" t="n">
        <f aca="false">Akaun!C137</f>
        <v>0</v>
      </c>
      <c r="C137" s="20" t="n">
        <f aca="false">Akaun!D137</f>
        <v>0</v>
      </c>
      <c r="D137" s="39" t="n">
        <f aca="false">SUMIF(Baris_Transaksi!$C$5:$C$5000,A137,Baris_Transaksi!$D$5:$D$5000)</f>
        <v>0</v>
      </c>
      <c r="E137" s="39" t="n">
        <f aca="false">SUMIF(Baris_Transaksi!$C$5:$C$5000,A137,Baris_Transaksi!$E$5:$E$5000)</f>
        <v>0</v>
      </c>
      <c r="F137" s="39" t="n">
        <f aca="false">IF(D137-E137&gt;0,D137-E137,0)</f>
        <v>0</v>
      </c>
      <c r="G137" s="39" t="n">
        <f aca="false">IF(E137-D137&gt;0,E137-D137,0)</f>
        <v>0</v>
      </c>
      <c r="H137" s="39" t="n">
        <f aca="false">IF(OR(C137="Aset",C137="Perbelanjaan"),D137-E137,E137-D137)</f>
        <v>0</v>
      </c>
    </row>
    <row r="138" customFormat="false" ht="15" hidden="false" customHeight="true" outlineLevel="0" collapsed="false">
      <c r="A138" s="20" t="n">
        <f aca="false">Akaun!A138</f>
        <v>0</v>
      </c>
      <c r="B138" s="20" t="n">
        <f aca="false">Akaun!C138</f>
        <v>0</v>
      </c>
      <c r="C138" s="20" t="n">
        <f aca="false">Akaun!D138</f>
        <v>0</v>
      </c>
      <c r="D138" s="39" t="n">
        <f aca="false">SUMIF(Baris_Transaksi!$C$5:$C$5000,A138,Baris_Transaksi!$D$5:$D$5000)</f>
        <v>0</v>
      </c>
      <c r="E138" s="39" t="n">
        <f aca="false">SUMIF(Baris_Transaksi!$C$5:$C$5000,A138,Baris_Transaksi!$E$5:$E$5000)</f>
        <v>0</v>
      </c>
      <c r="F138" s="39" t="n">
        <f aca="false">IF(D138-E138&gt;0,D138-E138,0)</f>
        <v>0</v>
      </c>
      <c r="G138" s="39" t="n">
        <f aca="false">IF(E138-D138&gt;0,E138-D138,0)</f>
        <v>0</v>
      </c>
      <c r="H138" s="39" t="n">
        <f aca="false">IF(OR(C138="Aset",C138="Perbelanjaan"),D138-E138,E138-D138)</f>
        <v>0</v>
      </c>
    </row>
    <row r="139" customFormat="false" ht="15" hidden="false" customHeight="true" outlineLevel="0" collapsed="false">
      <c r="A139" s="20" t="n">
        <f aca="false">Akaun!A139</f>
        <v>0</v>
      </c>
      <c r="B139" s="20" t="n">
        <f aca="false">Akaun!C139</f>
        <v>0</v>
      </c>
      <c r="C139" s="20" t="n">
        <f aca="false">Akaun!D139</f>
        <v>0</v>
      </c>
      <c r="D139" s="39" t="n">
        <f aca="false">SUMIF(Baris_Transaksi!$C$5:$C$5000,A139,Baris_Transaksi!$D$5:$D$5000)</f>
        <v>0</v>
      </c>
      <c r="E139" s="39" t="n">
        <f aca="false">SUMIF(Baris_Transaksi!$C$5:$C$5000,A139,Baris_Transaksi!$E$5:$E$5000)</f>
        <v>0</v>
      </c>
      <c r="F139" s="39" t="n">
        <f aca="false">IF(D139-E139&gt;0,D139-E139,0)</f>
        <v>0</v>
      </c>
      <c r="G139" s="39" t="n">
        <f aca="false">IF(E139-D139&gt;0,E139-D139,0)</f>
        <v>0</v>
      </c>
      <c r="H139" s="39" t="n">
        <f aca="false">IF(OR(C139="Aset",C139="Perbelanjaan"),D139-E139,E139-D139)</f>
        <v>0</v>
      </c>
    </row>
    <row r="140" customFormat="false" ht="15" hidden="false" customHeight="true" outlineLevel="0" collapsed="false">
      <c r="A140" s="20" t="n">
        <f aca="false">Akaun!A140</f>
        <v>0</v>
      </c>
      <c r="B140" s="20" t="n">
        <f aca="false">Akaun!C140</f>
        <v>0</v>
      </c>
      <c r="C140" s="20" t="n">
        <f aca="false">Akaun!D140</f>
        <v>0</v>
      </c>
      <c r="D140" s="39" t="n">
        <f aca="false">SUMIF(Baris_Transaksi!$C$5:$C$5000,A140,Baris_Transaksi!$D$5:$D$5000)</f>
        <v>0</v>
      </c>
      <c r="E140" s="39" t="n">
        <f aca="false">SUMIF(Baris_Transaksi!$C$5:$C$5000,A140,Baris_Transaksi!$E$5:$E$5000)</f>
        <v>0</v>
      </c>
      <c r="F140" s="39" t="n">
        <f aca="false">IF(D140-E140&gt;0,D140-E140,0)</f>
        <v>0</v>
      </c>
      <c r="G140" s="39" t="n">
        <f aca="false">IF(E140-D140&gt;0,E140-D140,0)</f>
        <v>0</v>
      </c>
      <c r="H140" s="39" t="n">
        <f aca="false">IF(OR(C140="Aset",C140="Perbelanjaan"),D140-E140,E140-D140)</f>
        <v>0</v>
      </c>
    </row>
    <row r="141" customFormat="false" ht="15" hidden="false" customHeight="true" outlineLevel="0" collapsed="false">
      <c r="A141" s="20" t="n">
        <f aca="false">Akaun!A141</f>
        <v>0</v>
      </c>
      <c r="B141" s="20" t="n">
        <f aca="false">Akaun!C141</f>
        <v>0</v>
      </c>
      <c r="C141" s="20" t="n">
        <f aca="false">Akaun!D141</f>
        <v>0</v>
      </c>
      <c r="D141" s="39" t="n">
        <f aca="false">SUMIF(Baris_Transaksi!$C$5:$C$5000,A141,Baris_Transaksi!$D$5:$D$5000)</f>
        <v>0</v>
      </c>
      <c r="E141" s="39" t="n">
        <f aca="false">SUMIF(Baris_Transaksi!$C$5:$C$5000,A141,Baris_Transaksi!$E$5:$E$5000)</f>
        <v>0</v>
      </c>
      <c r="F141" s="39" t="n">
        <f aca="false">IF(D141-E141&gt;0,D141-E141,0)</f>
        <v>0</v>
      </c>
      <c r="G141" s="39" t="n">
        <f aca="false">IF(E141-D141&gt;0,E141-D141,0)</f>
        <v>0</v>
      </c>
      <c r="H141" s="39" t="n">
        <f aca="false">IF(OR(C141="Aset",C141="Perbelanjaan"),D141-E141,E141-D141)</f>
        <v>0</v>
      </c>
    </row>
    <row r="142" customFormat="false" ht="15" hidden="false" customHeight="true" outlineLevel="0" collapsed="false">
      <c r="A142" s="20" t="n">
        <f aca="false">Akaun!A142</f>
        <v>0</v>
      </c>
      <c r="B142" s="20" t="n">
        <f aca="false">Akaun!C142</f>
        <v>0</v>
      </c>
      <c r="C142" s="20" t="n">
        <f aca="false">Akaun!D142</f>
        <v>0</v>
      </c>
      <c r="D142" s="39" t="n">
        <f aca="false">SUMIF(Baris_Transaksi!$C$5:$C$5000,A142,Baris_Transaksi!$D$5:$D$5000)</f>
        <v>0</v>
      </c>
      <c r="E142" s="39" t="n">
        <f aca="false">SUMIF(Baris_Transaksi!$C$5:$C$5000,A142,Baris_Transaksi!$E$5:$E$5000)</f>
        <v>0</v>
      </c>
      <c r="F142" s="39" t="n">
        <f aca="false">IF(D142-E142&gt;0,D142-E142,0)</f>
        <v>0</v>
      </c>
      <c r="G142" s="39" t="n">
        <f aca="false">IF(E142-D142&gt;0,E142-D142,0)</f>
        <v>0</v>
      </c>
      <c r="H142" s="39" t="n">
        <f aca="false">IF(OR(C142="Aset",C142="Perbelanjaan"),D142-E142,E142-D142)</f>
        <v>0</v>
      </c>
    </row>
    <row r="143" customFormat="false" ht="15" hidden="false" customHeight="true" outlineLevel="0" collapsed="false">
      <c r="A143" s="20" t="n">
        <f aca="false">Akaun!A143</f>
        <v>0</v>
      </c>
      <c r="B143" s="20" t="n">
        <f aca="false">Akaun!C143</f>
        <v>0</v>
      </c>
      <c r="C143" s="20" t="n">
        <f aca="false">Akaun!D143</f>
        <v>0</v>
      </c>
      <c r="D143" s="39" t="n">
        <f aca="false">SUMIF(Baris_Transaksi!$C$5:$C$5000,A143,Baris_Transaksi!$D$5:$D$5000)</f>
        <v>0</v>
      </c>
      <c r="E143" s="39" t="n">
        <f aca="false">SUMIF(Baris_Transaksi!$C$5:$C$5000,A143,Baris_Transaksi!$E$5:$E$5000)</f>
        <v>0</v>
      </c>
      <c r="F143" s="39" t="n">
        <f aca="false">IF(D143-E143&gt;0,D143-E143,0)</f>
        <v>0</v>
      </c>
      <c r="G143" s="39" t="n">
        <f aca="false">IF(E143-D143&gt;0,E143-D143,0)</f>
        <v>0</v>
      </c>
      <c r="H143" s="39" t="n">
        <f aca="false">IF(OR(C143="Aset",C143="Perbelanjaan"),D143-E143,E143-D143)</f>
        <v>0</v>
      </c>
    </row>
    <row r="144" customFormat="false" ht="15" hidden="false" customHeight="true" outlineLevel="0" collapsed="false">
      <c r="A144" s="20" t="n">
        <f aca="false">Akaun!A144</f>
        <v>0</v>
      </c>
      <c r="B144" s="20" t="n">
        <f aca="false">Akaun!C144</f>
        <v>0</v>
      </c>
      <c r="C144" s="20" t="n">
        <f aca="false">Akaun!D144</f>
        <v>0</v>
      </c>
      <c r="D144" s="39" t="n">
        <f aca="false">SUMIF(Baris_Transaksi!$C$5:$C$5000,A144,Baris_Transaksi!$D$5:$D$5000)</f>
        <v>0</v>
      </c>
      <c r="E144" s="39" t="n">
        <f aca="false">SUMIF(Baris_Transaksi!$C$5:$C$5000,A144,Baris_Transaksi!$E$5:$E$5000)</f>
        <v>0</v>
      </c>
      <c r="F144" s="39" t="n">
        <f aca="false">IF(D144-E144&gt;0,D144-E144,0)</f>
        <v>0</v>
      </c>
      <c r="G144" s="39" t="n">
        <f aca="false">IF(E144-D144&gt;0,E144-D144,0)</f>
        <v>0</v>
      </c>
      <c r="H144" s="39" t="n">
        <f aca="false">IF(OR(C144="Aset",C144="Perbelanjaan"),D144-E144,E144-D144)</f>
        <v>0</v>
      </c>
    </row>
    <row r="145" customFormat="false" ht="15" hidden="false" customHeight="true" outlineLevel="0" collapsed="false">
      <c r="A145" s="20" t="n">
        <f aca="false">Akaun!A145</f>
        <v>0</v>
      </c>
      <c r="B145" s="20" t="n">
        <f aca="false">Akaun!C145</f>
        <v>0</v>
      </c>
      <c r="C145" s="20" t="n">
        <f aca="false">Akaun!D145</f>
        <v>0</v>
      </c>
      <c r="D145" s="39" t="n">
        <f aca="false">SUMIF(Baris_Transaksi!$C$5:$C$5000,A145,Baris_Transaksi!$D$5:$D$5000)</f>
        <v>0</v>
      </c>
      <c r="E145" s="39" t="n">
        <f aca="false">SUMIF(Baris_Transaksi!$C$5:$C$5000,A145,Baris_Transaksi!$E$5:$E$5000)</f>
        <v>0</v>
      </c>
      <c r="F145" s="39" t="n">
        <f aca="false">IF(D145-E145&gt;0,D145-E145,0)</f>
        <v>0</v>
      </c>
      <c r="G145" s="39" t="n">
        <f aca="false">IF(E145-D145&gt;0,E145-D145,0)</f>
        <v>0</v>
      </c>
      <c r="H145" s="39" t="n">
        <f aca="false">IF(OR(C145="Aset",C145="Perbelanjaan"),D145-E145,E145-D145)</f>
        <v>0</v>
      </c>
    </row>
    <row r="146" customFormat="false" ht="15" hidden="false" customHeight="true" outlineLevel="0" collapsed="false">
      <c r="A146" s="20" t="n">
        <f aca="false">Akaun!A146</f>
        <v>0</v>
      </c>
      <c r="B146" s="20" t="n">
        <f aca="false">Akaun!C146</f>
        <v>0</v>
      </c>
      <c r="C146" s="20" t="n">
        <f aca="false">Akaun!D146</f>
        <v>0</v>
      </c>
      <c r="D146" s="39" t="n">
        <f aca="false">SUMIF(Baris_Transaksi!$C$5:$C$5000,A146,Baris_Transaksi!$D$5:$D$5000)</f>
        <v>0</v>
      </c>
      <c r="E146" s="39" t="n">
        <f aca="false">SUMIF(Baris_Transaksi!$C$5:$C$5000,A146,Baris_Transaksi!$E$5:$E$5000)</f>
        <v>0</v>
      </c>
      <c r="F146" s="39" t="n">
        <f aca="false">IF(D146-E146&gt;0,D146-E146,0)</f>
        <v>0</v>
      </c>
      <c r="G146" s="39" t="n">
        <f aca="false">IF(E146-D146&gt;0,E146-D146,0)</f>
        <v>0</v>
      </c>
      <c r="H146" s="39" t="n">
        <f aca="false">IF(OR(C146="Aset",C146="Perbelanjaan"),D146-E146,E146-D146)</f>
        <v>0</v>
      </c>
    </row>
    <row r="147" customFormat="false" ht="15" hidden="false" customHeight="true" outlineLevel="0" collapsed="false">
      <c r="A147" s="20" t="n">
        <f aca="false">Akaun!A147</f>
        <v>0</v>
      </c>
      <c r="B147" s="20" t="n">
        <f aca="false">Akaun!C147</f>
        <v>0</v>
      </c>
      <c r="C147" s="20" t="n">
        <f aca="false">Akaun!D147</f>
        <v>0</v>
      </c>
      <c r="D147" s="39" t="n">
        <f aca="false">SUMIF(Baris_Transaksi!$C$5:$C$5000,A147,Baris_Transaksi!$D$5:$D$5000)</f>
        <v>0</v>
      </c>
      <c r="E147" s="39" t="n">
        <f aca="false">SUMIF(Baris_Transaksi!$C$5:$C$5000,A147,Baris_Transaksi!$E$5:$E$5000)</f>
        <v>0</v>
      </c>
      <c r="F147" s="39" t="n">
        <f aca="false">IF(D147-E147&gt;0,D147-E147,0)</f>
        <v>0</v>
      </c>
      <c r="G147" s="39" t="n">
        <f aca="false">IF(E147-D147&gt;0,E147-D147,0)</f>
        <v>0</v>
      </c>
      <c r="H147" s="39" t="n">
        <f aca="false">IF(OR(C147="Aset",C147="Perbelanjaan"),D147-E147,E147-D147)</f>
        <v>0</v>
      </c>
    </row>
    <row r="148" customFormat="false" ht="15" hidden="false" customHeight="true" outlineLevel="0" collapsed="false">
      <c r="A148" s="20" t="n">
        <f aca="false">Akaun!A148</f>
        <v>0</v>
      </c>
      <c r="B148" s="20" t="n">
        <f aca="false">Akaun!C148</f>
        <v>0</v>
      </c>
      <c r="C148" s="20" t="n">
        <f aca="false">Akaun!D148</f>
        <v>0</v>
      </c>
      <c r="D148" s="39" t="n">
        <f aca="false">SUMIF(Baris_Transaksi!$C$5:$C$5000,A148,Baris_Transaksi!$D$5:$D$5000)</f>
        <v>0</v>
      </c>
      <c r="E148" s="39" t="n">
        <f aca="false">SUMIF(Baris_Transaksi!$C$5:$C$5000,A148,Baris_Transaksi!$E$5:$E$5000)</f>
        <v>0</v>
      </c>
      <c r="F148" s="39" t="n">
        <f aca="false">IF(D148-E148&gt;0,D148-E148,0)</f>
        <v>0</v>
      </c>
      <c r="G148" s="39" t="n">
        <f aca="false">IF(E148-D148&gt;0,E148-D148,0)</f>
        <v>0</v>
      </c>
      <c r="H148" s="39" t="n">
        <f aca="false">IF(OR(C148="Aset",C148="Perbelanjaan"),D148-E148,E148-D148)</f>
        <v>0</v>
      </c>
    </row>
    <row r="149" customFormat="false" ht="15" hidden="false" customHeight="true" outlineLevel="0" collapsed="false">
      <c r="A149" s="20" t="n">
        <f aca="false">Akaun!A149</f>
        <v>0</v>
      </c>
      <c r="B149" s="20" t="n">
        <f aca="false">Akaun!C149</f>
        <v>0</v>
      </c>
      <c r="C149" s="20" t="n">
        <f aca="false">Akaun!D149</f>
        <v>0</v>
      </c>
      <c r="D149" s="39" t="n">
        <f aca="false">SUMIF(Baris_Transaksi!$C$5:$C$5000,A149,Baris_Transaksi!$D$5:$D$5000)</f>
        <v>0</v>
      </c>
      <c r="E149" s="39" t="n">
        <f aca="false">SUMIF(Baris_Transaksi!$C$5:$C$5000,A149,Baris_Transaksi!$E$5:$E$5000)</f>
        <v>0</v>
      </c>
      <c r="F149" s="39" t="n">
        <f aca="false">IF(D149-E149&gt;0,D149-E149,0)</f>
        <v>0</v>
      </c>
      <c r="G149" s="39" t="n">
        <f aca="false">IF(E149-D149&gt;0,E149-D149,0)</f>
        <v>0</v>
      </c>
      <c r="H149" s="39" t="n">
        <f aca="false">IF(OR(C149="Aset",C149="Perbelanjaan"),D149-E149,E149-D149)</f>
        <v>0</v>
      </c>
    </row>
    <row r="150" customFormat="false" ht="15" hidden="false" customHeight="true" outlineLevel="0" collapsed="false">
      <c r="A150" s="20" t="n">
        <f aca="false">Akaun!A150</f>
        <v>0</v>
      </c>
      <c r="B150" s="20" t="n">
        <f aca="false">Akaun!C150</f>
        <v>0</v>
      </c>
      <c r="C150" s="20" t="n">
        <f aca="false">Akaun!D150</f>
        <v>0</v>
      </c>
      <c r="D150" s="39" t="n">
        <f aca="false">SUMIF(Baris_Transaksi!$C$5:$C$5000,A150,Baris_Transaksi!$D$5:$D$5000)</f>
        <v>0</v>
      </c>
      <c r="E150" s="39" t="n">
        <f aca="false">SUMIF(Baris_Transaksi!$C$5:$C$5000,A150,Baris_Transaksi!$E$5:$E$5000)</f>
        <v>0</v>
      </c>
      <c r="F150" s="39" t="n">
        <f aca="false">IF(D150-E150&gt;0,D150-E150,0)</f>
        <v>0</v>
      </c>
      <c r="G150" s="39" t="n">
        <f aca="false">IF(E150-D150&gt;0,E150-D150,0)</f>
        <v>0</v>
      </c>
      <c r="H150" s="39" t="n">
        <f aca="false">IF(OR(C150="Aset",C150="Perbelanjaan"),D150-E150,E150-D150)</f>
        <v>0</v>
      </c>
    </row>
    <row r="151" customFormat="false" ht="15" hidden="false" customHeight="true" outlineLevel="0" collapsed="false">
      <c r="A151" s="42" t="s">
        <v>425</v>
      </c>
      <c r="B151" s="43"/>
      <c r="C151" s="43"/>
      <c r="D151" s="43"/>
      <c r="E151" s="43"/>
      <c r="F151" s="44" t="n">
        <f aca="false">SUM(F5:F150)</f>
        <v>0</v>
      </c>
      <c r="G151" s="44" t="n">
        <f aca="false">SUM(G5:G150)</f>
        <v>0</v>
      </c>
      <c r="H151" s="43"/>
    </row>
    <row r="152" customFormat="false" ht="15" hidden="false" customHeight="true" outlineLevel="0" collapsed="false">
      <c r="A152" s="6"/>
      <c r="B152" s="6"/>
      <c r="C152" s="6"/>
      <c r="D152" s="6"/>
      <c r="E152" s="6"/>
      <c r="F152" s="6"/>
      <c r="G152" s="6"/>
      <c r="H152" s="6"/>
    </row>
    <row r="153" customFormat="false" ht="15" hidden="false" customHeight="true" outlineLevel="0" collapsed="false">
      <c r="A153" s="28" t="s">
        <v>429</v>
      </c>
      <c r="B153" s="28" t="str">
        <f aca="false">IF(ROUND(F151-G151,2)=0,"SEIMBANG","TIDAK SEIMBANG - beza RM"&amp;TEXT(F151-G151,"#,##0.00"))</f>
        <v>SEIMBANG</v>
      </c>
      <c r="C153" s="6"/>
      <c r="D153" s="6"/>
      <c r="E153" s="6"/>
      <c r="F153" s="6"/>
      <c r="G153" s="6"/>
      <c r="H153" s="6"/>
    </row>
    <row r="154" customFormat="false" ht="15" hidden="false" customHeight="true" outlineLevel="0" collapsed="false">
      <c r="A154" s="28" t="s">
        <v>458</v>
      </c>
      <c r="B154" s="28" t="str">
        <f aca="false">COUNTA(Baris_Transaksi!$B$5:$B$5000)&amp;" / 4996"</f>
        <v>0 / 4996</v>
      </c>
      <c r="C154" s="6" t="str">
        <f aca="false">IF(COUNTA(Baris_Transaksi!$B$5:$B$5000)&gt;4996*0.9,"HAMPIR PENUH - lebarkan julat formula","OK")</f>
        <v>OK</v>
      </c>
      <c r="D154" s="6"/>
      <c r="E154" s="6"/>
      <c r="F154" s="6"/>
      <c r="G154" s="6"/>
      <c r="H154" s="6"/>
    </row>
    <row r="155" customFormat="false" ht="15" hidden="false" customHeight="true" outlineLevel="0" collapsed="false">
      <c r="A155" s="6"/>
      <c r="B155" s="6"/>
      <c r="C155" s="6"/>
      <c r="D155" s="6"/>
      <c r="E155" s="6"/>
      <c r="F155" s="6"/>
      <c r="G155" s="6"/>
      <c r="H155" s="6"/>
    </row>
    <row r="156" customFormat="false" ht="15" hidden="false" customHeight="true" outlineLevel="0" collapsed="false">
      <c r="A156" s="6"/>
      <c r="B156" s="6"/>
      <c r="C156" s="6"/>
      <c r="D156" s="6"/>
      <c r="E156" s="6"/>
      <c r="F156" s="6"/>
      <c r="G156" s="6"/>
      <c r="H156" s="6"/>
    </row>
    <row r="157" customFormat="false" ht="15" hidden="false" customHeight="true" outlineLevel="0" collapsed="false">
      <c r="A157" s="6"/>
      <c r="B157" s="6"/>
      <c r="C157" s="6"/>
      <c r="D157" s="6"/>
      <c r="E157" s="6"/>
      <c r="F157" s="6"/>
      <c r="G157" s="6"/>
      <c r="H157" s="6"/>
    </row>
    <row r="158" customFormat="false" ht="15" hidden="false" customHeight="true" outlineLevel="0" collapsed="false">
      <c r="A158" s="6"/>
      <c r="B158" s="6"/>
      <c r="C158" s="6"/>
      <c r="D158" s="6"/>
      <c r="E158" s="6"/>
      <c r="F158" s="6"/>
      <c r="G158" s="6"/>
      <c r="H158" s="6"/>
    </row>
    <row r="159" customFormat="false" ht="15" hidden="false" customHeight="true" outlineLevel="0" collapsed="false">
      <c r="A159" s="6"/>
      <c r="B159" s="6"/>
      <c r="C159" s="6"/>
      <c r="D159" s="6"/>
      <c r="E159" s="6"/>
      <c r="F159" s="6"/>
      <c r="G159" s="6"/>
      <c r="H159" s="6"/>
    </row>
    <row r="160" customFormat="false" ht="15" hidden="false" customHeight="true" outlineLevel="0" collapsed="false">
      <c r="A160" s="6"/>
      <c r="B160" s="6"/>
      <c r="C160" s="6"/>
      <c r="D160" s="6"/>
      <c r="E160" s="6"/>
      <c r="F160" s="6"/>
      <c r="G160" s="6"/>
      <c r="H160" s="6"/>
    </row>
    <row r="161" customFormat="false" ht="15" hidden="false" customHeight="true" outlineLevel="0" collapsed="false">
      <c r="A161" s="6"/>
      <c r="B161" s="6"/>
      <c r="C161" s="6"/>
      <c r="D161" s="6"/>
      <c r="E161" s="6"/>
      <c r="F161" s="6"/>
      <c r="G161" s="6"/>
      <c r="H161" s="6"/>
    </row>
    <row r="162" customFormat="false" ht="15" hidden="false" customHeight="true" outlineLevel="0" collapsed="false">
      <c r="A162" s="6"/>
      <c r="B162" s="6"/>
      <c r="C162" s="6"/>
      <c r="D162" s="6"/>
      <c r="E162" s="6"/>
      <c r="F162" s="6"/>
      <c r="G162" s="6"/>
      <c r="H162" s="6"/>
    </row>
    <row r="163" customFormat="false" ht="15" hidden="false" customHeight="true" outlineLevel="0" collapsed="false">
      <c r="A163" s="6"/>
      <c r="B163" s="6"/>
      <c r="C163" s="6"/>
      <c r="D163" s="6"/>
      <c r="E163" s="6"/>
      <c r="F163" s="6"/>
      <c r="G163" s="6"/>
      <c r="H163" s="6"/>
    </row>
    <row r="164" customFormat="false" ht="15" hidden="false" customHeight="true" outlineLevel="0" collapsed="false">
      <c r="A164" s="6"/>
      <c r="B164" s="6"/>
      <c r="C164" s="6"/>
      <c r="D164" s="6"/>
      <c r="E164" s="6"/>
      <c r="F164" s="6"/>
      <c r="G164" s="6"/>
      <c r="H164" s="6"/>
    </row>
    <row r="165" customFormat="false" ht="15" hidden="false" customHeight="true" outlineLevel="0" collapsed="false">
      <c r="A165" s="6"/>
      <c r="B165" s="6"/>
      <c r="C165" s="6"/>
      <c r="D165" s="6"/>
      <c r="E165" s="6"/>
      <c r="F165" s="6"/>
      <c r="G165" s="6"/>
      <c r="H165" s="6"/>
    </row>
    <row r="166" customFormat="false" ht="15" hidden="false" customHeight="true" outlineLevel="0" collapsed="false">
      <c r="A166" s="6"/>
      <c r="B166" s="6"/>
      <c r="C166" s="6"/>
      <c r="D166" s="6"/>
      <c r="E166" s="6"/>
      <c r="F166" s="6"/>
      <c r="G166" s="6"/>
      <c r="H166" s="6"/>
    </row>
    <row r="167" customFormat="false" ht="15" hidden="false" customHeight="true" outlineLevel="0" collapsed="false">
      <c r="A167" s="6"/>
      <c r="B167" s="6"/>
      <c r="C167" s="6"/>
      <c r="D167" s="6"/>
      <c r="E167" s="6"/>
      <c r="F167" s="6"/>
      <c r="G167" s="6"/>
      <c r="H167" s="6"/>
    </row>
    <row r="168" customFormat="false" ht="15" hidden="false" customHeight="true" outlineLevel="0" collapsed="false">
      <c r="A168" s="6"/>
      <c r="B168" s="6"/>
      <c r="C168" s="6"/>
      <c r="D168" s="6"/>
      <c r="E168" s="6"/>
      <c r="F168" s="6"/>
      <c r="G168" s="6"/>
      <c r="H168" s="6"/>
    </row>
    <row r="169" customFormat="false" ht="15" hidden="false" customHeight="true" outlineLevel="0" collapsed="false">
      <c r="A169" s="6"/>
      <c r="B169" s="6"/>
      <c r="C169" s="6"/>
      <c r="D169" s="6"/>
      <c r="E169" s="6"/>
      <c r="F169" s="6"/>
      <c r="G169" s="6"/>
      <c r="H169" s="6"/>
    </row>
    <row r="170" customFormat="false" ht="15" hidden="false" customHeight="true" outlineLevel="0" collapsed="false">
      <c r="A170" s="6"/>
      <c r="B170" s="6"/>
      <c r="C170" s="6"/>
      <c r="D170" s="6"/>
      <c r="E170" s="6"/>
      <c r="F170" s="6"/>
      <c r="G170" s="6"/>
      <c r="H170" s="6"/>
    </row>
    <row r="171" customFormat="false" ht="15" hidden="false" customHeight="true" outlineLevel="0" collapsed="false">
      <c r="A171" s="6"/>
      <c r="B171" s="6"/>
      <c r="C171" s="6"/>
      <c r="D171" s="6"/>
      <c r="E171" s="6"/>
      <c r="F171" s="6"/>
      <c r="G171" s="6"/>
      <c r="H171" s="6"/>
    </row>
    <row r="172" customFormat="false" ht="15" hidden="false" customHeight="true" outlineLevel="0" collapsed="false">
      <c r="A172" s="6"/>
      <c r="B172" s="6"/>
      <c r="C172" s="6"/>
      <c r="D172" s="6"/>
      <c r="E172" s="6"/>
      <c r="F172" s="6"/>
      <c r="G172" s="6"/>
      <c r="H172" s="6"/>
    </row>
    <row r="173" customFormat="false" ht="15" hidden="false" customHeight="true" outlineLevel="0" collapsed="false">
      <c r="A173" s="6"/>
      <c r="B173" s="6"/>
      <c r="C173" s="6"/>
      <c r="D173" s="6"/>
      <c r="E173" s="6"/>
      <c r="F173" s="6"/>
      <c r="G173" s="6"/>
      <c r="H173" s="6"/>
    </row>
    <row r="174" customFormat="false" ht="15" hidden="false" customHeight="true" outlineLevel="0" collapsed="false">
      <c r="A174" s="6"/>
      <c r="B174" s="6"/>
      <c r="C174" s="6"/>
      <c r="D174" s="6"/>
      <c r="E174" s="6"/>
      <c r="F174" s="6"/>
      <c r="G174" s="6"/>
      <c r="H174" s="6"/>
    </row>
    <row r="175" customFormat="false" ht="15" hidden="false" customHeight="true" outlineLevel="0" collapsed="false">
      <c r="A175" s="6"/>
      <c r="B175" s="6"/>
      <c r="C175" s="6"/>
      <c r="D175" s="6"/>
      <c r="E175" s="6"/>
      <c r="F175" s="6"/>
      <c r="G175" s="6"/>
      <c r="H175" s="6"/>
    </row>
    <row r="176" customFormat="false" ht="15" hidden="false" customHeight="true" outlineLevel="0" collapsed="false">
      <c r="A176" s="6"/>
      <c r="B176" s="6"/>
      <c r="C176" s="6"/>
      <c r="D176" s="6"/>
      <c r="E176" s="6"/>
      <c r="F176" s="6"/>
      <c r="G176" s="6"/>
      <c r="H176" s="6"/>
    </row>
    <row r="177" customFormat="false" ht="15" hidden="false" customHeight="true" outlineLevel="0" collapsed="false">
      <c r="A177" s="6"/>
      <c r="B177" s="6"/>
      <c r="C177" s="6"/>
      <c r="D177" s="6"/>
      <c r="E177" s="6"/>
      <c r="F177" s="6"/>
      <c r="G177" s="6"/>
      <c r="H177" s="6"/>
    </row>
    <row r="178" customFormat="false" ht="15" hidden="false" customHeight="true" outlineLevel="0" collapsed="false">
      <c r="A178" s="6"/>
      <c r="B178" s="6"/>
      <c r="C178" s="6"/>
      <c r="D178" s="6"/>
      <c r="E178" s="6"/>
      <c r="F178" s="6"/>
      <c r="G178" s="6"/>
      <c r="H178" s="6"/>
    </row>
    <row r="179" customFormat="false" ht="15" hidden="false" customHeight="true" outlineLevel="0" collapsed="false">
      <c r="A179" s="6"/>
      <c r="B179" s="6"/>
      <c r="C179" s="6"/>
      <c r="D179" s="6"/>
      <c r="E179" s="6"/>
      <c r="F179" s="6"/>
      <c r="G179" s="6"/>
      <c r="H179" s="6"/>
    </row>
    <row r="180" customFormat="false" ht="15" hidden="false" customHeight="true" outlineLevel="0" collapsed="false">
      <c r="A180" s="6"/>
      <c r="B180" s="6"/>
      <c r="C180" s="6"/>
      <c r="D180" s="6"/>
      <c r="E180" s="6"/>
      <c r="F180" s="6"/>
      <c r="G180" s="6"/>
      <c r="H180" s="6"/>
    </row>
    <row r="181" customFormat="false" ht="15" hidden="false" customHeight="true" outlineLevel="0" collapsed="false">
      <c r="A181" s="6"/>
      <c r="B181" s="6"/>
      <c r="C181" s="6"/>
      <c r="D181" s="6"/>
      <c r="E181" s="6"/>
      <c r="F181" s="6"/>
      <c r="G181" s="6"/>
      <c r="H181" s="6"/>
    </row>
    <row r="182" customFormat="false" ht="15" hidden="false" customHeight="true" outlineLevel="0" collapsed="false">
      <c r="A182" s="6"/>
      <c r="B182" s="6"/>
      <c r="C182" s="6"/>
      <c r="D182" s="6"/>
      <c r="E182" s="6"/>
      <c r="F182" s="6"/>
      <c r="G182" s="6"/>
      <c r="H182" s="6"/>
    </row>
    <row r="183" customFormat="false" ht="15" hidden="false" customHeight="true" outlineLevel="0" collapsed="false">
      <c r="A183" s="6"/>
      <c r="B183" s="6"/>
      <c r="C183" s="6"/>
      <c r="D183" s="6"/>
      <c r="E183" s="6"/>
      <c r="F183" s="6"/>
      <c r="G183" s="6"/>
      <c r="H183" s="6"/>
    </row>
    <row r="184" customFormat="false" ht="15" hidden="false" customHeight="true" outlineLevel="0" collapsed="false">
      <c r="A184" s="6"/>
      <c r="B184" s="6"/>
      <c r="C184" s="6"/>
      <c r="D184" s="6"/>
      <c r="E184" s="6"/>
      <c r="F184" s="6"/>
      <c r="G184" s="6"/>
      <c r="H184" s="6"/>
    </row>
    <row r="185" customFormat="false" ht="15" hidden="false" customHeight="true" outlineLevel="0" collapsed="false">
      <c r="A185" s="6"/>
      <c r="B185" s="6"/>
      <c r="C185" s="6"/>
      <c r="D185" s="6"/>
      <c r="E185" s="6"/>
      <c r="F185" s="6"/>
      <c r="G185" s="6"/>
      <c r="H185" s="6"/>
    </row>
    <row r="186" customFormat="false" ht="15" hidden="false" customHeight="true" outlineLevel="0" collapsed="false">
      <c r="A186" s="6"/>
      <c r="B186" s="6"/>
      <c r="C186" s="6"/>
      <c r="D186" s="6"/>
      <c r="E186" s="6"/>
      <c r="F186" s="6"/>
      <c r="G186" s="6"/>
      <c r="H186" s="6"/>
    </row>
    <row r="187" customFormat="false" ht="15" hidden="false" customHeight="true" outlineLevel="0" collapsed="false">
      <c r="A187" s="6"/>
      <c r="B187" s="6"/>
      <c r="C187" s="6"/>
      <c r="D187" s="6"/>
      <c r="E187" s="6"/>
      <c r="F187" s="6"/>
      <c r="G187" s="6"/>
      <c r="H187" s="6"/>
    </row>
    <row r="188" customFormat="false" ht="15" hidden="false" customHeight="true" outlineLevel="0" collapsed="false">
      <c r="A188" s="6"/>
      <c r="B188" s="6"/>
      <c r="C188" s="6"/>
      <c r="D188" s="6"/>
      <c r="E188" s="6"/>
      <c r="F188" s="6"/>
      <c r="G188" s="6"/>
      <c r="H188" s="6"/>
    </row>
    <row r="189" customFormat="false" ht="15" hidden="false" customHeight="true" outlineLevel="0" collapsed="false">
      <c r="A189" s="6"/>
      <c r="B189" s="6"/>
      <c r="C189" s="6"/>
      <c r="D189" s="6"/>
      <c r="E189" s="6"/>
      <c r="F189" s="6"/>
      <c r="G189" s="6"/>
      <c r="H189" s="6"/>
    </row>
    <row r="190" customFormat="false" ht="15" hidden="false" customHeight="true" outlineLevel="0" collapsed="false">
      <c r="A190" s="6"/>
      <c r="B190" s="6"/>
      <c r="C190" s="6"/>
      <c r="D190" s="6"/>
      <c r="E190" s="6"/>
      <c r="F190" s="6"/>
      <c r="G190" s="6"/>
      <c r="H190" s="6"/>
    </row>
    <row r="191" customFormat="false" ht="15" hidden="false" customHeight="true" outlineLevel="0" collapsed="false">
      <c r="A191" s="6"/>
      <c r="B191" s="6"/>
      <c r="C191" s="6"/>
      <c r="D191" s="6"/>
      <c r="E191" s="6"/>
      <c r="F191" s="6"/>
      <c r="G191" s="6"/>
      <c r="H191" s="6"/>
    </row>
    <row r="192" customFormat="false" ht="15" hidden="false" customHeight="true" outlineLevel="0" collapsed="false">
      <c r="A192" s="6"/>
      <c r="B192" s="6"/>
      <c r="C192" s="6"/>
      <c r="D192" s="6"/>
      <c r="E192" s="6"/>
      <c r="F192" s="6"/>
      <c r="G192" s="6"/>
      <c r="H192" s="6"/>
    </row>
    <row r="193" customFormat="false" ht="15" hidden="false" customHeight="true" outlineLevel="0" collapsed="false">
      <c r="A193" s="6"/>
      <c r="B193" s="6"/>
      <c r="C193" s="6"/>
      <c r="D193" s="6"/>
      <c r="E193" s="6"/>
      <c r="F193" s="6"/>
      <c r="G193" s="6"/>
      <c r="H193" s="6"/>
    </row>
    <row r="194" customFormat="false" ht="15" hidden="false" customHeight="true" outlineLevel="0" collapsed="false">
      <c r="A194" s="6"/>
      <c r="B194" s="6"/>
      <c r="C194" s="6"/>
      <c r="D194" s="6"/>
      <c r="E194" s="6"/>
      <c r="F194" s="6"/>
      <c r="G194" s="6"/>
      <c r="H194" s="6"/>
    </row>
    <row r="195" customFormat="false" ht="15" hidden="false" customHeight="true" outlineLevel="0" collapsed="false">
      <c r="A195" s="6"/>
      <c r="B195" s="6"/>
      <c r="C195" s="6"/>
      <c r="D195" s="6"/>
      <c r="E195" s="6"/>
      <c r="F195" s="6"/>
      <c r="G195" s="6"/>
      <c r="H195" s="6"/>
    </row>
    <row r="196" customFormat="false" ht="15" hidden="false" customHeight="true" outlineLevel="0" collapsed="false">
      <c r="A196" s="6"/>
      <c r="B196" s="6"/>
      <c r="C196" s="6"/>
      <c r="D196" s="6"/>
      <c r="E196" s="6"/>
      <c r="F196" s="6"/>
      <c r="G196" s="6"/>
      <c r="H196" s="6"/>
    </row>
    <row r="197" customFormat="false" ht="15" hidden="false" customHeight="true" outlineLevel="0" collapsed="false">
      <c r="A197" s="6"/>
      <c r="B197" s="6"/>
      <c r="C197" s="6"/>
      <c r="D197" s="6"/>
      <c r="E197" s="6"/>
      <c r="F197" s="6"/>
      <c r="G197" s="6"/>
      <c r="H197" s="6"/>
    </row>
    <row r="198" customFormat="false" ht="15" hidden="false" customHeight="true" outlineLevel="0" collapsed="false">
      <c r="A198" s="6"/>
      <c r="B198" s="6"/>
      <c r="C198" s="6"/>
      <c r="D198" s="6"/>
      <c r="E198" s="6"/>
      <c r="F198" s="6"/>
      <c r="G198" s="6"/>
      <c r="H198" s="6"/>
    </row>
    <row r="199" customFormat="false" ht="15" hidden="false" customHeight="true" outlineLevel="0" collapsed="false">
      <c r="A199" s="6"/>
      <c r="B199" s="6"/>
      <c r="C199" s="6"/>
      <c r="D199" s="6"/>
      <c r="E199" s="6"/>
      <c r="F199" s="6"/>
      <c r="G199" s="6"/>
      <c r="H199" s="6"/>
    </row>
    <row r="200" customFormat="false" ht="15" hidden="false" customHeight="true" outlineLevel="0" collapsed="false">
      <c r="A200" s="6"/>
      <c r="B200" s="6"/>
      <c r="C200" s="6"/>
      <c r="D200" s="6"/>
      <c r="E200" s="6"/>
      <c r="F200" s="6"/>
      <c r="G200" s="6"/>
      <c r="H200" s="6"/>
    </row>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1" width="42"/>
    <col collapsed="false" customWidth="true" hidden="false" outlineLevel="0" max="2" min="2" style="1" width="18"/>
    <col collapsed="false" customWidth="true" hidden="false" outlineLevel="0" max="26" min="3" style="1" width="8.71"/>
  </cols>
  <sheetData>
    <row r="1" customFormat="false" ht="17.25" hidden="false" customHeight="true" outlineLevel="0" collapsed="false">
      <c r="A1" s="9" t="s">
        <v>459</v>
      </c>
      <c r="B1" s="6"/>
    </row>
    <row r="2" customFormat="false" ht="15" hidden="false" customHeight="true" outlineLevel="0" collapsed="false">
      <c r="A2" s="10" t="s">
        <v>460</v>
      </c>
      <c r="B2" s="6"/>
    </row>
    <row r="3" customFormat="false" ht="15" hidden="false" customHeight="true" outlineLevel="0" collapsed="false">
      <c r="A3" s="6"/>
      <c r="B3" s="6"/>
    </row>
    <row r="4" customFormat="false" ht="15" hidden="false" customHeight="true" outlineLevel="0" collapsed="false">
      <c r="A4" s="45" t="s">
        <v>461</v>
      </c>
      <c r="B4" s="6"/>
    </row>
    <row r="5" customFormat="false" ht="15" hidden="false" customHeight="true" outlineLevel="0" collapsed="false">
      <c r="A5" s="20" t="s">
        <v>312</v>
      </c>
      <c r="B5" s="39" t="n">
        <f aca="false">SUMIF(Imbangan_Duga!$A$5:$A$150,4010,Imbangan_Duga!$H$5:$H$150)</f>
        <v>0</v>
      </c>
    </row>
    <row r="6" customFormat="false" ht="15" hidden="false" customHeight="true" outlineLevel="0" collapsed="false">
      <c r="A6" s="20" t="s">
        <v>314</v>
      </c>
      <c r="B6" s="39" t="n">
        <f aca="false">SUMIF(Imbangan_Duga!$A$5:$A$150,4020,Imbangan_Duga!$H$5:$H$150)</f>
        <v>0</v>
      </c>
    </row>
    <row r="7" customFormat="false" ht="15" hidden="false" customHeight="true" outlineLevel="0" collapsed="false">
      <c r="A7" s="20" t="s">
        <v>316</v>
      </c>
      <c r="B7" s="39" t="n">
        <f aca="false">SUMIF(Imbangan_Duga!$A$5:$A$150,4030,Imbangan_Duga!$H$5:$H$150)</f>
        <v>0</v>
      </c>
    </row>
    <row r="8" customFormat="false" ht="15" hidden="false" customHeight="true" outlineLevel="0" collapsed="false">
      <c r="A8" s="20" t="s">
        <v>318</v>
      </c>
      <c r="B8" s="39" t="n">
        <f aca="false">SUMIF(Imbangan_Duga!$A$5:$A$150,4040,Imbangan_Duga!$H$5:$H$150)</f>
        <v>0</v>
      </c>
    </row>
    <row r="9" customFormat="false" ht="15" hidden="false" customHeight="true" outlineLevel="0" collapsed="false">
      <c r="A9" s="20" t="s">
        <v>320</v>
      </c>
      <c r="B9" s="39" t="n">
        <f aca="false">SUMIF(Imbangan_Duga!$A$5:$A$150,4050,Imbangan_Duga!$H$5:$H$150)</f>
        <v>0</v>
      </c>
    </row>
    <row r="10" customFormat="false" ht="15" hidden="false" customHeight="true" outlineLevel="0" collapsed="false">
      <c r="A10" s="20" t="s">
        <v>322</v>
      </c>
      <c r="B10" s="39" t="n">
        <f aca="false">SUMIF(Imbangan_Duga!$A$5:$A$150,4060,Imbangan_Duga!$H$5:$H$150)</f>
        <v>0</v>
      </c>
    </row>
    <row r="11" customFormat="false" ht="15" hidden="false" customHeight="true" outlineLevel="0" collapsed="false">
      <c r="A11" s="20" t="s">
        <v>324</v>
      </c>
      <c r="B11" s="39" t="n">
        <f aca="false">SUMIF(Imbangan_Duga!$A$5:$A$150,4070,Imbangan_Duga!$H$5:$H$150)</f>
        <v>0</v>
      </c>
    </row>
    <row r="12" customFormat="false" ht="15" hidden="false" customHeight="true" outlineLevel="0" collapsed="false">
      <c r="A12" s="20" t="s">
        <v>326</v>
      </c>
      <c r="B12" s="39" t="n">
        <f aca="false">SUMIF(Imbangan_Duga!$A$5:$A$150,4080,Imbangan_Duga!$H$5:$H$150)</f>
        <v>0</v>
      </c>
    </row>
    <row r="13" customFormat="false" ht="15" hidden="false" customHeight="true" outlineLevel="0" collapsed="false">
      <c r="A13" s="42" t="s">
        <v>462</v>
      </c>
      <c r="B13" s="44" t="n">
        <f aca="false">SUMIF(Imbangan_Duga!$C$5:$C$150,"Hasil",Imbangan_Duga!$H$5:$H$150)</f>
        <v>0</v>
      </c>
    </row>
    <row r="14" customFormat="false" ht="15" hidden="false" customHeight="true" outlineLevel="0" collapsed="false">
      <c r="A14" s="6"/>
      <c r="B14" s="46"/>
    </row>
    <row r="15" customFormat="false" ht="15" hidden="false" customHeight="true" outlineLevel="0" collapsed="false">
      <c r="A15" s="45" t="s">
        <v>463</v>
      </c>
      <c r="B15" s="46"/>
    </row>
    <row r="16" customFormat="false" ht="15" hidden="false" customHeight="true" outlineLevel="0" collapsed="false">
      <c r="A16" s="20" t="s">
        <v>328</v>
      </c>
      <c r="B16" s="39" t="n">
        <f aca="false">SUMIF(Imbangan_Duga!$A$5:$A$150,5010,Imbangan_Duga!$H$5:$H$150)</f>
        <v>0</v>
      </c>
    </row>
    <row r="17" customFormat="false" ht="15" hidden="false" customHeight="true" outlineLevel="0" collapsed="false">
      <c r="A17" s="20" t="s">
        <v>330</v>
      </c>
      <c r="B17" s="39" t="n">
        <f aca="false">SUMIF(Imbangan_Duga!$A$5:$A$150,5020,Imbangan_Duga!$H$5:$H$150)</f>
        <v>0</v>
      </c>
    </row>
    <row r="18" customFormat="false" ht="15" hidden="false" customHeight="true" outlineLevel="0" collapsed="false">
      <c r="A18" s="20" t="s">
        <v>332</v>
      </c>
      <c r="B18" s="39" t="n">
        <f aca="false">SUMIF(Imbangan_Duga!$A$5:$A$150,5030,Imbangan_Duga!$H$5:$H$150)</f>
        <v>0</v>
      </c>
    </row>
    <row r="19" customFormat="false" ht="15" hidden="false" customHeight="true" outlineLevel="0" collapsed="false">
      <c r="A19" s="20" t="s">
        <v>334</v>
      </c>
      <c r="B19" s="39" t="n">
        <f aca="false">SUMIF(Imbangan_Duga!$A$5:$A$150,5040,Imbangan_Duga!$H$5:$H$150)</f>
        <v>0</v>
      </c>
    </row>
    <row r="20" customFormat="false" ht="15" hidden="false" customHeight="true" outlineLevel="0" collapsed="false">
      <c r="A20" s="20" t="s">
        <v>336</v>
      </c>
      <c r="B20" s="39" t="n">
        <f aca="false">SUMIF(Imbangan_Duga!$A$5:$A$150,5050,Imbangan_Duga!$H$5:$H$150)</f>
        <v>0</v>
      </c>
    </row>
    <row r="21" customFormat="false" ht="15" hidden="false" customHeight="true" outlineLevel="0" collapsed="false">
      <c r="A21" s="20" t="s">
        <v>338</v>
      </c>
      <c r="B21" s="39" t="n">
        <f aca="false">SUMIF(Imbangan_Duga!$A$5:$A$150,5060,Imbangan_Duga!$H$5:$H$150)</f>
        <v>0</v>
      </c>
    </row>
    <row r="22" customFormat="false" ht="15" hidden="false" customHeight="true" outlineLevel="0" collapsed="false">
      <c r="A22" s="20" t="s">
        <v>340</v>
      </c>
      <c r="B22" s="39" t="n">
        <f aca="false">SUMIF(Imbangan_Duga!$A$5:$A$150,5070,Imbangan_Duga!$H$5:$H$150)</f>
        <v>0</v>
      </c>
    </row>
    <row r="23" customFormat="false" ht="15" hidden="false" customHeight="true" outlineLevel="0" collapsed="false">
      <c r="A23" s="20" t="s">
        <v>464</v>
      </c>
      <c r="B23" s="39" t="n">
        <f aca="false">SUMIF(Imbangan_Duga!$A$5:$A$150,5080,Imbangan_Duga!$H$5:$H$150)</f>
        <v>0</v>
      </c>
    </row>
    <row r="24" customFormat="false" ht="15" hidden="false" customHeight="true" outlineLevel="0" collapsed="false">
      <c r="A24" s="20" t="s">
        <v>465</v>
      </c>
      <c r="B24" s="39" t="n">
        <f aca="false">SUMIF(Imbangan_Duga!$A$5:$A$150,5090,Imbangan_Duga!$H$5:$H$150)</f>
        <v>0</v>
      </c>
    </row>
    <row r="25" customFormat="false" ht="15" hidden="false" customHeight="true" outlineLevel="0" collapsed="false">
      <c r="A25" s="20" t="s">
        <v>357</v>
      </c>
      <c r="B25" s="39" t="n">
        <f aca="false">SUMIF(Imbangan_Duga!$A$5:$A$150,5150,Imbangan_Duga!$H$5:$H$150)</f>
        <v>0</v>
      </c>
    </row>
    <row r="26" customFormat="false" ht="15" hidden="false" customHeight="true" outlineLevel="0" collapsed="false">
      <c r="A26" s="20" t="s">
        <v>359</v>
      </c>
      <c r="B26" s="39" t="n">
        <f aca="false">SUMIF(Imbangan_Duga!$A$5:$A$150,5160,Imbangan_Duga!$H$5:$H$150)</f>
        <v>0</v>
      </c>
    </row>
    <row r="27" customFormat="false" ht="15" hidden="false" customHeight="true" outlineLevel="0" collapsed="false">
      <c r="A27" s="20" t="s">
        <v>364</v>
      </c>
      <c r="B27" s="39" t="n">
        <f aca="false">SUMIF(Imbangan_Duga!$A$5:$A$150,5180,Imbangan_Duga!$H$5:$H$150)</f>
        <v>0</v>
      </c>
    </row>
    <row r="28" customFormat="false" ht="15" hidden="false" customHeight="true" outlineLevel="0" collapsed="false">
      <c r="A28" s="20" t="s">
        <v>366</v>
      </c>
      <c r="B28" s="39" t="n">
        <f aca="false">SUMIF(Imbangan_Duga!$A$5:$A$150,5190,Imbangan_Duga!$H$5:$H$150)</f>
        <v>0</v>
      </c>
    </row>
    <row r="29" customFormat="false" ht="15" hidden="false" customHeight="true" outlineLevel="0" collapsed="false">
      <c r="A29" s="20" t="s">
        <v>368</v>
      </c>
      <c r="B29" s="39" t="n">
        <f aca="false">SUMIF(Imbangan_Duga!$A$5:$A$150,5200,Imbangan_Duga!$H$5:$H$150)</f>
        <v>0</v>
      </c>
    </row>
    <row r="30" customFormat="false" ht="15" hidden="false" customHeight="true" outlineLevel="0" collapsed="false">
      <c r="A30" s="20" t="s">
        <v>370</v>
      </c>
      <c r="B30" s="39" t="n">
        <f aca="false">SUMIF(Imbangan_Duga!$A$5:$A$150,5210,Imbangan_Duga!$H$5:$H$150)</f>
        <v>0</v>
      </c>
    </row>
    <row r="31" customFormat="false" ht="15" hidden="false" customHeight="true" outlineLevel="0" collapsed="false">
      <c r="A31" s="20" t="s">
        <v>372</v>
      </c>
      <c r="B31" s="39" t="n">
        <f aca="false">SUMIF(Imbangan_Duga!$A$5:$A$150,5220,Imbangan_Duga!$H$5:$H$150)</f>
        <v>0</v>
      </c>
    </row>
    <row r="32" customFormat="false" ht="15" hidden="false" customHeight="true" outlineLevel="0" collapsed="false">
      <c r="A32" s="20" t="s">
        <v>374</v>
      </c>
      <c r="B32" s="39" t="n">
        <f aca="false">SUMIF(Imbangan_Duga!$A$5:$A$150,5230,Imbangan_Duga!$H$5:$H$150)</f>
        <v>0</v>
      </c>
    </row>
    <row r="33" customFormat="false" ht="15" hidden="false" customHeight="true" outlineLevel="0" collapsed="false">
      <c r="A33" s="20" t="s">
        <v>361</v>
      </c>
      <c r="B33" s="39" t="n">
        <f aca="false">SUMIF(Imbangan_Duga!$A$5:$A$150,5170,Imbangan_Duga!$H$5:$H$150)</f>
        <v>0</v>
      </c>
    </row>
    <row r="34" customFormat="false" ht="15" hidden="false" customHeight="true" outlineLevel="0" collapsed="false">
      <c r="A34" s="42" t="s">
        <v>466</v>
      </c>
      <c r="B34" s="44" t="n">
        <f aca="false">SUMIF(Imbangan_Duga!$C$5:$C$150,"Perbelanjaan",Imbangan_Duga!$H$5:$H$150)</f>
        <v>0</v>
      </c>
    </row>
    <row r="35" customFormat="false" ht="15" hidden="false" customHeight="true" outlineLevel="0" collapsed="false">
      <c r="A35" s="6"/>
      <c r="B35" s="46"/>
    </row>
    <row r="36" customFormat="false" ht="15" hidden="false" customHeight="true" outlineLevel="0" collapsed="false">
      <c r="A36" s="28" t="s">
        <v>467</v>
      </c>
      <c r="B36" s="44" t="n">
        <f aca="false">B13-B34</f>
        <v>0</v>
      </c>
    </row>
    <row r="37" customFormat="false" ht="15" hidden="false" customHeight="true" outlineLevel="0" collapsed="false">
      <c r="A37" s="6"/>
      <c r="B37" s="46"/>
    </row>
    <row r="38" customFormat="false" ht="15" hidden="false" customHeight="true" outlineLevel="0" collapsed="false">
      <c r="A38" s="6"/>
      <c r="B38" s="46"/>
    </row>
    <row r="39" customFormat="false" ht="15" hidden="false" customHeight="true" outlineLevel="0" collapsed="false">
      <c r="A39" s="6"/>
      <c r="B39" s="46"/>
    </row>
    <row r="40" customFormat="false" ht="15" hidden="false" customHeight="true" outlineLevel="0" collapsed="false">
      <c r="A40" s="6"/>
      <c r="B40" s="6"/>
    </row>
    <row r="41" customFormat="false" ht="15" hidden="false" customHeight="true" outlineLevel="0" collapsed="false">
      <c r="A41" s="6"/>
      <c r="B41" s="46"/>
    </row>
    <row r="42" customFormat="false" ht="15" hidden="false" customHeight="true" outlineLevel="0" collapsed="false">
      <c r="A42" s="6"/>
      <c r="B42" s="6"/>
    </row>
    <row r="43" customFormat="false" ht="15" hidden="false" customHeight="true" outlineLevel="0" collapsed="false">
      <c r="A43" s="6"/>
      <c r="B43" s="6"/>
    </row>
    <row r="44" customFormat="false" ht="15" hidden="false" customHeight="true" outlineLevel="0" collapsed="false">
      <c r="A44" s="6"/>
      <c r="B44" s="6"/>
    </row>
    <row r="45" customFormat="false" ht="15" hidden="false" customHeight="true" outlineLevel="0" collapsed="false">
      <c r="A45" s="6"/>
      <c r="B45" s="6"/>
    </row>
    <row r="46" customFormat="false" ht="15" hidden="false" customHeight="true" outlineLevel="0" collapsed="false">
      <c r="A46" s="6"/>
      <c r="B46" s="6"/>
    </row>
    <row r="47" customFormat="false" ht="15" hidden="false" customHeight="true" outlineLevel="0" collapsed="false">
      <c r="A47" s="6"/>
      <c r="B47" s="6"/>
    </row>
    <row r="48" customFormat="false" ht="15" hidden="false" customHeight="true" outlineLevel="0" collapsed="false">
      <c r="A48" s="6"/>
      <c r="B48" s="6"/>
    </row>
    <row r="49" customFormat="false" ht="15" hidden="false" customHeight="true" outlineLevel="0" collapsed="false">
      <c r="A49" s="6"/>
      <c r="B49" s="6"/>
    </row>
    <row r="50" customFormat="false" ht="15" hidden="false" customHeight="true" outlineLevel="0" collapsed="false">
      <c r="A50" s="6"/>
      <c r="B50" s="6"/>
    </row>
    <row r="51" customFormat="false" ht="15" hidden="false" customHeight="true" outlineLevel="0" collapsed="false">
      <c r="A51" s="6"/>
      <c r="B51" s="6"/>
    </row>
    <row r="52" customFormat="false" ht="15" hidden="false" customHeight="true" outlineLevel="0" collapsed="false">
      <c r="A52" s="6"/>
      <c r="B52" s="6"/>
    </row>
    <row r="53" customFormat="false" ht="15" hidden="false" customHeight="true" outlineLevel="0" collapsed="false">
      <c r="A53" s="6"/>
      <c r="B53" s="6"/>
    </row>
    <row r="54" customFormat="false" ht="15" hidden="false" customHeight="true" outlineLevel="0" collapsed="false">
      <c r="A54" s="6"/>
      <c r="B54" s="6"/>
    </row>
    <row r="55" customFormat="false" ht="15" hidden="false" customHeight="true" outlineLevel="0" collapsed="false">
      <c r="A55" s="6"/>
      <c r="B55" s="6"/>
    </row>
    <row r="56" customFormat="false" ht="15" hidden="false" customHeight="true" outlineLevel="0" collapsed="false">
      <c r="A56" s="6"/>
      <c r="B56" s="6"/>
    </row>
    <row r="57" customFormat="false" ht="15" hidden="false" customHeight="true" outlineLevel="0" collapsed="false">
      <c r="A57" s="6"/>
      <c r="B57" s="6"/>
    </row>
    <row r="58" customFormat="false" ht="15" hidden="false" customHeight="true" outlineLevel="0" collapsed="false">
      <c r="A58" s="6"/>
      <c r="B58" s="6"/>
    </row>
    <row r="59" customFormat="false" ht="15" hidden="false" customHeight="true" outlineLevel="0" collapsed="false">
      <c r="A59" s="6"/>
      <c r="B59" s="6"/>
    </row>
    <row r="60" customFormat="false" ht="15" hidden="false" customHeight="true" outlineLevel="0" collapsed="false">
      <c r="A60" s="6"/>
      <c r="B60" s="6"/>
    </row>
    <row r="61" customFormat="false" ht="15" hidden="false" customHeight="true" outlineLevel="0" collapsed="false">
      <c r="A61" s="6"/>
      <c r="B61" s="6"/>
    </row>
    <row r="62" customFormat="false" ht="15" hidden="false" customHeight="true" outlineLevel="0" collapsed="false">
      <c r="A62" s="6"/>
      <c r="B62" s="6"/>
    </row>
    <row r="63" customFormat="false" ht="15" hidden="false" customHeight="true" outlineLevel="0" collapsed="false">
      <c r="A63" s="6"/>
      <c r="B63" s="6"/>
    </row>
    <row r="64" customFormat="false" ht="15" hidden="false" customHeight="true" outlineLevel="0" collapsed="false">
      <c r="A64" s="6"/>
      <c r="B64" s="6"/>
    </row>
    <row r="65" customFormat="false" ht="15" hidden="false" customHeight="true" outlineLevel="0" collapsed="false">
      <c r="A65" s="6"/>
      <c r="B65" s="6"/>
    </row>
    <row r="66" customFormat="false" ht="15" hidden="false" customHeight="true" outlineLevel="0" collapsed="false">
      <c r="A66" s="6"/>
      <c r="B66" s="6"/>
    </row>
    <row r="67" customFormat="false" ht="15" hidden="false" customHeight="true" outlineLevel="0" collapsed="false">
      <c r="A67" s="6"/>
      <c r="B67" s="6"/>
    </row>
    <row r="68" customFormat="false" ht="15" hidden="false" customHeight="true" outlineLevel="0" collapsed="false">
      <c r="A68" s="6"/>
      <c r="B68" s="6"/>
    </row>
    <row r="69" customFormat="false" ht="15" hidden="false" customHeight="true" outlineLevel="0" collapsed="false">
      <c r="A69" s="6"/>
      <c r="B69" s="6"/>
    </row>
    <row r="70" customFormat="false" ht="15" hidden="false" customHeight="true" outlineLevel="0" collapsed="false">
      <c r="A70" s="6"/>
      <c r="B70" s="6"/>
    </row>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1" width="46"/>
    <col collapsed="false" customWidth="true" hidden="false" outlineLevel="0" max="2" min="2" style="1" width="18"/>
    <col collapsed="false" customWidth="true" hidden="false" outlineLevel="0" max="26" min="3" style="1" width="8.71"/>
  </cols>
  <sheetData>
    <row r="1" customFormat="false" ht="17.25" hidden="false" customHeight="true" outlineLevel="0" collapsed="false">
      <c r="A1" s="9" t="s">
        <v>468</v>
      </c>
    </row>
    <row r="2" customFormat="false" ht="15" hidden="false" customHeight="true" outlineLevel="0" collapsed="false">
      <c r="A2" s="10" t="s">
        <v>469</v>
      </c>
    </row>
    <row r="3" customFormat="false" ht="15" hidden="false" customHeight="true" outlineLevel="0" collapsed="false"/>
    <row r="4" customFormat="false" ht="15" hidden="false" customHeight="true" outlineLevel="0" collapsed="false">
      <c r="A4" s="1" t="s">
        <v>470</v>
      </c>
      <c r="B4" s="46" t="n">
        <f aca="false">UR!B36</f>
        <v>0</v>
      </c>
    </row>
    <row r="5" customFormat="false" ht="15" hidden="false" customHeight="true" outlineLevel="0" collapsed="false"/>
    <row r="6" customFormat="false" ht="15" hidden="false" customHeight="true" outlineLevel="0" collapsed="false">
      <c r="A6" s="45" t="s">
        <v>471</v>
      </c>
    </row>
    <row r="7" customFormat="false" ht="15" hidden="false" customHeight="true" outlineLevel="0" collapsed="false">
      <c r="A7" s="1" t="s">
        <v>472</v>
      </c>
      <c r="B7" s="35" t="n">
        <f aca="false">B4*Tetapan!C15/100</f>
        <v>0</v>
      </c>
    </row>
    <row r="8" customFormat="false" ht="15" hidden="false" customHeight="true" outlineLevel="0" collapsed="false">
      <c r="A8" s="1" t="s">
        <v>473</v>
      </c>
      <c r="B8" s="35" t="n">
        <f aca="false">B4*Tetapan!C16/100</f>
        <v>0</v>
      </c>
    </row>
    <row r="9" customFormat="false" ht="15" hidden="false" customHeight="true" outlineLevel="0" collapsed="false">
      <c r="A9" s="1" t="s">
        <v>474</v>
      </c>
      <c r="B9" s="35" t="n">
        <f aca="false">B4*Tetapan!C17/100</f>
        <v>0</v>
      </c>
    </row>
    <row r="10" customFormat="false" ht="15" hidden="false" customHeight="true" outlineLevel="0" collapsed="false">
      <c r="A10" s="28" t="s">
        <v>475</v>
      </c>
      <c r="B10" s="34" t="n">
        <f aca="false">SUM(B7:B9)</f>
        <v>0</v>
      </c>
    </row>
    <row r="11" customFormat="false" ht="15" hidden="false" customHeight="true" outlineLevel="0" collapsed="false"/>
    <row r="12" customFormat="false" ht="15" hidden="false" customHeight="true" outlineLevel="0" collapsed="false">
      <c r="A12" s="28" t="s">
        <v>476</v>
      </c>
      <c r="B12" s="34" t="n">
        <f aca="false">B4-B10</f>
        <v>0</v>
      </c>
    </row>
    <row r="13" customFormat="false" ht="15" hidden="false" customHeight="true" outlineLevel="0" collapsed="false"/>
    <row r="14" customFormat="false" ht="15" hidden="false" customHeight="true" outlineLevel="0" collapsed="false">
      <c r="A14" s="45" t="s">
        <v>477</v>
      </c>
    </row>
    <row r="15" customFormat="false" ht="15" hidden="false" customHeight="true" outlineLevel="0" collapsed="false">
      <c r="A15" s="1" t="s">
        <v>478</v>
      </c>
      <c r="B15" s="47" t="n">
        <v>0</v>
      </c>
    </row>
    <row r="16" customFormat="false" ht="15" hidden="false" customHeight="true" outlineLevel="0" collapsed="false">
      <c r="A16" s="1" t="s">
        <v>479</v>
      </c>
      <c r="B16" s="47" t="n">
        <v>0</v>
      </c>
    </row>
    <row r="17" customFormat="false" ht="15" hidden="false" customHeight="true" outlineLevel="0" collapsed="false">
      <c r="A17" s="28" t="s">
        <v>480</v>
      </c>
      <c r="B17" s="34" t="n">
        <f aca="false">SUM(B15:B16)</f>
        <v>0</v>
      </c>
    </row>
    <row r="18" customFormat="false" ht="15" hidden="false" customHeight="true" outlineLevel="0" collapsed="false"/>
    <row r="19" customFormat="false" ht="15" hidden="false" customHeight="true" outlineLevel="0" collapsed="false">
      <c r="A19" s="45" t="s">
        <v>481</v>
      </c>
    </row>
    <row r="20" customFormat="false" ht="15" hidden="false" customHeight="true" outlineLevel="0" collapsed="false">
      <c r="A20" s="1" t="s">
        <v>482</v>
      </c>
      <c r="B20" s="47" t="n">
        <v>0</v>
      </c>
    </row>
    <row r="21" customFormat="false" ht="15" hidden="false" customHeight="true" outlineLevel="0" collapsed="false">
      <c r="A21" s="1" t="s">
        <v>483</v>
      </c>
      <c r="B21" s="47" t="n">
        <v>0</v>
      </c>
    </row>
    <row r="22" customFormat="false" ht="15" hidden="false" customHeight="true" outlineLevel="0" collapsed="false">
      <c r="A22" s="1" t="s">
        <v>484</v>
      </c>
      <c r="B22" s="47" t="n">
        <v>0</v>
      </c>
    </row>
    <row r="23" customFormat="false" ht="15" hidden="false" customHeight="true" outlineLevel="0" collapsed="false">
      <c r="A23" s="28" t="s">
        <v>485</v>
      </c>
      <c r="B23" s="34" t="n">
        <f aca="false">SUM(B20:B22)</f>
        <v>0</v>
      </c>
    </row>
    <row r="24" customFormat="false" ht="15.75" hidden="false" customHeight="true" outlineLevel="0" collapsed="false"/>
    <row r="25" customFormat="false" ht="15" hidden="false" customHeight="true" outlineLevel="0" collapsed="false">
      <c r="A25" s="28" t="s">
        <v>486</v>
      </c>
      <c r="B25" s="34" t="n">
        <f aca="false">B12-B17-B23</f>
        <v>0</v>
      </c>
    </row>
    <row r="26" customFormat="false" ht="15.75" hidden="false" customHeight="true" outlineLevel="0" collapsed="false"/>
    <row r="27" customFormat="false" ht="15" hidden="false" customHeight="true" outlineLevel="0" collapsed="false">
      <c r="A27" s="1" t="s">
        <v>487</v>
      </c>
      <c r="B27" s="35" t="n">
        <f aca="false">SUMIF(Imbangan_Duga!$A$5:$A$150,3030,Imbangan_Duga!$H$5:$H$150)</f>
        <v>0</v>
      </c>
    </row>
    <row r="28" customFormat="false" ht="15" hidden="false" customHeight="true" outlineLevel="0" collapsed="false">
      <c r="A28" s="28" t="s">
        <v>488</v>
      </c>
      <c r="B28" s="34" t="n">
        <f aca="false">B25+B27</f>
        <v>0</v>
      </c>
    </row>
    <row r="29" customFormat="false" ht="15.75" hidden="false" customHeight="true" outlineLevel="0" collapsed="false"/>
    <row r="30" customFormat="false" ht="15" hidden="false" customHeight="true" outlineLevel="0" collapsed="false">
      <c r="A30" s="28" t="s">
        <v>274</v>
      </c>
    </row>
    <row r="31" customFormat="false" ht="75" hidden="false" customHeight="true" outlineLevel="0" collapsed="false">
      <c r="A31" s="36" t="s">
        <v>489</v>
      </c>
    </row>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1" width="42"/>
    <col collapsed="false" customWidth="true" hidden="false" outlineLevel="0" max="2" min="2" style="1" width="18"/>
    <col collapsed="false" customWidth="true" hidden="false" outlineLevel="0" max="26" min="3" style="1" width="8.71"/>
  </cols>
  <sheetData>
    <row r="1" customFormat="false" ht="17.25" hidden="false" customHeight="true" outlineLevel="0" collapsed="false">
      <c r="A1" s="9" t="s">
        <v>490</v>
      </c>
      <c r="B1" s="6"/>
    </row>
    <row r="2" customFormat="false" ht="15" hidden="false" customHeight="true" outlineLevel="0" collapsed="false">
      <c r="A2" s="10" t="s">
        <v>491</v>
      </c>
      <c r="B2" s="6"/>
    </row>
    <row r="3" customFormat="false" ht="15" hidden="false" customHeight="true" outlineLevel="0" collapsed="false">
      <c r="A3" s="6"/>
      <c r="B3" s="6"/>
    </row>
    <row r="4" customFormat="false" ht="15" hidden="false" customHeight="true" outlineLevel="0" collapsed="false">
      <c r="A4" s="45" t="s">
        <v>492</v>
      </c>
      <c r="B4" s="6"/>
    </row>
    <row r="5" customFormat="false" ht="15" hidden="false" customHeight="true" outlineLevel="0" collapsed="false">
      <c r="A5" s="20" t="s">
        <v>277</v>
      </c>
      <c r="B5" s="39" t="n">
        <f aca="false">SUMIF(Imbangan_Duga!$A$5:$A$150,1010,Imbangan_Duga!$H$5:$H$150)</f>
        <v>0</v>
      </c>
    </row>
    <row r="6" customFormat="false" ht="15" hidden="false" customHeight="true" outlineLevel="0" collapsed="false">
      <c r="A6" s="20" t="s">
        <v>281</v>
      </c>
      <c r="B6" s="39" t="n">
        <f aca="false">SUMIF(Imbangan_Duga!$A$5:$A$150,1020,Imbangan_Duga!$H$5:$H$150)</f>
        <v>0</v>
      </c>
    </row>
    <row r="7" customFormat="false" ht="15" hidden="false" customHeight="true" outlineLevel="0" collapsed="false">
      <c r="A7" s="20" t="s">
        <v>283</v>
      </c>
      <c r="B7" s="39" t="n">
        <f aca="false">SUMIF(Imbangan_Duga!$A$5:$A$150,1030,Imbangan_Duga!$H$5:$H$150)</f>
        <v>0</v>
      </c>
    </row>
    <row r="8" customFormat="false" ht="15" hidden="false" customHeight="true" outlineLevel="0" collapsed="false">
      <c r="A8" s="20" t="s">
        <v>287</v>
      </c>
      <c r="B8" s="39" t="n">
        <f aca="false">SUMIF(Imbangan_Duga!$A$5:$A$150,1040,Imbangan_Duga!$H$5:$H$150)</f>
        <v>0</v>
      </c>
    </row>
    <row r="9" customFormat="false" ht="15" hidden="false" customHeight="true" outlineLevel="0" collapsed="false">
      <c r="A9" s="20" t="s">
        <v>290</v>
      </c>
      <c r="B9" s="39" t="n">
        <f aca="false">SUMIF(Imbangan_Duga!$A$5:$A$150,1050,Imbangan_Duga!$H$5:$H$150)</f>
        <v>0</v>
      </c>
    </row>
    <row r="10" customFormat="false" ht="15" hidden="false" customHeight="true" outlineLevel="0" collapsed="false">
      <c r="A10" s="20" t="s">
        <v>293</v>
      </c>
      <c r="B10" s="39" t="n">
        <f aca="false">SUMIF(Imbangan_Duga!$A$5:$A$150,1060,Imbangan_Duga!$H$5:$H$150)</f>
        <v>0</v>
      </c>
    </row>
    <row r="11" customFormat="false" ht="15" hidden="false" customHeight="true" outlineLevel="0" collapsed="false">
      <c r="A11" s="20" t="s">
        <v>296</v>
      </c>
      <c r="B11" s="39" t="n">
        <f aca="false">SUMIF(Imbangan_Duga!$A$5:$A$150,1070,Imbangan_Duga!$H$5:$H$150)</f>
        <v>0</v>
      </c>
    </row>
    <row r="12" customFormat="false" ht="15" hidden="false" customHeight="true" outlineLevel="0" collapsed="false">
      <c r="A12" s="42" t="s">
        <v>493</v>
      </c>
      <c r="B12" s="44" t="n">
        <f aca="false">SUMIF(Imbangan_Duga!$C$5:$C$150,"Aset",Imbangan_Duga!$H$5:$H$150)</f>
        <v>0</v>
      </c>
    </row>
    <row r="13" customFormat="false" ht="15" hidden="false" customHeight="true" outlineLevel="0" collapsed="false">
      <c r="A13" s="6"/>
      <c r="B13" s="46"/>
    </row>
    <row r="14" customFormat="false" ht="15" hidden="false" customHeight="true" outlineLevel="0" collapsed="false">
      <c r="A14" s="45" t="s">
        <v>494</v>
      </c>
      <c r="B14" s="46"/>
    </row>
    <row r="15" customFormat="false" ht="15" hidden="false" customHeight="true" outlineLevel="0" collapsed="false">
      <c r="A15" s="20" t="s">
        <v>298</v>
      </c>
      <c r="B15" s="39" t="n">
        <f aca="false">SUMIF(Imbangan_Duga!$A$5:$A$150,2010,Imbangan_Duga!$H$5:$H$150)</f>
        <v>0</v>
      </c>
    </row>
    <row r="16" customFormat="false" ht="15" hidden="false" customHeight="true" outlineLevel="0" collapsed="false">
      <c r="A16" s="20" t="s">
        <v>300</v>
      </c>
      <c r="B16" s="39" t="n">
        <f aca="false">SUMIF(Imbangan_Duga!$A$5:$A$150,2020,Imbangan_Duga!$H$5:$H$150)</f>
        <v>0</v>
      </c>
    </row>
    <row r="17" customFormat="false" ht="15" hidden="false" customHeight="true" outlineLevel="0" collapsed="false">
      <c r="A17" s="42" t="s">
        <v>495</v>
      </c>
      <c r="B17" s="44" t="n">
        <f aca="false">SUMIF(Imbangan_Duga!$C$5:$C$150,"Liabiliti",Imbangan_Duga!$H$5:$H$150)</f>
        <v>0</v>
      </c>
    </row>
    <row r="18" customFormat="false" ht="15" hidden="false" customHeight="true" outlineLevel="0" collapsed="false">
      <c r="A18" s="6"/>
      <c r="B18" s="46"/>
    </row>
    <row r="19" customFormat="false" ht="15" hidden="false" customHeight="true" outlineLevel="0" collapsed="false">
      <c r="A19" s="45" t="s">
        <v>496</v>
      </c>
      <c r="B19" s="46"/>
    </row>
    <row r="20" customFormat="false" ht="15" hidden="false" customHeight="true" outlineLevel="0" collapsed="false">
      <c r="A20" s="20" t="s">
        <v>303</v>
      </c>
      <c r="B20" s="39" t="n">
        <f aca="false">SUMIF(Imbangan_Duga!$A$5:$A$150,3010,Imbangan_Duga!$H$5:$H$150)</f>
        <v>0</v>
      </c>
    </row>
    <row r="21" customFormat="false" ht="15" hidden="false" customHeight="true" outlineLevel="0" collapsed="false">
      <c r="A21" s="20" t="s">
        <v>307</v>
      </c>
      <c r="B21" s="39" t="n">
        <f aca="false">SUMIF(Imbangan_Duga!$A$5:$A$150,3020,Imbangan_Duga!$H$5:$H$150)</f>
        <v>0</v>
      </c>
    </row>
    <row r="22" customFormat="false" ht="15" hidden="false" customHeight="true" outlineLevel="0" collapsed="false">
      <c r="A22" s="20" t="s">
        <v>497</v>
      </c>
      <c r="B22" s="39" t="n">
        <f aca="false">SUMIF(Imbangan_Duga!$A$5:$A$150,3030,Imbangan_Duga!$H$5:$H$150)</f>
        <v>0</v>
      </c>
    </row>
    <row r="23" customFormat="false" ht="15" hidden="false" customHeight="true" outlineLevel="0" collapsed="false">
      <c r="A23" s="20" t="s">
        <v>498</v>
      </c>
      <c r="B23" s="39" t="n">
        <f aca="false">UR!B36</f>
        <v>0</v>
      </c>
    </row>
    <row r="24" customFormat="false" ht="15" hidden="false" customHeight="true" outlineLevel="0" collapsed="false">
      <c r="A24" s="42" t="s">
        <v>499</v>
      </c>
      <c r="B24" s="44" t="n">
        <f aca="false">SUM(B20:B23)</f>
        <v>0</v>
      </c>
    </row>
    <row r="25" customFormat="false" ht="15" hidden="false" customHeight="true" outlineLevel="0" collapsed="false">
      <c r="A25" s="6"/>
      <c r="B25" s="46"/>
    </row>
    <row r="26" customFormat="false" ht="15" hidden="false" customHeight="true" outlineLevel="0" collapsed="false">
      <c r="A26" s="28" t="s">
        <v>500</v>
      </c>
      <c r="B26" s="44" t="n">
        <f aca="false">B17+B24</f>
        <v>0</v>
      </c>
    </row>
    <row r="27" customFormat="false" ht="15" hidden="false" customHeight="true" outlineLevel="0" collapsed="false">
      <c r="A27" s="6"/>
      <c r="B27" s="6"/>
    </row>
    <row r="28" customFormat="false" ht="15" hidden="false" customHeight="true" outlineLevel="0" collapsed="false">
      <c r="A28" s="28" t="s">
        <v>429</v>
      </c>
      <c r="B28" s="48" t="str">
        <f aca="false">IF(ROUND(B12-B26,2)=0,"SEIMBANG","TIDAK SEIMBANG - beza RM"&amp;TEXT(B12-B26,"#,##0.00"))</f>
        <v>SEIMBANG</v>
      </c>
    </row>
    <row r="29" customFormat="false" ht="15" hidden="false" customHeight="true" outlineLevel="0" collapsed="false">
      <c r="A29" s="6"/>
      <c r="B29" s="6"/>
    </row>
    <row r="30" customFormat="false" ht="15" hidden="false" customHeight="true" outlineLevel="0" collapsed="false">
      <c r="A30" s="6"/>
      <c r="B30" s="6"/>
    </row>
    <row r="31" customFormat="false" ht="15" hidden="false" customHeight="true" outlineLevel="0" collapsed="false">
      <c r="A31" s="6"/>
      <c r="B31" s="6"/>
    </row>
    <row r="32" customFormat="false" ht="15" hidden="false" customHeight="true" outlineLevel="0" collapsed="false">
      <c r="A32" s="6"/>
      <c r="B32" s="6"/>
    </row>
    <row r="33" customFormat="false" ht="15" hidden="false" customHeight="true" outlineLevel="0" collapsed="false">
      <c r="A33" s="6"/>
      <c r="B33" s="6"/>
    </row>
    <row r="34" customFormat="false" ht="15" hidden="false" customHeight="true" outlineLevel="0" collapsed="false">
      <c r="A34" s="6"/>
      <c r="B34" s="6"/>
    </row>
    <row r="35" customFormat="false" ht="15" hidden="false" customHeight="true" outlineLevel="0" collapsed="false">
      <c r="A35" s="6"/>
      <c r="B35" s="6"/>
    </row>
    <row r="36" customFormat="false" ht="15" hidden="false" customHeight="true" outlineLevel="0" collapsed="false">
      <c r="A36" s="6"/>
      <c r="B36" s="6"/>
    </row>
    <row r="37" customFormat="false" ht="15" hidden="false" customHeight="true" outlineLevel="0" collapsed="false">
      <c r="A37" s="6"/>
      <c r="B37" s="6"/>
    </row>
    <row r="38" customFormat="false" ht="15" hidden="false" customHeight="true" outlineLevel="0" collapsed="false">
      <c r="A38" s="6"/>
      <c r="B38" s="6"/>
    </row>
    <row r="39" customFormat="false" ht="15" hidden="false" customHeight="true" outlineLevel="0" collapsed="false">
      <c r="A39" s="6"/>
      <c r="B39" s="6"/>
    </row>
    <row r="40" customFormat="false" ht="15" hidden="false" customHeight="true" outlineLevel="0" collapsed="false">
      <c r="A40" s="6"/>
      <c r="B40" s="6"/>
    </row>
    <row r="41" customFormat="false" ht="15" hidden="false" customHeight="true" outlineLevel="0" collapsed="false">
      <c r="A41" s="6"/>
      <c r="B41" s="6"/>
    </row>
    <row r="42" customFormat="false" ht="15" hidden="false" customHeight="true" outlineLevel="0" collapsed="false">
      <c r="A42" s="6"/>
      <c r="B42" s="6"/>
    </row>
    <row r="43" customFormat="false" ht="15" hidden="false" customHeight="true" outlineLevel="0" collapsed="false">
      <c r="A43" s="6"/>
      <c r="B43" s="6"/>
    </row>
    <row r="44" customFormat="false" ht="15" hidden="false" customHeight="true" outlineLevel="0" collapsed="false">
      <c r="A44" s="6"/>
      <c r="B44" s="6"/>
    </row>
    <row r="45" customFormat="false" ht="15" hidden="false" customHeight="true" outlineLevel="0" collapsed="false">
      <c r="A45" s="6"/>
      <c r="B45" s="6"/>
    </row>
    <row r="46" customFormat="false" ht="15" hidden="false" customHeight="true" outlineLevel="0" collapsed="false">
      <c r="A46" s="6"/>
      <c r="B46" s="6"/>
    </row>
    <row r="47" customFormat="false" ht="15" hidden="false" customHeight="true" outlineLevel="0" collapsed="false">
      <c r="A47" s="6"/>
      <c r="B47" s="6"/>
    </row>
    <row r="48" customFormat="false" ht="15" hidden="false" customHeight="true" outlineLevel="0" collapsed="false">
      <c r="A48" s="6"/>
      <c r="B48" s="6"/>
    </row>
    <row r="49" customFormat="false" ht="15" hidden="false" customHeight="true" outlineLevel="0" collapsed="false">
      <c r="A49" s="6"/>
      <c r="B49" s="6"/>
    </row>
    <row r="50" customFormat="false" ht="15" hidden="false" customHeight="true" outlineLevel="0" collapsed="false">
      <c r="A50" s="6"/>
      <c r="B50" s="6"/>
    </row>
    <row r="51" customFormat="false" ht="15" hidden="false" customHeight="true" outlineLevel="0" collapsed="false">
      <c r="A51" s="6"/>
      <c r="B51" s="6"/>
    </row>
    <row r="52" customFormat="false" ht="15" hidden="false" customHeight="true" outlineLevel="0" collapsed="false">
      <c r="A52" s="6"/>
      <c r="B52" s="6"/>
    </row>
    <row r="53" customFormat="false" ht="15" hidden="false" customHeight="true" outlineLevel="0" collapsed="false">
      <c r="A53" s="6"/>
      <c r="B53" s="6"/>
    </row>
    <row r="54" customFormat="false" ht="15" hidden="false" customHeight="true" outlineLevel="0" collapsed="false">
      <c r="A54" s="6"/>
      <c r="B54" s="6"/>
    </row>
    <row r="55" customFormat="false" ht="15" hidden="false" customHeight="true" outlineLevel="0" collapsed="false">
      <c r="A55" s="6"/>
      <c r="B55" s="6"/>
    </row>
    <row r="56" customFormat="false" ht="15" hidden="false" customHeight="true" outlineLevel="0" collapsed="false">
      <c r="A56" s="6"/>
      <c r="B56" s="6"/>
    </row>
    <row r="57" customFormat="false" ht="15" hidden="false" customHeight="true" outlineLevel="0" collapsed="false">
      <c r="A57" s="6"/>
      <c r="B57" s="6"/>
    </row>
    <row r="58" customFormat="false" ht="15" hidden="false" customHeight="true" outlineLevel="0" collapsed="false">
      <c r="A58" s="6"/>
      <c r="B58" s="6"/>
    </row>
    <row r="59" customFormat="false" ht="15" hidden="false" customHeight="true" outlineLevel="0" collapsed="false">
      <c r="A59" s="6"/>
      <c r="B59" s="6"/>
    </row>
    <row r="60" customFormat="false" ht="15" hidden="false" customHeight="true" outlineLevel="0" collapsed="false">
      <c r="A60" s="6"/>
      <c r="B60" s="6"/>
    </row>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1" width="44"/>
    <col collapsed="false" customWidth="true" hidden="false" outlineLevel="0" max="2" min="2" style="1" width="18"/>
    <col collapsed="false" customWidth="true" hidden="false" outlineLevel="0" max="26" min="3" style="1" width="8.71"/>
  </cols>
  <sheetData>
    <row r="1" customFormat="false" ht="17.25" hidden="false" customHeight="true" outlineLevel="0" collapsed="false">
      <c r="A1" s="9" t="s">
        <v>501</v>
      </c>
    </row>
    <row r="2" customFormat="false" ht="15" hidden="false" customHeight="true" outlineLevel="0" collapsed="false">
      <c r="A2" s="10" t="s">
        <v>502</v>
      </c>
    </row>
    <row r="3" customFormat="false" ht="15" hidden="false" customHeight="true" outlineLevel="0" collapsed="false"/>
    <row r="4" customFormat="false" ht="15" hidden="false" customHeight="true" outlineLevel="0" collapsed="false">
      <c r="A4" s="45" t="s">
        <v>503</v>
      </c>
    </row>
    <row r="5" customFormat="false" ht="15" hidden="false" customHeight="true" outlineLevel="0" collapsed="false">
      <c r="A5" s="20" t="s">
        <v>504</v>
      </c>
      <c r="B5" s="39" t="n">
        <f aca="false">UR!B36</f>
        <v>0</v>
      </c>
    </row>
    <row r="6" customFormat="false" ht="15" hidden="false" customHeight="true" outlineLevel="0" collapsed="false">
      <c r="A6" s="24" t="s">
        <v>505</v>
      </c>
      <c r="B6" s="49" t="n">
        <v>0</v>
      </c>
    </row>
    <row r="7" customFormat="false" ht="15" hidden="false" customHeight="true" outlineLevel="0" collapsed="false">
      <c r="A7" s="24" t="s">
        <v>506</v>
      </c>
      <c r="B7" s="49" t="n">
        <f aca="false">SUMIFS(Baris_Transaksi!$E$5:$E$5000,Baris_Transaksi!$G$5:$G$5000,"Operasi",Baris_Transaksi!$H$5:$H$5000,"Aset",Baris_Transaksi!$B$5:$B$5000,"&lt;&gt;"&amp;Tetapan!$C$18)-SUMIFS(Baris_Transaksi!$D$5:$D$5000,Baris_Transaksi!$G$5:$G$5000,"Operasi",Baris_Transaksi!$H$5:$H$5000,"Aset",Baris_Transaksi!$B$5:$B$5000,"&lt;&gt;"&amp;Tetapan!$C$18)+SUMIFS(Baris_Transaksi!$E$5:$E$5000,Baris_Transaksi!$G$5:$G$5000,"Operasi",Baris_Transaksi!$H$5:$H$5000,"Liabiliti",Baris_Transaksi!$B$5:$B$5000,"&lt;&gt;"&amp;Tetapan!$C$18)-SUMIFS(Baris_Transaksi!$D$5:$D$5000,Baris_Transaksi!$G$5:$G$5000,"Operasi",Baris_Transaksi!$H$5:$H$5000,"Liabiliti",Baris_Transaksi!$B$5:$B$5000,"&lt;&gt;"&amp;Tetapan!$C$18)</f>
        <v>0</v>
      </c>
    </row>
    <row r="8" customFormat="false" ht="15" hidden="false" customHeight="true" outlineLevel="0" collapsed="false">
      <c r="A8" s="42" t="s">
        <v>507</v>
      </c>
      <c r="B8" s="44" t="n">
        <f aca="false">SUM(B5:B7)</f>
        <v>0</v>
      </c>
    </row>
    <row r="9" customFormat="false" ht="15" hidden="false" customHeight="true" outlineLevel="0" collapsed="false"/>
    <row r="10" customFormat="false" ht="15" hidden="false" customHeight="true" outlineLevel="0" collapsed="false">
      <c r="A10" s="45" t="s">
        <v>508</v>
      </c>
    </row>
    <row r="11" customFormat="false" ht="15" hidden="false" customHeight="true" outlineLevel="0" collapsed="false">
      <c r="A11" s="20" t="s">
        <v>509</v>
      </c>
      <c r="B11" s="39" t="n">
        <f aca="false">SUMIFS(Baris_Transaksi!$E$5:$E$5000,Baris_Transaksi!$G$5:$G$5000,"Pelaburan",Baris_Transaksi!$B$5:$B$5000,"&lt;&gt;"&amp;Tetapan!$C$18)-SUMIFS(Baris_Transaksi!$D$5:$D$5000,Baris_Transaksi!$G$5:$G$5000,"Pelaburan",Baris_Transaksi!$B$5:$B$5000,"&lt;&gt;"&amp;Tetapan!$C$18)</f>
        <v>0</v>
      </c>
    </row>
    <row r="12" customFormat="false" ht="15" hidden="false" customHeight="true" outlineLevel="0" collapsed="false">
      <c r="A12" s="42" t="s">
        <v>510</v>
      </c>
      <c r="B12" s="44" t="n">
        <f aca="false">B11</f>
        <v>0</v>
      </c>
    </row>
    <row r="13" customFormat="false" ht="15" hidden="false" customHeight="true" outlineLevel="0" collapsed="false"/>
    <row r="14" customFormat="false" ht="15" hidden="false" customHeight="true" outlineLevel="0" collapsed="false">
      <c r="A14" s="45" t="s">
        <v>511</v>
      </c>
    </row>
    <row r="15" customFormat="false" ht="15" hidden="false" customHeight="true" outlineLevel="0" collapsed="false">
      <c r="A15" s="20" t="s">
        <v>512</v>
      </c>
      <c r="B15" s="39" t="n">
        <f aca="false">SUMIFS(Baris_Transaksi!$E$5:$E$5000,Baris_Transaksi!$G$5:$G$5000,"Pembiayaan",Baris_Transaksi!$B$5:$B$5000,"&lt;&gt;"&amp;Tetapan!$C$18)-SUMIFS(Baris_Transaksi!$D$5:$D$5000,Baris_Transaksi!$G$5:$G$5000,"Pembiayaan",Baris_Transaksi!$B$5:$B$5000,"&lt;&gt;"&amp;Tetapan!$C$18)</f>
        <v>0</v>
      </c>
    </row>
    <row r="16" customFormat="false" ht="15" hidden="false" customHeight="true" outlineLevel="0" collapsed="false">
      <c r="A16" s="42" t="s">
        <v>513</v>
      </c>
      <c r="B16" s="44" t="n">
        <f aca="false">B15</f>
        <v>0</v>
      </c>
    </row>
    <row r="17" customFormat="false" ht="15" hidden="false" customHeight="true" outlineLevel="0" collapsed="false">
      <c r="A17" s="45" t="s">
        <v>514</v>
      </c>
    </row>
    <row r="18" customFormat="false" ht="15" hidden="false" customHeight="true" outlineLevel="0" collapsed="false">
      <c r="A18" s="20" t="s">
        <v>515</v>
      </c>
      <c r="B18" s="39" t="n">
        <f aca="false">-SUMIFS(Baris_Transaksi!$D$5:$D$5000,Baris_Transaksi!$G$5:$G$5000,"Berkanun",Baris_Transaksi!$B$5:$B$5000,"&lt;&gt;"&amp;Tetapan!$C$18)</f>
        <v>-0</v>
      </c>
    </row>
    <row r="19" customFormat="false" ht="15" hidden="false" customHeight="true" outlineLevel="0" collapsed="false">
      <c r="A19" s="42" t="s">
        <v>516</v>
      </c>
      <c r="B19" s="44" t="n">
        <f aca="false">B18</f>
        <v>-0</v>
      </c>
    </row>
    <row r="20" customFormat="false" ht="15" hidden="false" customHeight="true" outlineLevel="0" collapsed="false">
      <c r="A20" s="20"/>
      <c r="B20" s="39"/>
    </row>
    <row r="21" customFormat="false" ht="15" hidden="false" customHeight="true" outlineLevel="0" collapsed="false">
      <c r="A21" s="42" t="s">
        <v>517</v>
      </c>
      <c r="B21" s="44" t="n">
        <f aca="false">B8+B12+B16+B19</f>
        <v>0</v>
      </c>
    </row>
    <row r="22" customFormat="false" ht="15" hidden="false" customHeight="true" outlineLevel="0" collapsed="false">
      <c r="A22" s="24"/>
      <c r="B22" s="49"/>
    </row>
    <row r="23" customFormat="false" ht="15.75" hidden="false" customHeight="true" outlineLevel="0" collapsed="false">
      <c r="A23" s="20" t="s">
        <v>518</v>
      </c>
      <c r="B23" s="39" t="n">
        <f aca="false">SUMIFS(Baris_Transaksi!$D$5:$D$5000,Baris_Transaksi!$G$5:$G$5000,"Tidak Berkaitan",Baris_Transaksi!$H$5:$H$5000,"Aset",Baris_Transaksi!$B$5:$B$5000,Tetapan!$C$18)-SUMIFS(Baris_Transaksi!$E$5:$E$5000,Baris_Transaksi!$G$5:$G$5000,"Tidak Berkaitan",Baris_Transaksi!$H$5:$H$5000,"Aset",Baris_Transaksi!$B$5:$B$5000,Tetapan!$C$18)</f>
        <v>0</v>
      </c>
    </row>
    <row r="24" customFormat="false" ht="15" hidden="false" customHeight="true" outlineLevel="0" collapsed="false">
      <c r="A24" s="20" t="s">
        <v>519</v>
      </c>
      <c r="B24" s="39" t="n">
        <f aca="false">B23+B21</f>
        <v>0</v>
      </c>
    </row>
    <row r="25" customFormat="false" ht="15.75" hidden="false" customHeight="true" outlineLevel="0" collapsed="false">
      <c r="A25" s="20" t="s">
        <v>520</v>
      </c>
      <c r="B25" s="39" t="n">
        <f aca="false">SUMPRODUCT((Akaun!$D$5:$D$150="Aset")*(Akaun!$F$5:$F$150="Tidak Berkaitan")*Imbangan_Duga!$H$5:$H$150)</f>
        <v>0</v>
      </c>
    </row>
    <row r="26" customFormat="false" ht="15.75" hidden="false" customHeight="true" outlineLevel="0" collapsed="false"/>
    <row r="27" customFormat="false" ht="15.75" hidden="false" customHeight="true" outlineLevel="0" collapsed="false">
      <c r="A27" s="20" t="s">
        <v>429</v>
      </c>
      <c r="B27" s="39" t="str">
        <f aca="false">IF(ROUND(B24-B25,2)=0,"SEIMBANG","TIDAK SEIMBANG - beza RM"&amp;TEXT(B24-B25,"#,##0.00"))</f>
        <v>SEIMBANG</v>
      </c>
    </row>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1" width="44"/>
    <col collapsed="false" customWidth="true" hidden="false" outlineLevel="0" max="2" min="2" style="1" width="18"/>
    <col collapsed="false" customWidth="true" hidden="false" outlineLevel="0" max="26" min="3" style="1" width="8.71"/>
  </cols>
  <sheetData>
    <row r="1" customFormat="false" ht="17.25" hidden="false" customHeight="true" outlineLevel="0" collapsed="false">
      <c r="A1" s="9" t="s">
        <v>521</v>
      </c>
    </row>
    <row r="2" customFormat="false" ht="15" hidden="false" customHeight="true" outlineLevel="0" collapsed="false">
      <c r="A2" s="10" t="s">
        <v>522</v>
      </c>
    </row>
    <row r="3" customFormat="false" ht="15" hidden="false" customHeight="true" outlineLevel="0" collapsed="false"/>
    <row r="4" customFormat="false" ht="15" hidden="false" customHeight="true" outlineLevel="0" collapsed="false">
      <c r="A4" s="12" t="s">
        <v>523</v>
      </c>
      <c r="B4" s="50"/>
    </row>
    <row r="5" customFormat="false" ht="15" hidden="false" customHeight="true" outlineLevel="0" collapsed="false">
      <c r="A5" s="12" t="s">
        <v>524</v>
      </c>
      <c r="B5" s="51" t="n">
        <f aca="false">SUMIF(Imbangan_Duga!$A$5:$A$150,1080,Imbangan_Duga!$H$5:$H$150)</f>
        <v>0</v>
      </c>
    </row>
    <row r="6" customFormat="false" ht="15" hidden="false" customHeight="true" outlineLevel="0" collapsed="false">
      <c r="A6" s="20" t="s">
        <v>525</v>
      </c>
      <c r="B6" s="14"/>
    </row>
    <row r="7" customFormat="false" ht="15" hidden="false" customHeight="true" outlineLevel="0" collapsed="false">
      <c r="A7" s="20" t="s">
        <v>526</v>
      </c>
      <c r="B7" s="50"/>
    </row>
    <row r="8" customFormat="false" ht="15" hidden="false" customHeight="true" outlineLevel="0" collapsed="false"/>
    <row r="9" customFormat="false" ht="15" hidden="false" customHeight="true" outlineLevel="0" collapsed="false">
      <c r="A9" s="12" t="s">
        <v>527</v>
      </c>
      <c r="B9" s="44" t="str">
        <f aca="false">IF(B7="","",B5-B7)</f>
        <v/>
      </c>
    </row>
    <row r="10" customFormat="false" ht="15" hidden="false" customHeight="true" outlineLevel="0" collapsed="false">
      <c r="A10" s="12" t="s">
        <v>273</v>
      </c>
      <c r="B10" s="12" t="str">
        <f aca="false">IF(B7="","BELUM DIKIRA",IF(ROUND(B9,2)=0,"SEPADAN","PERLU SIASAT - lihat lajur Nota di Baris_Transaksi untuk perbelanjaan terbaru"))</f>
        <v>BELUM DIKIRA</v>
      </c>
    </row>
    <row r="11" customFormat="false" ht="15" hidden="false" customHeight="true" outlineLevel="0" collapsed="false"/>
    <row r="12" customFormat="false" ht="15" hidden="false" customHeight="true" outlineLevel="0" collapsed="false">
      <c r="A12" s="28" t="s">
        <v>274</v>
      </c>
    </row>
    <row r="13" customFormat="false" ht="45" hidden="false" customHeight="true" outlineLevel="0" collapsed="false">
      <c r="A13" s="36" t="s">
        <v>528</v>
      </c>
    </row>
    <row r="14" customFormat="false" ht="15" hidden="false" customHeight="true" outlineLevel="0" collapsed="false"/>
    <row r="15" customFormat="false" ht="15" hidden="false" customHeight="true" outlineLevel="0" collapsed="false"/>
    <row r="16" customFormat="false" ht="15" hidden="false" customHeight="true" outlineLevel="0" collapsed="false"/>
    <row r="17" customFormat="false" ht="15" hidden="false" customHeight="true" outlineLevel="0" collapsed="false"/>
    <row r="18" customFormat="false" ht="15" hidden="false" customHeight="true" outlineLevel="0" collapsed="false"/>
    <row r="19" customFormat="false" ht="15" hidden="false" customHeight="true" outlineLevel="0" collapsed="false"/>
    <row r="20" customFormat="false" ht="15" hidden="false" customHeight="true" outlineLevel="0" collapsed="false"/>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1" width="46"/>
    <col collapsed="false" customWidth="true" hidden="false" outlineLevel="0" max="2" min="2" style="1" width="20"/>
    <col collapsed="false" customWidth="true" hidden="false" outlineLevel="0" max="26" min="3" style="1" width="8.71"/>
  </cols>
  <sheetData>
    <row r="1" customFormat="false" ht="19.5" hidden="false" customHeight="true" outlineLevel="0" collapsed="false">
      <c r="A1" s="2" t="str">
        <f aca="false">Tetapan!C5</f>
        <v>[Isi nama koperasi sebenar di sini]</v>
      </c>
    </row>
    <row r="2" customFormat="false" ht="15" hidden="false" customHeight="true" outlineLevel="0" collapsed="false">
      <c r="A2" s="52" t="s">
        <v>529</v>
      </c>
    </row>
    <row r="3" customFormat="false" ht="15" hidden="false" customHeight="true" outlineLevel="0" collapsed="false">
      <c r="A3" s="53" t="s">
        <v>530</v>
      </c>
    </row>
    <row r="4" customFormat="false" ht="15" hidden="false" customHeight="true" outlineLevel="0" collapsed="false"/>
    <row r="5" customFormat="false" ht="15" hidden="false" customHeight="true" outlineLevel="0" collapsed="false">
      <c r="A5" s="45" t="s">
        <v>531</v>
      </c>
    </row>
    <row r="6" customFormat="false" ht="90" hidden="false" customHeight="true" outlineLevel="0" collapsed="false">
      <c r="A6" s="54" t="s">
        <v>532</v>
      </c>
      <c r="B6" s="54"/>
    </row>
    <row r="7" customFormat="false" ht="15" hidden="false" customHeight="true" outlineLevel="0" collapsed="false">
      <c r="A7" s="54"/>
      <c r="B7" s="54"/>
    </row>
    <row r="8" customFormat="false" ht="15" hidden="false" customHeight="true" outlineLevel="0" collapsed="false">
      <c r="A8" s="54"/>
      <c r="B8" s="54"/>
    </row>
    <row r="9" customFormat="false" ht="15" hidden="false" customHeight="true" outlineLevel="0" collapsed="false">
      <c r="A9" s="54"/>
      <c r="B9" s="54"/>
    </row>
    <row r="10" customFormat="false" ht="15" hidden="false" customHeight="true" outlineLevel="0" collapsed="false">
      <c r="A10" s="54"/>
      <c r="B10" s="54"/>
    </row>
    <row r="11" customFormat="false" ht="15" hidden="false" customHeight="true" outlineLevel="0" collapsed="false">
      <c r="A11" s="54"/>
      <c r="B11" s="54"/>
    </row>
    <row r="12" customFormat="false" ht="15" hidden="false" customHeight="true" outlineLevel="0" collapsed="false"/>
    <row r="13" customFormat="false" ht="15" hidden="false" customHeight="true" outlineLevel="0" collapsed="false">
      <c r="A13" s="55" t="str">
        <f aca="false">KKK!A1</f>
        <v>KUNCI KIRA-KIRA (BALANCE SHEET)</v>
      </c>
      <c r="B13" s="28"/>
    </row>
    <row r="14" customFormat="false" ht="15" hidden="false" customHeight="true" outlineLevel="0" collapsed="false">
      <c r="A14" s="56" t="str">
        <f aca="false">KKK!A2</f>
        <v>Setakat [isi tarikh penyata]</v>
      </c>
      <c r="B14" s="6"/>
    </row>
    <row r="15" customFormat="false" ht="15" hidden="false" customHeight="true" outlineLevel="0" collapsed="false">
      <c r="A15" s="55" t="str">
        <f aca="false">KKK!A4</f>
        <v>ASET</v>
      </c>
      <c r="B15" s="28"/>
    </row>
    <row r="16" customFormat="false" ht="15" hidden="false" customHeight="true" outlineLevel="0" collapsed="false">
      <c r="A16" s="56" t="str">
        <f aca="false">KKK!A5</f>
        <v>Wang Di Tangan</v>
      </c>
      <c r="B16" s="46" t="n">
        <f aca="false">KKK!B5</f>
        <v>0</v>
      </c>
    </row>
    <row r="17" customFormat="false" ht="15" hidden="false" customHeight="true" outlineLevel="0" collapsed="false">
      <c r="A17" s="56" t="str">
        <f aca="false">KKK!A6</f>
        <v>Bank</v>
      </c>
      <c r="B17" s="46" t="n">
        <f aca="false">KKK!B6</f>
        <v>0</v>
      </c>
    </row>
    <row r="18" customFormat="false" ht="15" hidden="false" customHeight="true" outlineLevel="0" collapsed="false">
      <c r="A18" s="56" t="str">
        <f aca="false">KKK!A7</f>
        <v>Deposit Tetap</v>
      </c>
      <c r="B18" s="46" t="n">
        <f aca="false">KKK!B7</f>
        <v>0</v>
      </c>
    </row>
    <row r="19" customFormat="false" ht="15" hidden="false" customHeight="true" outlineLevel="0" collapsed="false">
      <c r="A19" s="56" t="str">
        <f aca="false">KKK!A8</f>
        <v>Aset Tetap</v>
      </c>
      <c r="B19" s="46" t="n">
        <f aca="false">KKK!B8</f>
        <v>0</v>
      </c>
    </row>
    <row r="20" customFormat="false" ht="15" hidden="false" customHeight="true" outlineLevel="0" collapsed="false">
      <c r="A20" s="56" t="str">
        <f aca="false">KKK!A9</f>
        <v>Akaun Deposit Koperasi</v>
      </c>
      <c r="B20" s="46" t="n">
        <f aca="false">KKK!B9</f>
        <v>0</v>
      </c>
    </row>
    <row r="21" customFormat="false" ht="15" hidden="false" customHeight="true" outlineLevel="0" collapsed="false">
      <c r="A21" s="56" t="str">
        <f aca="false">KKK!A10</f>
        <v>Inventori Runcit</v>
      </c>
      <c r="B21" s="46" t="n">
        <f aca="false">KKK!B10</f>
        <v>0</v>
      </c>
    </row>
    <row r="22" customFormat="false" ht="15" hidden="false" customHeight="true" outlineLevel="0" collapsed="false">
      <c r="A22" s="56" t="str">
        <f aca="false">KKK!A11</f>
        <v>Inventori Ayam &amp; Produk Sembelihan</v>
      </c>
      <c r="B22" s="46" t="n">
        <f aca="false">KKK!B11</f>
        <v>0</v>
      </c>
    </row>
    <row r="23" customFormat="false" ht="15" hidden="false" customHeight="true" outlineLevel="0" collapsed="false">
      <c r="A23" s="57" t="str">
        <f aca="false">KKK!A12</f>
        <v>JUMLAH ASET</v>
      </c>
      <c r="B23" s="29" t="n">
        <f aca="false">KKK!B12</f>
        <v>0</v>
      </c>
    </row>
    <row r="24" customFormat="false" ht="15" hidden="false" customHeight="true" outlineLevel="0" collapsed="false">
      <c r="A24" s="55" t="str">
        <f aca="false">KKK!A14</f>
        <v>LIABILITI</v>
      </c>
      <c r="B24" s="28"/>
    </row>
    <row r="25" customFormat="false" ht="15" hidden="false" customHeight="true" outlineLevel="0" collapsed="false">
      <c r="A25" s="56" t="str">
        <f aca="false">KKK!A15</f>
        <v>Pelbagai Pemiutang</v>
      </c>
      <c r="B25" s="46" t="n">
        <f aca="false">KKK!B15</f>
        <v>0</v>
      </c>
    </row>
    <row r="26" customFormat="false" ht="15" hidden="false" customHeight="true" outlineLevel="0" collapsed="false">
      <c r="A26" s="56" t="str">
        <f aca="false">KKK!A16</f>
        <v>Dividen Diisytiharkan</v>
      </c>
      <c r="B26" s="46" t="n">
        <f aca="false">KKK!B16</f>
        <v>0</v>
      </c>
    </row>
    <row r="27" customFormat="false" ht="15" hidden="false" customHeight="true" outlineLevel="0" collapsed="false">
      <c r="A27" s="57" t="str">
        <f aca="false">KKK!A17</f>
        <v>JUMLAH LIABILITI</v>
      </c>
      <c r="B27" s="29" t="n">
        <f aca="false">KKK!B17</f>
        <v>0</v>
      </c>
    </row>
    <row r="28" customFormat="false" ht="15" hidden="false" customHeight="true" outlineLevel="0" collapsed="false">
      <c r="A28" s="55" t="str">
        <f aca="false">KKK!A19</f>
        <v>EKUITI AHLI</v>
      </c>
      <c r="B28" s="28"/>
    </row>
    <row r="29" customFormat="false" ht="15" hidden="false" customHeight="true" outlineLevel="0" collapsed="false">
      <c r="A29" s="56" t="str">
        <f aca="false">KKK!A20</f>
        <v>Modal Syer Ahli</v>
      </c>
      <c r="B29" s="46" t="n">
        <f aca="false">KKK!B20</f>
        <v>0</v>
      </c>
    </row>
    <row r="30" customFormat="false" ht="15" hidden="false" customHeight="true" outlineLevel="0" collapsed="false">
      <c r="A30" s="56" t="str">
        <f aca="false">KKK!A21</f>
        <v>Rizab Statutori</v>
      </c>
      <c r="B30" s="46" t="n">
        <f aca="false">KKK!B21</f>
        <v>0</v>
      </c>
    </row>
    <row r="31" customFormat="false" ht="15" hidden="false" customHeight="true" outlineLevel="0" collapsed="false">
      <c r="A31" s="56" t="str">
        <f aca="false">KKK!A22</f>
        <v>Lebihan Terkumpul (Tahun Lepas)</v>
      </c>
      <c r="B31" s="46" t="n">
        <f aca="false">KKK!B22</f>
        <v>0</v>
      </c>
    </row>
    <row r="32" customFormat="false" ht="15" hidden="false" customHeight="true" outlineLevel="0" collapsed="false">
      <c r="A32" s="56" t="str">
        <f aca="false">KKK!A23</f>
        <v>Lebihan Tahun Semasa</v>
      </c>
      <c r="B32" s="46" t="n">
        <f aca="false">KKK!B23</f>
        <v>0</v>
      </c>
    </row>
    <row r="33" customFormat="false" ht="15" hidden="false" customHeight="true" outlineLevel="0" collapsed="false">
      <c r="A33" s="57" t="str">
        <f aca="false">KKK!A24</f>
        <v>JUMLAH EKUITI AHLI</v>
      </c>
      <c r="B33" s="29" t="n">
        <f aca="false">KKK!B24</f>
        <v>0</v>
      </c>
    </row>
    <row r="34" customFormat="false" ht="15" hidden="false" customHeight="true" outlineLevel="0" collapsed="false">
      <c r="A34" s="57" t="str">
        <f aca="false">KKK!A26</f>
        <v>JUMLAH LIABILITI + EKUITI</v>
      </c>
      <c r="B34" s="29" t="n">
        <f aca="false">KKK!B26</f>
        <v>0</v>
      </c>
    </row>
    <row r="35" customFormat="false" ht="15" hidden="false" customHeight="true" outlineLevel="0" collapsed="false">
      <c r="A35" s="57" t="str">
        <f aca="false">KKK!A28</f>
        <v>Semakan:</v>
      </c>
      <c r="B35" s="29" t="str">
        <f aca="false">KKK!B28</f>
        <v>SEIMBANG</v>
      </c>
    </row>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 hidden="false" customHeight="true" outlineLevel="0" collapsed="false">
      <c r="A39" s="55" t="str">
        <f aca="false">UR!A1</f>
        <v>AKAUN UNTUNG RUGI (INCOME STATEMENT)</v>
      </c>
      <c r="B39" s="28"/>
    </row>
    <row r="40" customFormat="false" ht="15" hidden="false" customHeight="true" outlineLevel="0" collapsed="false">
      <c r="A40" s="56" t="str">
        <f aca="false">UR!A2</f>
        <v>Bagi tempoh [isi tarikh mula] hingga [isi tarikh akhir]. Cukai, Zakat, Honorarium dan KWA kini di APK, bukan di sini.</v>
      </c>
      <c r="B40" s="6"/>
    </row>
    <row r="41" customFormat="false" ht="15" hidden="false" customHeight="true" outlineLevel="0" collapsed="false">
      <c r="A41" s="55" t="str">
        <f aca="false">UR!A4</f>
        <v>HASIL</v>
      </c>
      <c r="B41" s="28"/>
    </row>
    <row r="42" customFormat="false" ht="15" hidden="false" customHeight="true" outlineLevel="0" collapsed="false">
      <c r="A42" s="56" t="str">
        <f aca="false">UR!A5</f>
        <v>Fi Masuk</v>
      </c>
      <c r="B42" s="46" t="n">
        <f aca="false">UR!B5</f>
        <v>0</v>
      </c>
    </row>
    <row r="43" customFormat="false" ht="15" hidden="false" customHeight="true" outlineLevel="0" collapsed="false">
      <c r="A43" s="56" t="str">
        <f aca="false">UR!A6</f>
        <v>Faedah Bank</v>
      </c>
      <c r="B43" s="46" t="n">
        <f aca="false">UR!B6</f>
        <v>0</v>
      </c>
    </row>
    <row r="44" customFormat="false" ht="15" hidden="false" customHeight="true" outlineLevel="0" collapsed="false">
      <c r="A44" s="56" t="str">
        <f aca="false">UR!A7</f>
        <v>Hibah Bank</v>
      </c>
      <c r="B44" s="46" t="n">
        <f aca="false">UR!B7</f>
        <v>0</v>
      </c>
    </row>
    <row r="45" customFormat="false" ht="15" hidden="false" customHeight="true" outlineLevel="0" collapsed="false">
      <c r="A45" s="56" t="str">
        <f aca="false">UR!A8</f>
        <v>Jualan Runcit</v>
      </c>
      <c r="B45" s="46" t="n">
        <f aca="false">UR!B8</f>
        <v>0</v>
      </c>
    </row>
    <row r="46" customFormat="false" ht="15" hidden="false" customHeight="true" outlineLevel="0" collapsed="false">
      <c r="A46" s="56" t="str">
        <f aca="false">UR!A9</f>
        <v>Pendapatan Perkhidmatan</v>
      </c>
      <c r="B46" s="46" t="n">
        <f aca="false">UR!B9</f>
        <v>0</v>
      </c>
    </row>
    <row r="47" customFormat="false" ht="15" hidden="false" customHeight="true" outlineLevel="0" collapsed="false">
      <c r="A47" s="56" t="str">
        <f aca="false">UR!A10</f>
        <v>Pendapatan Latihan &amp; Kursus</v>
      </c>
      <c r="B47" s="46" t="n">
        <f aca="false">UR!B10</f>
        <v>0</v>
      </c>
    </row>
    <row r="48" customFormat="false" ht="15" hidden="false" customHeight="true" outlineLevel="0" collapsed="false">
      <c r="A48" s="56" t="str">
        <f aca="false">UR!A11</f>
        <v>Jualan Makanan &amp; Minuman</v>
      </c>
      <c r="B48" s="46" t="n">
        <f aca="false">UR!B11</f>
        <v>0</v>
      </c>
    </row>
    <row r="49" customFormat="false" ht="15" hidden="false" customHeight="true" outlineLevel="0" collapsed="false">
      <c r="A49" s="56" t="str">
        <f aca="false">UR!A12</f>
        <v>Jualan Ayam &amp; Produk Sembelihan</v>
      </c>
      <c r="B49" s="46" t="n">
        <f aca="false">UR!B12</f>
        <v>0</v>
      </c>
    </row>
    <row r="50" customFormat="false" ht="15" hidden="false" customHeight="true" outlineLevel="0" collapsed="false">
      <c r="A50" s="57" t="str">
        <f aca="false">UR!A13</f>
        <v>JUMLAH HASIL</v>
      </c>
      <c r="B50" s="29" t="n">
        <f aca="false">UR!B13</f>
        <v>0</v>
      </c>
    </row>
    <row r="51" customFormat="false" ht="15" hidden="false" customHeight="true" outlineLevel="0" collapsed="false">
      <c r="A51" s="55" t="str">
        <f aca="false">UR!A15</f>
        <v>PERBELANJAAN OPERASI</v>
      </c>
      <c r="B51" s="28"/>
    </row>
    <row r="52" customFormat="false" ht="15" hidden="false" customHeight="true" outlineLevel="0" collapsed="false">
      <c r="A52" s="56" t="str">
        <f aca="false">UR!A16</f>
        <v>Perbelanjaan Pejabat</v>
      </c>
      <c r="B52" s="46" t="n">
        <f aca="false">UR!B16</f>
        <v>0</v>
      </c>
    </row>
    <row r="53" customFormat="false" ht="15" hidden="false" customHeight="true" outlineLevel="0" collapsed="false">
      <c r="A53" s="56" t="str">
        <f aca="false">UR!A17</f>
        <v>Perbelanjaan Lembaga</v>
      </c>
      <c r="B53" s="46" t="n">
        <f aca="false">UR!B17</f>
        <v>0</v>
      </c>
    </row>
    <row r="54" customFormat="false" ht="15" hidden="false" customHeight="true" outlineLevel="0" collapsed="false">
      <c r="A54" s="56" t="str">
        <f aca="false">UR!A18</f>
        <v>Gaji dan Elaun</v>
      </c>
      <c r="B54" s="46" t="n">
        <f aca="false">UR!B18</f>
        <v>0</v>
      </c>
    </row>
    <row r="55" customFormat="false" ht="15" hidden="false" customHeight="true" outlineLevel="0" collapsed="false">
      <c r="A55" s="56" t="str">
        <f aca="false">UR!A19</f>
        <v>Alatulis dan Percetakan</v>
      </c>
      <c r="B55" s="46" t="n">
        <f aca="false">UR!B19</f>
        <v>0</v>
      </c>
    </row>
    <row r="56" customFormat="false" ht="15" hidden="false" customHeight="true" outlineLevel="0" collapsed="false">
      <c r="A56" s="56" t="str">
        <f aca="false">UR!A20</f>
        <v>Fi Juruaudit</v>
      </c>
      <c r="B56" s="46" t="n">
        <f aca="false">UR!B20</f>
        <v>0</v>
      </c>
    </row>
    <row r="57" customFormat="false" ht="15" hidden="false" customHeight="true" outlineLevel="0" collapsed="false">
      <c r="A57" s="56" t="str">
        <f aca="false">UR!A21</f>
        <v>Fi Perakaunan</v>
      </c>
      <c r="B57" s="46" t="n">
        <f aca="false">UR!B21</f>
        <v>0</v>
      </c>
    </row>
    <row r="58" customFormat="false" ht="15" hidden="false" customHeight="true" outlineLevel="0" collapsed="false">
      <c r="A58" s="56" t="str">
        <f aca="false">UR!A22</f>
        <v>Caj Bank</v>
      </c>
      <c r="B58" s="46" t="n">
        <f aca="false">UR!B22</f>
        <v>0</v>
      </c>
    </row>
    <row r="59" customFormat="false" ht="15" hidden="false" customHeight="true" outlineLevel="0" collapsed="false">
      <c r="A59" s="56" t="str">
        <f aca="false">UR!A23</f>
        <v>Mesyuarat Agung Tahunan</v>
      </c>
      <c r="B59" s="46" t="n">
        <f aca="false">UR!B23</f>
        <v>0</v>
      </c>
    </row>
    <row r="60" customFormat="false" ht="15" hidden="false" customHeight="true" outlineLevel="0" collapsed="false">
      <c r="A60" s="56" t="str">
        <f aca="false">UR!A24</f>
        <v>Mesyuarat Agung Khas</v>
      </c>
      <c r="B60" s="46" t="n">
        <f aca="false">UR!B24</f>
        <v>0</v>
      </c>
    </row>
    <row r="61" customFormat="false" ht="15" hidden="false" customHeight="true" outlineLevel="0" collapsed="false">
      <c r="A61" s="56" t="str">
        <f aca="false">UR!A25</f>
        <v>Internet dan Telefon</v>
      </c>
      <c r="B61" s="46" t="n">
        <f aca="false">UR!B25</f>
        <v>0</v>
      </c>
    </row>
    <row r="62" customFormat="false" ht="15" hidden="false" customHeight="true" outlineLevel="0" collapsed="false">
      <c r="A62" s="56" t="str">
        <f aca="false">UR!A26</f>
        <v>Susut Nilai Aset</v>
      </c>
      <c r="B62" s="46" t="n">
        <f aca="false">UR!B26</f>
        <v>0</v>
      </c>
    </row>
    <row r="63" customFormat="false" ht="15" hidden="false" customHeight="true" outlineLevel="0" collapsed="false">
      <c r="A63" s="56" t="str">
        <f aca="false">UR!A27</f>
        <v>Belian Runcit</v>
      </c>
      <c r="B63" s="46" t="n">
        <f aca="false">UR!B27</f>
        <v>0</v>
      </c>
    </row>
    <row r="64" customFormat="false" ht="15" hidden="false" customHeight="true" outlineLevel="0" collapsed="false">
      <c r="A64" s="56" t="str">
        <f aca="false">UR!A28</f>
        <v>Kos Latihan &amp; Kursus</v>
      </c>
      <c r="B64" s="46" t="n">
        <f aca="false">UR!B28</f>
        <v>0</v>
      </c>
    </row>
    <row r="65" customFormat="false" ht="15" hidden="false" customHeight="true" outlineLevel="0" collapsed="false">
      <c r="A65" s="56" t="str">
        <f aca="false">UR!A29</f>
        <v>Kos Bahan Mentah F&amp;B</v>
      </c>
      <c r="B65" s="46" t="n">
        <f aca="false">UR!B29</f>
        <v>0</v>
      </c>
    </row>
    <row r="66" customFormat="false" ht="15" hidden="false" customHeight="true" outlineLevel="0" collapsed="false">
      <c r="A66" s="56" t="str">
        <f aca="false">UR!A30</f>
        <v>Belian Ayam Hidup</v>
      </c>
      <c r="B66" s="46" t="n">
        <f aca="false">UR!B30</f>
        <v>0</v>
      </c>
    </row>
    <row r="67" customFormat="false" ht="15" hidden="false" customHeight="true" outlineLevel="0" collapsed="false">
      <c r="A67" s="56" t="str">
        <f aca="false">UR!A31</f>
        <v>Kos Sembelihan &amp; Pemprosesan</v>
      </c>
      <c r="B67" s="46" t="n">
        <f aca="false">UR!B31</f>
        <v>0</v>
      </c>
    </row>
    <row r="68" customFormat="false" ht="15" hidden="false" customHeight="true" outlineLevel="0" collapsed="false">
      <c r="A68" s="56" t="str">
        <f aca="false">UR!A32</f>
        <v>Fi Pensijilan Halal</v>
      </c>
      <c r="B68" s="46" t="n">
        <f aca="false">UR!B32</f>
        <v>0</v>
      </c>
    </row>
    <row r="69" customFormat="false" ht="15" hidden="false" customHeight="true" outlineLevel="0" collapsed="false">
      <c r="A69" s="56" t="str">
        <f aca="false">UR!A33</f>
        <v>Pelbagai Perbelanjaan</v>
      </c>
      <c r="B69" s="46" t="n">
        <f aca="false">UR!B33</f>
        <v>0</v>
      </c>
    </row>
    <row r="70" customFormat="false" ht="15" hidden="false" customHeight="true" outlineLevel="0" collapsed="false">
      <c r="A70" s="57" t="str">
        <f aca="false">UR!A34</f>
        <v>JUMLAH PERBELANJAAN OPERASI</v>
      </c>
      <c r="B70" s="29" t="n">
        <f aca="false">UR!B34</f>
        <v>0</v>
      </c>
    </row>
    <row r="71" customFormat="false" ht="15" hidden="false" customHeight="true" outlineLevel="0" collapsed="false">
      <c r="A71" s="57" t="str">
        <f aca="false">UR!A36</f>
        <v>LEBIHAN BERSIH (SURPLUS) - SEBELUM PEMBAHAGIAN</v>
      </c>
      <c r="B71" s="29" t="n">
        <f aca="false">UR!B36</f>
        <v>0</v>
      </c>
    </row>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 hidden="false" customHeight="true" outlineLevel="0" collapsed="false">
      <c r="A75" s="55" t="str">
        <f aca="false">APK!A1</f>
        <v>AKAUN PEMBAHAGIAN KEUNTUNGAN (APK)</v>
      </c>
      <c r="B75" s="28"/>
    </row>
    <row r="76" customFormat="false" ht="15" hidden="false" customHeight="true" outlineLevel="0" collapsed="false">
      <c r="A76" s="56" t="str">
        <f aca="false">APK!A2</f>
        <v>Bagi tempoh [isi tarikh mula] hingga [isi tarikh akhir]. Lajur kuning = keputusan Lembaga, isi semasa mesyuarat.</v>
      </c>
      <c r="B76" s="6"/>
    </row>
    <row r="77" customFormat="false" ht="15" hidden="false" customHeight="true" outlineLevel="0" collapsed="false">
      <c r="A77" s="56" t="str">
        <f aca="false">APK!A4</f>
        <v>Lebihan Bersih Tahun Semasa (daripada UR)</v>
      </c>
      <c r="B77" s="46" t="n">
        <f aca="false">APK!B4</f>
        <v>0</v>
      </c>
    </row>
    <row r="78" customFormat="false" ht="15" hidden="false" customHeight="true" outlineLevel="0" collapsed="false">
      <c r="A78" s="55" t="str">
        <f aca="false">APK!A6</f>
        <v>TOLAK: PEMBAHAGIAN BERKANUN</v>
      </c>
      <c r="B78" s="28"/>
    </row>
    <row r="79" customFormat="false" ht="15" hidden="false" customHeight="true" outlineLevel="0" collapsed="false">
      <c r="A79" s="56" t="str">
        <f aca="false">APK!A7</f>
        <v>Kumpulan Wang Rizab Statutori (Tetapan!C15)</v>
      </c>
      <c r="B79" s="46" t="n">
        <f aca="false">APK!B7</f>
        <v>0</v>
      </c>
    </row>
    <row r="80" customFormat="false" ht="15" hidden="false" customHeight="true" outlineLevel="0" collapsed="false">
      <c r="A80" s="56" t="str">
        <f aca="false">APK!A8</f>
        <v>Kumpulan Wang Amanah Pendidikan Koperasi (Tetapan!C16)</v>
      </c>
      <c r="B80" s="46" t="n">
        <f aca="false">APK!B8</f>
        <v>0</v>
      </c>
    </row>
    <row r="81" customFormat="false" ht="15" hidden="false" customHeight="true" outlineLevel="0" collapsed="false">
      <c r="A81" s="56" t="str">
        <f aca="false">APK!A9</f>
        <v>Kumpulan Wang Amanah Pembangunan Koperasi (Tetapan!C17)</v>
      </c>
      <c r="B81" s="46" t="n">
        <f aca="false">APK!B9</f>
        <v>0</v>
      </c>
    </row>
    <row r="82" customFormat="false" ht="15" hidden="false" customHeight="true" outlineLevel="0" collapsed="false">
      <c r="A82" s="57" t="str">
        <f aca="false">APK!A10</f>
        <v>JUMLAH PEMBAHAGIAN BERKANUN</v>
      </c>
      <c r="B82" s="29" t="n">
        <f aca="false">APK!B10</f>
        <v>0</v>
      </c>
    </row>
    <row r="83" customFormat="false" ht="15" hidden="false" customHeight="true" outlineLevel="0" collapsed="false">
      <c r="A83" s="57" t="str">
        <f aca="false">APK!A12</f>
        <v>LEBIHAN SELEPAS PEMBAHAGIAN BERKANUN</v>
      </c>
      <c r="B83" s="29" t="n">
        <f aca="false">APK!B12</f>
        <v>0</v>
      </c>
    </row>
    <row r="84" customFormat="false" ht="15" hidden="false" customHeight="true" outlineLevel="0" collapsed="false">
      <c r="A84" s="55" t="str">
        <f aca="false">APK!A14</f>
        <v>TOLAK: PERUNTUKAN</v>
      </c>
      <c r="B84" s="28"/>
    </row>
    <row r="85" customFormat="false" ht="15" hidden="false" customHeight="true" outlineLevel="0" collapsed="false">
      <c r="A85" s="56" t="str">
        <f aca="false">APK!A15</f>
        <v>Peruntukan Cukai Pendapatan (isi anggaran Lembaga)</v>
      </c>
      <c r="B85" s="46" t="n">
        <f aca="false">APK!B15</f>
        <v>0</v>
      </c>
    </row>
    <row r="86" customFormat="false" ht="15" hidden="false" customHeight="true" outlineLevel="0" collapsed="false">
      <c r="A86" s="56" t="str">
        <f aca="false">APK!A16</f>
        <v>Peruntukan Zakat (isi anggaran Lembaga)</v>
      </c>
      <c r="B86" s="46" t="n">
        <f aca="false">APK!B16</f>
        <v>0</v>
      </c>
    </row>
    <row r="87" customFormat="false" ht="15" hidden="false" customHeight="true" outlineLevel="0" collapsed="false">
      <c r="A87" s="57" t="str">
        <f aca="false">APK!A17</f>
        <v>JUMLAH PERUNTUKAN</v>
      </c>
      <c r="B87" s="29" t="n">
        <f aca="false">APK!B17</f>
        <v>0</v>
      </c>
    </row>
    <row r="88" customFormat="false" ht="15" hidden="false" customHeight="true" outlineLevel="0" collapsed="false">
      <c r="A88" s="55" t="str">
        <f aca="false">APK!A19</f>
        <v>TOLAK: LAIN-LAIN PEMBAHAGIAN (cadangan Lembaga)</v>
      </c>
      <c r="B88" s="28"/>
    </row>
    <row r="89" customFormat="false" ht="15" hidden="false" customHeight="true" outlineLevel="0" collapsed="false">
      <c r="A89" s="56" t="str">
        <f aca="false">APK!A20</f>
        <v>Dividen Atas Modal Syer (isi cadangan)</v>
      </c>
      <c r="B89" s="46" t="n">
        <f aca="false">APK!B20</f>
        <v>0</v>
      </c>
    </row>
    <row r="90" customFormat="false" ht="15" hidden="false" customHeight="true" outlineLevel="0" collapsed="false">
      <c r="A90" s="56" t="str">
        <f aca="false">APK!A21</f>
        <v>Dividen Atas Modal Yuran (isi cadangan)</v>
      </c>
      <c r="B90" s="46" t="n">
        <f aca="false">APK!B21</f>
        <v>0</v>
      </c>
    </row>
    <row r="91" customFormat="false" ht="15" hidden="false" customHeight="true" outlineLevel="0" collapsed="false">
      <c r="A91" s="56" t="str">
        <f aca="false">APK!A22</f>
        <v>Honorarium Lembaga (isi cadangan)</v>
      </c>
      <c r="B91" s="46" t="n">
        <f aca="false">APK!B22</f>
        <v>0</v>
      </c>
    </row>
    <row r="92" customFormat="false" ht="15" hidden="false" customHeight="true" outlineLevel="0" collapsed="false">
      <c r="A92" s="57" t="str">
        <f aca="false">APK!A23</f>
        <v>JUMLAH LAIN-LAIN PEMBAHAGIAN</v>
      </c>
      <c r="B92" s="29" t="n">
        <f aca="false">APK!B23</f>
        <v>0</v>
      </c>
    </row>
    <row r="93" customFormat="false" ht="15" hidden="false" customHeight="true" outlineLevel="0" collapsed="false">
      <c r="A93" s="57" t="str">
        <f aca="false">APK!A25</f>
        <v>BAKI KEUNTUNGAN BELUM DIBAHAGI-BAHAGIKAN</v>
      </c>
      <c r="B93" s="29" t="n">
        <f aca="false">APK!B25</f>
        <v>0</v>
      </c>
    </row>
    <row r="94" customFormat="false" ht="15" hidden="false" customHeight="true" outlineLevel="0" collapsed="false">
      <c r="A94" s="56" t="str">
        <f aca="false">APK!A27</f>
        <v>Tambah: Lebihan Terkumpul Pada Awal Tahun</v>
      </c>
      <c r="B94" s="46" t="n">
        <f aca="false">APK!B27</f>
        <v>0</v>
      </c>
    </row>
    <row r="95" customFormat="false" ht="15" hidden="false" customHeight="true" outlineLevel="0" collapsed="false">
      <c r="A95" s="57" t="str">
        <f aca="false">APK!A28</f>
        <v>LEBIHAN TERKUMPUL PADA AKHIR TAHUN (unjuran)</v>
      </c>
      <c r="B95" s="29" t="n">
        <f aca="false">APK!B28</f>
        <v>0</v>
      </c>
    </row>
    <row r="96" customFormat="false" ht="15" hidden="false" customHeight="true" outlineLevel="0" collapsed="false">
      <c r="A96" s="57" t="str">
        <f aca="false">APK!A30</f>
        <v>Nota</v>
      </c>
      <c r="B96" s="28"/>
    </row>
    <row r="97" customFormat="false" ht="15" hidden="false" customHeight="true" outlineLevel="0" collapsed="false">
      <c r="A97" s="56" t="str">
        <f aca="false">APK!A31</f>
        <v>Baris B28 ialah UNJURAN untuk keputusan Lembaga, bukan baki sebenar KKK - KKK kekal tunjuk baki sebenar lejar. Selepas Lembaga luluskan angka di atas, pos SATU transaksi seimbang: Debit Lebihan Terkumpul (3030) sebanyak jumlah yang diluluskan, Kredit setiap akaun liabiliti berkaitan (Rizab Statutori 3020, KWA Pendidikan Belum Dibayar 2100, KWA Pembangunan Belum Dibayar 2110, Cukai Belum Dibayar 2070, Zakat Belum Dibayar 2080, Dividen Diisytiharkan 2020, Honorarium Belum Dibayar 2090). Selepas itu KKK automatik betul.</v>
      </c>
      <c r="B97" s="6"/>
    </row>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 hidden="false" customHeight="true" outlineLevel="0" collapsed="false">
      <c r="A101" s="55" t="str">
        <f aca="false">AT!A1</f>
        <v>PENYATA ALIRAN TUNAI (CASH FLOW STATEMENT)</v>
      </c>
      <c r="B101" s="28"/>
    </row>
    <row r="102" customFormat="false" ht="15" hidden="false" customHeight="true" outlineLevel="0" collapsed="false">
      <c r="A102" s="56" t="str">
        <f aca="false">AT!A2</f>
        <v>Bagi tempoh [isi tarikh mula] hingga [isi tarikh akhir] — kaedah tidak langsung (indirect method)</v>
      </c>
      <c r="B102" s="6"/>
    </row>
    <row r="103" customFormat="false" ht="15" hidden="false" customHeight="true" outlineLevel="0" collapsed="false">
      <c r="A103" s="55" t="str">
        <f aca="false">AT!A4</f>
        <v>AKTIVITI OPERASI</v>
      </c>
      <c r="B103" s="28"/>
    </row>
    <row r="104" customFormat="false" ht="15" hidden="false" customHeight="true" outlineLevel="0" collapsed="false">
      <c r="A104" s="56" t="str">
        <f aca="false">AT!A5</f>
        <v>Lebihan bersih (daripada UR)</v>
      </c>
      <c r="B104" s="46" t="n">
        <f aca="false">AT!B5</f>
        <v>0</v>
      </c>
    </row>
    <row r="105" customFormat="false" ht="15" hidden="false" customHeight="true" outlineLevel="0" collapsed="false">
      <c r="A105" s="56" t="str">
        <f aca="false">AT!A6</f>
        <v>Pelarasan lain (pilihan - biar 0)</v>
      </c>
      <c r="B105" s="46" t="n">
        <f aca="false">AT!B6</f>
        <v>0</v>
      </c>
    </row>
    <row r="106" customFormat="false" ht="15" hidden="false" customHeight="true" outlineLevel="0" collapsed="false">
      <c r="A106" s="56" t="str">
        <f aca="false">AT!A7</f>
        <v>Modal kerja &amp; pelarasan bukan tunai (AUTO)</v>
      </c>
      <c r="B106" s="46" t="n">
        <f aca="false">AT!B7</f>
        <v>0</v>
      </c>
    </row>
    <row r="107" customFormat="false" ht="15" hidden="false" customHeight="true" outlineLevel="0" collapsed="false">
      <c r="A107" s="57" t="str">
        <f aca="false">AT!A8</f>
        <v>TUNAI BERSIH DARIPADA OPERASI</v>
      </c>
      <c r="B107" s="29" t="n">
        <f aca="false">AT!B8</f>
        <v>0</v>
      </c>
    </row>
    <row r="108" customFormat="false" ht="15" hidden="false" customHeight="true" outlineLevel="0" collapsed="false">
      <c r="A108" s="55" t="str">
        <f aca="false">AT!A10</f>
        <v>AKTIVITI PELABURAN</v>
      </c>
      <c r="B108" s="28"/>
    </row>
    <row r="109" customFormat="false" ht="15" hidden="false" customHeight="true" outlineLevel="0" collapsed="false">
      <c r="A109" s="56" t="str">
        <f aca="false">AT!A11</f>
        <v>Pergerakan bersih akaun pelaburan/aset tetap (cth. Deposit Tetap, Tanah, Bangunan)</v>
      </c>
      <c r="B109" s="46" t="n">
        <f aca="false">AT!B11</f>
        <v>0</v>
      </c>
    </row>
    <row r="110" customFormat="false" ht="15" hidden="false" customHeight="true" outlineLevel="0" collapsed="false">
      <c r="A110" s="57" t="str">
        <f aca="false">AT!A12</f>
        <v>TUNAI BERSIH DARIPADA PELABURAN</v>
      </c>
      <c r="B110" s="29" t="n">
        <f aca="false">AT!B12</f>
        <v>0</v>
      </c>
    </row>
    <row r="111" customFormat="false" ht="15" hidden="false" customHeight="true" outlineLevel="0" collapsed="false">
      <c r="A111" s="55" t="str">
        <f aca="false">AT!A14</f>
        <v>AKTIVITI PEMBIAYAAN</v>
      </c>
      <c r="B111" s="28"/>
    </row>
    <row r="112" customFormat="false" ht="15" hidden="false" customHeight="true" outlineLevel="0" collapsed="false">
      <c r="A112" s="56" t="str">
        <f aca="false">AT!A15</f>
        <v>Pergerakan bersih modal syer, simpanan ahli, pinjaman &amp; dividen dibayar</v>
      </c>
      <c r="B112" s="46" t="n">
        <f aca="false">AT!B15</f>
        <v>0</v>
      </c>
    </row>
    <row r="113" customFormat="false" ht="15" hidden="false" customHeight="true" outlineLevel="0" collapsed="false">
      <c r="A113" s="57" t="str">
        <f aca="false">AT!A16</f>
        <v>TUNAI BERSIH DARIPADA PEMBIAYAAN</v>
      </c>
      <c r="B113" s="29" t="n">
        <f aca="false">AT!B16</f>
        <v>0</v>
      </c>
    </row>
    <row r="114" customFormat="false" ht="15" hidden="false" customHeight="true" outlineLevel="0" collapsed="false">
      <c r="A114" s="57" t="str">
        <f aca="false">AT!A18</f>
        <v>Bayaran kepada KWRS/KWA Pendidikan/Pembangunan/Cukai/Zakat/Honorarium/Dividen (hanya bahagian dibayar)</v>
      </c>
      <c r="B114" s="29" t="n">
        <f aca="false">AT!B18</f>
        <v>-0</v>
      </c>
    </row>
    <row r="115" customFormat="false" ht="15" hidden="false" customHeight="true" outlineLevel="0" collapsed="false">
      <c r="A115" s="56" t="n">
        <f aca="false">AT!A20</f>
        <v>0</v>
      </c>
      <c r="B115" s="46" t="n">
        <f aca="false">AT!B20</f>
        <v>0</v>
      </c>
    </row>
    <row r="116" customFormat="false" ht="15" hidden="false" customHeight="true" outlineLevel="0" collapsed="false">
      <c r="A116" s="57" t="str">
        <f aca="false">AT!A21</f>
        <v>PERUBAHAN BERSIH TUNAI (B8+B12+B16+B19)</v>
      </c>
      <c r="B116" s="29" t="n">
        <f aca="false">AT!B21</f>
        <v>0</v>
      </c>
    </row>
    <row r="117" customFormat="false" ht="15" hidden="false" customHeight="true" outlineLevel="0" collapsed="false">
      <c r="A117" s="56" t="n">
        <f aca="false">AT!A22</f>
        <v>0</v>
      </c>
      <c r="B117" s="46" t="n">
        <f aca="false">AT!B22</f>
        <v>0</v>
      </c>
    </row>
    <row r="118" customFormat="false" ht="15" hidden="false" customHeight="true" outlineLevel="0" collapsed="false">
      <c r="A118" s="57" t="str">
        <f aca="false">AT!A24</f>
        <v>TUNAI &amp; BANK PADA AKHIR TEMPOH (dikira)</v>
      </c>
      <c r="B118" s="29" t="n">
        <f aca="false">AT!B24</f>
        <v>0</v>
      </c>
    </row>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A6:B11"/>
  </mergeCells>
  <printOptions headings="false" gridLines="false" gridLinesSet="true" horizontalCentered="false" verticalCentered="false"/>
  <pageMargins left="0.6" right="0.6" top="0.7" bottom="0.7"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5"/>
    <col collapsed="false" customWidth="true" hidden="false" outlineLevel="0" max="2" min="2" style="0" width="22"/>
  </cols>
  <sheetData>
    <row r="1" customFormat="false" ht="15" hidden="false" customHeight="true" outlineLevel="0" collapsed="false">
      <c r="A1" s="58" t="s">
        <v>533</v>
      </c>
      <c r="B1" s="59"/>
      <c r="C1" s="59"/>
      <c r="D1" s="59"/>
      <c r="E1" s="59"/>
      <c r="F1" s="59"/>
    </row>
    <row r="2" customFormat="false" ht="15" hidden="false" customHeight="true" outlineLevel="0" collapsed="false">
      <c r="A2" s="60" t="s">
        <v>534</v>
      </c>
      <c r="B2" s="59"/>
      <c r="C2" s="59"/>
      <c r="D2" s="59"/>
      <c r="E2" s="59"/>
      <c r="F2" s="59"/>
    </row>
    <row r="3" customFormat="false" ht="15" hidden="false" customHeight="true" outlineLevel="0" collapsed="false">
      <c r="A3" s="60" t="s">
        <v>535</v>
      </c>
      <c r="B3" s="59"/>
      <c r="C3" s="59"/>
      <c r="D3" s="59"/>
      <c r="E3" s="59"/>
      <c r="F3" s="59"/>
    </row>
    <row r="4" customFormat="false" ht="15" hidden="false" customHeight="false" outlineLevel="0" collapsed="false">
      <c r="A4" s="59"/>
      <c r="B4" s="59"/>
      <c r="C4" s="59"/>
      <c r="D4" s="59"/>
      <c r="E4" s="59"/>
      <c r="F4" s="59"/>
    </row>
    <row r="5" customFormat="false" ht="15" hidden="false" customHeight="true" outlineLevel="0" collapsed="false">
      <c r="A5" s="58" t="s">
        <v>536</v>
      </c>
      <c r="B5" s="59"/>
      <c r="C5" s="59"/>
      <c r="D5" s="59"/>
      <c r="E5" s="59"/>
      <c r="F5" s="59"/>
    </row>
    <row r="6" customFormat="false" ht="15" hidden="false" customHeight="true" outlineLevel="0" collapsed="false">
      <c r="A6" s="61" t="s">
        <v>537</v>
      </c>
      <c r="B6" s="61" t="s">
        <v>538</v>
      </c>
      <c r="C6" s="59"/>
      <c r="D6" s="59"/>
      <c r="E6" s="59"/>
      <c r="F6" s="59"/>
    </row>
    <row r="7" customFormat="false" ht="15" hidden="false" customHeight="true" outlineLevel="0" collapsed="false">
      <c r="A7" s="61" t="s">
        <v>539</v>
      </c>
      <c r="B7" s="61" t="s">
        <v>538</v>
      </c>
      <c r="C7" s="59"/>
      <c r="D7" s="59"/>
      <c r="E7" s="59"/>
      <c r="F7" s="59"/>
    </row>
    <row r="8" customFormat="false" ht="15" hidden="false" customHeight="true" outlineLevel="0" collapsed="false">
      <c r="A8" s="61" t="s">
        <v>44</v>
      </c>
      <c r="B8" s="61" t="str">
        <f aca="false">IF(Tetapan!C6="","[ISI di Tetapan!C6]",Tetapan!C6)</f>
        <v>[ISI di Tetapan!C6]</v>
      </c>
      <c r="C8" s="59"/>
      <c r="D8" s="59"/>
      <c r="E8" s="59"/>
      <c r="F8" s="59"/>
    </row>
    <row r="9" customFormat="false" ht="15" hidden="false" customHeight="false" outlineLevel="0" collapsed="false">
      <c r="A9" s="59"/>
      <c r="B9" s="59"/>
      <c r="C9" s="59"/>
      <c r="D9" s="59"/>
      <c r="E9" s="59"/>
      <c r="F9" s="59"/>
    </row>
    <row r="10" customFormat="false" ht="15" hidden="false" customHeight="true" outlineLevel="0" collapsed="false">
      <c r="A10" s="58" t="s">
        <v>540</v>
      </c>
      <c r="B10" s="59"/>
      <c r="C10" s="59"/>
      <c r="D10" s="59"/>
      <c r="E10" s="59"/>
      <c r="F10" s="59"/>
    </row>
    <row r="11" customFormat="false" ht="15" hidden="false" customHeight="true" outlineLevel="0" collapsed="false">
      <c r="A11" s="61" t="s">
        <v>541</v>
      </c>
      <c r="B11" s="59"/>
      <c r="C11" s="59"/>
      <c r="D11" s="59"/>
      <c r="E11" s="59"/>
      <c r="F11" s="59"/>
    </row>
    <row r="12" customFormat="false" ht="15" hidden="false" customHeight="false" outlineLevel="0" collapsed="false">
      <c r="A12" s="59"/>
      <c r="B12" s="59"/>
      <c r="C12" s="59"/>
      <c r="D12" s="59"/>
      <c r="E12" s="59"/>
      <c r="F12" s="59"/>
    </row>
    <row r="13" customFormat="false" ht="15" hidden="false" customHeight="true" outlineLevel="0" collapsed="false">
      <c r="A13" s="58" t="s">
        <v>542</v>
      </c>
      <c r="B13" s="59"/>
      <c r="C13" s="59"/>
      <c r="D13" s="59"/>
      <c r="E13" s="59"/>
      <c r="F13" s="59"/>
    </row>
    <row r="14" customFormat="false" ht="15" hidden="false" customHeight="true" outlineLevel="0" collapsed="false">
      <c r="A14" s="61" t="s">
        <v>543</v>
      </c>
      <c r="B14" s="61" t="s">
        <v>538</v>
      </c>
      <c r="C14" s="59"/>
      <c r="D14" s="59"/>
      <c r="E14" s="59"/>
      <c r="F14" s="59"/>
    </row>
    <row r="15" customFormat="false" ht="15" hidden="false" customHeight="false" outlineLevel="0" collapsed="false">
      <c r="A15" s="59"/>
      <c r="B15" s="59"/>
      <c r="C15" s="59"/>
      <c r="D15" s="59"/>
      <c r="E15" s="59"/>
      <c r="F15" s="59"/>
    </row>
    <row r="16" customFormat="false" ht="15" hidden="false" customHeight="true" outlineLevel="0" collapsed="false">
      <c r="A16" s="58" t="s">
        <v>544</v>
      </c>
      <c r="B16" s="59"/>
      <c r="C16" s="59"/>
      <c r="D16" s="59"/>
      <c r="E16" s="59"/>
      <c r="F16" s="59"/>
    </row>
    <row r="17" customFormat="false" ht="15" hidden="false" customHeight="true" outlineLevel="0" collapsed="false">
      <c r="A17" s="61" t="s">
        <v>545</v>
      </c>
      <c r="B17" s="59"/>
      <c r="C17" s="59"/>
      <c r="D17" s="59"/>
      <c r="E17" s="59"/>
      <c r="F17" s="59"/>
    </row>
    <row r="18" customFormat="false" ht="15" hidden="false" customHeight="true" outlineLevel="0" collapsed="false">
      <c r="A18" s="58" t="s">
        <v>414</v>
      </c>
      <c r="B18" s="58" t="s">
        <v>415</v>
      </c>
      <c r="C18" s="58" t="s">
        <v>420</v>
      </c>
      <c r="D18" s="58" t="s">
        <v>546</v>
      </c>
      <c r="E18" s="59"/>
      <c r="F18" s="59"/>
    </row>
    <row r="19" customFormat="false" ht="15" hidden="false" customHeight="true" outlineLevel="0" collapsed="false">
      <c r="A19" s="61" t="str">
        <f aca="false">IF(Daftar_Aset_Tetap!A5="","",Daftar_Aset_Tetap!A5)</f>
        <v/>
      </c>
      <c r="B19" s="61" t="str">
        <f aca="false">IF(Daftar_Aset_Tetap!A5="","",Daftar_Aset_Tetap!B5)</f>
        <v/>
      </c>
      <c r="C19" s="61" t="str">
        <f aca="false">IF(Daftar_Aset_Tetap!A5="","",Daftar_Aset_Tetap!G5)</f>
        <v/>
      </c>
      <c r="D19" s="61" t="str">
        <f aca="false">IF(Daftar_Aset_Tetap!A5="","",Daftar_Aset_Tetap!H5)</f>
        <v/>
      </c>
      <c r="E19" s="59"/>
      <c r="F19" s="59"/>
    </row>
    <row r="20" customFormat="false" ht="15" hidden="false" customHeight="true" outlineLevel="0" collapsed="false">
      <c r="A20" s="61" t="str">
        <f aca="false">IF(Daftar_Aset_Tetap!A6="","",Daftar_Aset_Tetap!A6)</f>
        <v/>
      </c>
      <c r="B20" s="61" t="str">
        <f aca="false">IF(Daftar_Aset_Tetap!A6="","",Daftar_Aset_Tetap!B6)</f>
        <v/>
      </c>
      <c r="C20" s="61" t="str">
        <f aca="false">IF(Daftar_Aset_Tetap!A6="","",Daftar_Aset_Tetap!G6)</f>
        <v/>
      </c>
      <c r="D20" s="61" t="str">
        <f aca="false">IF(Daftar_Aset_Tetap!A6="","",Daftar_Aset_Tetap!H6)</f>
        <v/>
      </c>
      <c r="E20" s="59"/>
      <c r="F20" s="59"/>
    </row>
    <row r="21" customFormat="false" ht="15" hidden="false" customHeight="true" outlineLevel="0" collapsed="false">
      <c r="A21" s="61" t="str">
        <f aca="false">IF(Daftar_Aset_Tetap!A7="","",Daftar_Aset_Tetap!A7)</f>
        <v/>
      </c>
      <c r="B21" s="61" t="str">
        <f aca="false">IF(Daftar_Aset_Tetap!A7="","",Daftar_Aset_Tetap!B7)</f>
        <v/>
      </c>
      <c r="C21" s="61" t="str">
        <f aca="false">IF(Daftar_Aset_Tetap!A7="","",Daftar_Aset_Tetap!G7)</f>
        <v/>
      </c>
      <c r="D21" s="61" t="str">
        <f aca="false">IF(Daftar_Aset_Tetap!A7="","",Daftar_Aset_Tetap!H7)</f>
        <v/>
      </c>
      <c r="E21" s="59"/>
      <c r="F21" s="59"/>
    </row>
    <row r="22" customFormat="false" ht="15" hidden="false" customHeight="true" outlineLevel="0" collapsed="false">
      <c r="A22" s="61" t="str">
        <f aca="false">IF(Daftar_Aset_Tetap!A8="","",Daftar_Aset_Tetap!A8)</f>
        <v/>
      </c>
      <c r="B22" s="61" t="str">
        <f aca="false">IF(Daftar_Aset_Tetap!A8="","",Daftar_Aset_Tetap!B8)</f>
        <v/>
      </c>
      <c r="C22" s="61" t="str">
        <f aca="false">IF(Daftar_Aset_Tetap!A8="","",Daftar_Aset_Tetap!G8)</f>
        <v/>
      </c>
      <c r="D22" s="61" t="str">
        <f aca="false">IF(Daftar_Aset_Tetap!A8="","",Daftar_Aset_Tetap!H8)</f>
        <v/>
      </c>
      <c r="E22" s="59"/>
      <c r="F22" s="59"/>
    </row>
    <row r="23" customFormat="false" ht="15" hidden="false" customHeight="true" outlineLevel="0" collapsed="false">
      <c r="A23" s="61" t="str">
        <f aca="false">IF(Daftar_Aset_Tetap!A9="","",Daftar_Aset_Tetap!A9)</f>
        <v/>
      </c>
      <c r="B23" s="61" t="str">
        <f aca="false">IF(Daftar_Aset_Tetap!A9="","",Daftar_Aset_Tetap!B9)</f>
        <v/>
      </c>
      <c r="C23" s="61" t="str">
        <f aca="false">IF(Daftar_Aset_Tetap!A9="","",Daftar_Aset_Tetap!G9)</f>
        <v/>
      </c>
      <c r="D23" s="61" t="str">
        <f aca="false">IF(Daftar_Aset_Tetap!A9="","",Daftar_Aset_Tetap!H9)</f>
        <v/>
      </c>
      <c r="E23" s="59"/>
      <c r="F23" s="59"/>
    </row>
    <row r="24" customFormat="false" ht="15" hidden="false" customHeight="true" outlineLevel="0" collapsed="false">
      <c r="A24" s="61" t="str">
        <f aca="false">IF(Daftar_Aset_Tetap!A10="","",Daftar_Aset_Tetap!A10)</f>
        <v/>
      </c>
      <c r="B24" s="61" t="str">
        <f aca="false">IF(Daftar_Aset_Tetap!A10="","",Daftar_Aset_Tetap!B10)</f>
        <v/>
      </c>
      <c r="C24" s="61" t="str">
        <f aca="false">IF(Daftar_Aset_Tetap!A10="","",Daftar_Aset_Tetap!G10)</f>
        <v/>
      </c>
      <c r="D24" s="61" t="str">
        <f aca="false">IF(Daftar_Aset_Tetap!A10="","",Daftar_Aset_Tetap!H10)</f>
        <v/>
      </c>
      <c r="E24" s="59"/>
      <c r="F24" s="59"/>
    </row>
    <row r="25" customFormat="false" ht="15" hidden="false" customHeight="true" outlineLevel="0" collapsed="false">
      <c r="A25" s="61" t="str">
        <f aca="false">IF(Daftar_Aset_Tetap!A11="","",Daftar_Aset_Tetap!A11)</f>
        <v/>
      </c>
      <c r="B25" s="61" t="str">
        <f aca="false">IF(Daftar_Aset_Tetap!A11="","",Daftar_Aset_Tetap!B11)</f>
        <v/>
      </c>
      <c r="C25" s="61" t="str">
        <f aca="false">IF(Daftar_Aset_Tetap!A11="","",Daftar_Aset_Tetap!G11)</f>
        <v/>
      </c>
      <c r="D25" s="61" t="str">
        <f aca="false">IF(Daftar_Aset_Tetap!A11="","",Daftar_Aset_Tetap!H11)</f>
        <v/>
      </c>
      <c r="E25" s="59"/>
      <c r="F25" s="59"/>
    </row>
    <row r="26" customFormat="false" ht="15" hidden="false" customHeight="true" outlineLevel="0" collapsed="false">
      <c r="A26" s="61" t="str">
        <f aca="false">IF(Daftar_Aset_Tetap!A12="","",Daftar_Aset_Tetap!A12)</f>
        <v/>
      </c>
      <c r="B26" s="61" t="str">
        <f aca="false">IF(Daftar_Aset_Tetap!A12="","",Daftar_Aset_Tetap!B12)</f>
        <v/>
      </c>
      <c r="C26" s="61" t="str">
        <f aca="false">IF(Daftar_Aset_Tetap!A12="","",Daftar_Aset_Tetap!G12)</f>
        <v/>
      </c>
      <c r="D26" s="61" t="str">
        <f aca="false">IF(Daftar_Aset_Tetap!A12="","",Daftar_Aset_Tetap!H12)</f>
        <v/>
      </c>
      <c r="E26" s="59"/>
      <c r="F26" s="59"/>
    </row>
    <row r="27" customFormat="false" ht="15" hidden="false" customHeight="true" outlineLevel="0" collapsed="false">
      <c r="A27" s="61" t="str">
        <f aca="false">IF(Daftar_Aset_Tetap!A13="","",Daftar_Aset_Tetap!A13)</f>
        <v/>
      </c>
      <c r="B27" s="61" t="str">
        <f aca="false">IF(Daftar_Aset_Tetap!A13="","",Daftar_Aset_Tetap!B13)</f>
        <v/>
      </c>
      <c r="C27" s="61" t="str">
        <f aca="false">IF(Daftar_Aset_Tetap!A13="","",Daftar_Aset_Tetap!G13)</f>
        <v/>
      </c>
      <c r="D27" s="61" t="str">
        <f aca="false">IF(Daftar_Aset_Tetap!A13="","",Daftar_Aset_Tetap!H13)</f>
        <v/>
      </c>
      <c r="E27" s="59"/>
      <c r="F27" s="59"/>
    </row>
    <row r="28" customFormat="false" ht="15" hidden="false" customHeight="true" outlineLevel="0" collapsed="false">
      <c r="A28" s="61" t="str">
        <f aca="false">IF(Daftar_Aset_Tetap!A14="","",Daftar_Aset_Tetap!A14)</f>
        <v/>
      </c>
      <c r="B28" s="61" t="str">
        <f aca="false">IF(Daftar_Aset_Tetap!A14="","",Daftar_Aset_Tetap!B14)</f>
        <v/>
      </c>
      <c r="C28" s="61" t="str">
        <f aca="false">IF(Daftar_Aset_Tetap!A14="","",Daftar_Aset_Tetap!G14)</f>
        <v/>
      </c>
      <c r="D28" s="61" t="str">
        <f aca="false">IF(Daftar_Aset_Tetap!A14="","",Daftar_Aset_Tetap!H14)</f>
        <v/>
      </c>
      <c r="E28" s="59"/>
      <c r="F28" s="59"/>
    </row>
    <row r="29" customFormat="false" ht="15" hidden="false" customHeight="true" outlineLevel="0" collapsed="false">
      <c r="A29" s="61" t="s">
        <v>547</v>
      </c>
      <c r="B29" s="61" t="s">
        <v>548</v>
      </c>
      <c r="C29" s="59"/>
      <c r="D29" s="59"/>
      <c r="E29" s="59"/>
      <c r="F29" s="59"/>
    </row>
    <row r="30" customFormat="false" ht="15" hidden="false" customHeight="true" outlineLevel="0" collapsed="false">
      <c r="A30" s="61" t="s">
        <v>549</v>
      </c>
      <c r="B30" s="61" t="s">
        <v>550</v>
      </c>
      <c r="C30" s="59"/>
      <c r="D30" s="59"/>
      <c r="E30" s="59"/>
      <c r="F30" s="59"/>
    </row>
    <row r="31" customFormat="false" ht="15" hidden="false" customHeight="true" outlineLevel="0" collapsed="false">
      <c r="A31" s="61" t="s">
        <v>551</v>
      </c>
      <c r="B31" s="61" t="s">
        <v>552</v>
      </c>
      <c r="C31" s="59"/>
      <c r="D31" s="59"/>
      <c r="E31" s="59"/>
      <c r="F31" s="59"/>
    </row>
    <row r="32" customFormat="false" ht="15" hidden="false" customHeight="true" outlineLevel="0" collapsed="false">
      <c r="A32" s="61" t="s">
        <v>553</v>
      </c>
      <c r="B32" s="61" t="s">
        <v>554</v>
      </c>
      <c r="C32" s="59"/>
      <c r="D32" s="59"/>
      <c r="E32" s="59"/>
      <c r="F32" s="59"/>
    </row>
    <row r="33" customFormat="false" ht="15" hidden="false" customHeight="false" outlineLevel="0" collapsed="false">
      <c r="A33" s="59"/>
      <c r="B33" s="59"/>
      <c r="C33" s="59"/>
      <c r="D33" s="59"/>
      <c r="E33" s="59"/>
      <c r="F33" s="59"/>
    </row>
    <row r="34" customFormat="false" ht="15" hidden="false" customHeight="true" outlineLevel="0" collapsed="false">
      <c r="A34" s="58" t="s">
        <v>555</v>
      </c>
      <c r="B34" s="59"/>
      <c r="C34" s="59"/>
      <c r="D34" s="59"/>
      <c r="E34" s="59"/>
      <c r="F34" s="59"/>
    </row>
    <row r="35" customFormat="false" ht="15" hidden="false" customHeight="true" outlineLevel="0" collapsed="false">
      <c r="A35" s="61" t="s">
        <v>556</v>
      </c>
      <c r="B35" s="59"/>
      <c r="C35" s="59"/>
      <c r="D35" s="59"/>
      <c r="E35" s="59"/>
      <c r="F35" s="59"/>
    </row>
    <row r="36" customFormat="false" ht="15" hidden="false" customHeight="true" outlineLevel="0" collapsed="false">
      <c r="A36" s="61" t="s">
        <v>557</v>
      </c>
      <c r="B36" s="59"/>
      <c r="C36" s="59"/>
      <c r="D36" s="59"/>
      <c r="E36" s="59"/>
      <c r="F36" s="59"/>
    </row>
    <row r="37" customFormat="false" ht="15" hidden="false" customHeight="false" outlineLevel="0" collapsed="false">
      <c r="A37" s="59"/>
      <c r="B37" s="59"/>
      <c r="C37" s="59"/>
      <c r="D37" s="59"/>
      <c r="E37" s="59"/>
      <c r="F37" s="59"/>
    </row>
    <row r="38" customFormat="false" ht="15" hidden="false" customHeight="true" outlineLevel="0" collapsed="false">
      <c r="A38" s="58" t="s">
        <v>558</v>
      </c>
      <c r="B38" s="59"/>
      <c r="C38" s="59"/>
      <c r="D38" s="59"/>
      <c r="E38" s="59"/>
      <c r="F38" s="59"/>
    </row>
    <row r="39" customFormat="false" ht="15" hidden="false" customHeight="true" outlineLevel="0" collapsed="false">
      <c r="A39" s="61" t="s">
        <v>559</v>
      </c>
      <c r="B39" s="61" t="s">
        <v>560</v>
      </c>
      <c r="C39" s="59"/>
      <c r="D39" s="59"/>
      <c r="E39" s="59"/>
      <c r="F39" s="59"/>
    </row>
    <row r="40" customFormat="false" ht="15" hidden="false" customHeight="true" outlineLevel="0" collapsed="false">
      <c r="A40" s="61" t="s">
        <v>561</v>
      </c>
      <c r="B40" s="61" t="s">
        <v>562</v>
      </c>
      <c r="C40" s="59"/>
      <c r="D40" s="59"/>
      <c r="E40" s="59"/>
      <c r="F40" s="59"/>
    </row>
    <row r="41" customFormat="false" ht="15" hidden="false" customHeight="true" outlineLevel="0" collapsed="false">
      <c r="A41" s="61" t="s">
        <v>563</v>
      </c>
      <c r="B41" s="61" t="s">
        <v>562</v>
      </c>
      <c r="C41" s="59"/>
      <c r="D41" s="59"/>
      <c r="E41" s="59"/>
      <c r="F41" s="59"/>
    </row>
    <row r="42" customFormat="false" ht="15" hidden="false" customHeight="true" outlineLevel="0" collapsed="false">
      <c r="A42" s="61" t="s">
        <v>564</v>
      </c>
      <c r="B42" s="61" t="n">
        <f aca="false">IF($B$40="","",IFERROR(SUMIF(Sejarah_Baki!$B:$B,$B$40,Sejarah_Baki!$D:$D)-SUMIF(Sejarah_Baki!$B:$B,$B$40,Sejarah_Baki!$E:$E),"[ISI—thn pertama]"))</f>
        <v>0</v>
      </c>
      <c r="C42" s="59"/>
      <c r="D42" s="59"/>
      <c r="E42" s="59"/>
      <c r="F42" s="59"/>
    </row>
    <row r="43" customFormat="false" ht="15" hidden="false" customHeight="true" outlineLevel="0" collapsed="false">
      <c r="A43" s="61" t="s">
        <v>565</v>
      </c>
      <c r="B43" s="61" t="n">
        <f aca="false">IF($B$40="",0,SUMIFS(Baris_Transaksi!$D:$D,Baris_Transaksi!$C:$C,$B$40,Baris_Transaksi!$B:$B,"&lt;&gt;"&amp;Tetapan!$C$18))</f>
        <v>0</v>
      </c>
      <c r="C43" s="59"/>
      <c r="D43" s="59"/>
      <c r="E43" s="59"/>
      <c r="F43" s="59"/>
    </row>
    <row r="44" customFormat="false" ht="15" hidden="false" customHeight="true" outlineLevel="0" collapsed="false">
      <c r="A44" s="61" t="s">
        <v>566</v>
      </c>
      <c r="B44" s="61" t="n">
        <f aca="false">IF($B$40="",0,SUMIFS(Baris_Transaksi!$E:$E,Baris_Transaksi!$C:$C,$B$40,Baris_Transaksi!$B:$B,"&lt;&gt;"&amp;Tetapan!$C$18))</f>
        <v>0</v>
      </c>
      <c r="C44" s="59"/>
      <c r="D44" s="59"/>
      <c r="E44" s="59"/>
      <c r="F44" s="59"/>
    </row>
    <row r="45" customFormat="false" ht="15" hidden="false" customHeight="true" outlineLevel="0" collapsed="false">
      <c r="A45" s="61" t="s">
        <v>567</v>
      </c>
      <c r="B45" s="61" t="n">
        <f aca="false">IF($B$40="",0,SUMIF(Imbangan_Duga!$A:$A,$B$40,Imbangan_Duga!$H:$H))</f>
        <v>0</v>
      </c>
      <c r="C45" s="59"/>
      <c r="D45" s="59"/>
      <c r="E45" s="59"/>
      <c r="F45" s="59"/>
    </row>
    <row r="46" customFormat="false" ht="15" hidden="false" customHeight="true" outlineLevel="0" collapsed="false">
      <c r="A46" s="61" t="s">
        <v>568</v>
      </c>
      <c r="B46" s="61" t="n">
        <f aca="false">IF($B$41="",0,SUMIF(Imbangan_Duga!$A:$A,$B$41,Imbangan_Duga!$H:$H))</f>
        <v>0</v>
      </c>
      <c r="C46" s="59"/>
      <c r="D46" s="59"/>
      <c r="E46" s="59"/>
      <c r="F46" s="59"/>
    </row>
    <row r="47" customFormat="false" ht="15" hidden="false" customHeight="true" outlineLevel="0" collapsed="false">
      <c r="A47" s="58" t="s">
        <v>569</v>
      </c>
      <c r="B47" s="58" t="n">
        <f aca="false">B45+B46</f>
        <v>0</v>
      </c>
      <c r="C47" s="59"/>
      <c r="D47" s="59"/>
      <c r="E47" s="59"/>
      <c r="F47" s="59"/>
    </row>
    <row r="48" customFormat="false" ht="15" hidden="false" customHeight="true" outlineLevel="0" collapsed="false">
      <c r="A48" s="60" t="s">
        <v>570</v>
      </c>
      <c r="B48" s="59"/>
      <c r="C48" s="59"/>
      <c r="D48" s="59"/>
      <c r="E48" s="59"/>
      <c r="F48" s="59"/>
    </row>
    <row r="49" customFormat="false" ht="15" hidden="false" customHeight="false" outlineLevel="0" collapsed="false">
      <c r="A49" s="59"/>
      <c r="B49" s="59"/>
      <c r="C49" s="59"/>
      <c r="D49" s="59"/>
      <c r="E49" s="59"/>
      <c r="F49" s="59"/>
    </row>
    <row r="50" customFormat="false" ht="15" hidden="false" customHeight="true" outlineLevel="0" collapsed="false">
      <c r="A50" s="58" t="s">
        <v>571</v>
      </c>
      <c r="B50" s="59"/>
      <c r="C50" s="59"/>
      <c r="D50" s="59"/>
      <c r="E50" s="59"/>
      <c r="F50" s="59"/>
    </row>
    <row r="51" customFormat="false" ht="15" hidden="false" customHeight="true" outlineLevel="0" collapsed="false">
      <c r="A51" s="61" t="s">
        <v>559</v>
      </c>
      <c r="B51" s="61" t="s">
        <v>560</v>
      </c>
      <c r="C51" s="59"/>
      <c r="D51" s="59"/>
      <c r="E51" s="59"/>
      <c r="F51" s="59"/>
    </row>
    <row r="52" customFormat="false" ht="15" hidden="false" customHeight="true" outlineLevel="0" collapsed="false">
      <c r="A52" s="61" t="s">
        <v>572</v>
      </c>
      <c r="B52" s="61" t="s">
        <v>562</v>
      </c>
      <c r="C52" s="59"/>
      <c r="D52" s="59"/>
      <c r="E52" s="59"/>
      <c r="F52" s="59"/>
    </row>
    <row r="53" customFormat="false" ht="15" hidden="false" customHeight="true" outlineLevel="0" collapsed="false">
      <c r="A53" s="61" t="s">
        <v>573</v>
      </c>
      <c r="B53" s="61" t="n">
        <f aca="false">IF($B$52="",0,SUMIF(Imbangan_Duga!$A:$A,$B$52,Imbangan_Duga!$H:$H))</f>
        <v>0</v>
      </c>
      <c r="C53" s="59"/>
      <c r="D53" s="59"/>
      <c r="E53" s="59"/>
      <c r="F53" s="59"/>
    </row>
    <row r="54" customFormat="false" ht="15" hidden="false" customHeight="true" outlineLevel="0" collapsed="false">
      <c r="A54" s="61" t="s">
        <v>574</v>
      </c>
      <c r="B54" s="61" t="s">
        <v>538</v>
      </c>
      <c r="C54" s="59"/>
      <c r="D54" s="59"/>
      <c r="E54" s="59"/>
      <c r="F54" s="59"/>
    </row>
    <row r="55" customFormat="false" ht="15" hidden="false" customHeight="false" outlineLevel="0" collapsed="false">
      <c r="A55" s="59"/>
      <c r="B55" s="59"/>
      <c r="C55" s="59"/>
      <c r="D55" s="59"/>
      <c r="E55" s="59"/>
      <c r="F55" s="59"/>
    </row>
    <row r="56" customFormat="false" ht="15" hidden="false" customHeight="true" outlineLevel="0" collapsed="false">
      <c r="A56" s="58" t="s">
        <v>575</v>
      </c>
      <c r="B56" s="59"/>
      <c r="C56" s="59"/>
      <c r="D56" s="59"/>
      <c r="E56" s="59"/>
      <c r="F56" s="59"/>
    </row>
    <row r="57" customFormat="false" ht="15" hidden="false" customHeight="true" outlineLevel="0" collapsed="false">
      <c r="A57" s="61" t="s">
        <v>559</v>
      </c>
      <c r="B57" s="61" t="s">
        <v>560</v>
      </c>
      <c r="C57" s="59"/>
      <c r="D57" s="59"/>
      <c r="E57" s="59"/>
      <c r="F57" s="59"/>
    </row>
    <row r="58" customFormat="false" ht="15" hidden="false" customHeight="true" outlineLevel="0" collapsed="false">
      <c r="A58" s="61" t="s">
        <v>576</v>
      </c>
      <c r="B58" s="61" t="s">
        <v>562</v>
      </c>
      <c r="C58" s="59"/>
      <c r="D58" s="59"/>
      <c r="E58" s="59"/>
      <c r="F58" s="59"/>
    </row>
    <row r="59" customFormat="false" ht="15" hidden="false" customHeight="true" outlineLevel="0" collapsed="false">
      <c r="A59" s="61" t="s">
        <v>573</v>
      </c>
      <c r="B59" s="61" t="n">
        <f aca="false">IF($B$58="",0,SUMIF(Imbangan_Duga!$A:$A,$B$58,Imbangan_Duga!$H:$H))</f>
        <v>0</v>
      </c>
      <c r="C59" s="59"/>
      <c r="D59" s="59"/>
      <c r="E59" s="59"/>
      <c r="F59" s="59"/>
    </row>
    <row r="60" customFormat="false" ht="15" hidden="false" customHeight="true" outlineLevel="0" collapsed="false">
      <c r="A60" s="61" t="s">
        <v>577</v>
      </c>
      <c r="B60" s="61" t="s">
        <v>578</v>
      </c>
      <c r="C60" s="59"/>
      <c r="D60" s="59"/>
      <c r="E60" s="59"/>
      <c r="F60" s="59"/>
    </row>
    <row r="61" customFormat="false" ht="15" hidden="false" customHeight="true" outlineLevel="0" collapsed="false">
      <c r="A61" s="61" t="s">
        <v>579</v>
      </c>
      <c r="B61" s="61" t="s">
        <v>560</v>
      </c>
      <c r="C61" s="59"/>
      <c r="D61" s="59"/>
      <c r="E61" s="59"/>
      <c r="F61" s="59"/>
    </row>
    <row r="62" customFormat="false" ht="15" hidden="false" customHeight="false" outlineLevel="0" collapsed="false">
      <c r="A62" s="59"/>
      <c r="B62" s="59"/>
      <c r="C62" s="59"/>
      <c r="D62" s="59"/>
      <c r="E62" s="59"/>
      <c r="F62" s="59"/>
    </row>
    <row r="63" customFormat="false" ht="15" hidden="false" customHeight="true" outlineLevel="0" collapsed="false">
      <c r="A63" s="58" t="s">
        <v>580</v>
      </c>
      <c r="B63" s="59"/>
      <c r="C63" s="59"/>
      <c r="D63" s="59"/>
      <c r="E63" s="59"/>
      <c r="F63" s="59"/>
    </row>
    <row r="64" customFormat="false" ht="15" hidden="false" customHeight="true" outlineLevel="0" collapsed="false">
      <c r="A64" s="61" t="s">
        <v>559</v>
      </c>
      <c r="B64" s="61" t="s">
        <v>560</v>
      </c>
      <c r="C64" s="59"/>
      <c r="D64" s="59"/>
      <c r="E64" s="59"/>
      <c r="F64" s="59"/>
    </row>
    <row r="65" customFormat="false" ht="15" hidden="false" customHeight="true" outlineLevel="0" collapsed="false">
      <c r="A65" s="61" t="s">
        <v>581</v>
      </c>
      <c r="B65" s="61" t="s">
        <v>562</v>
      </c>
      <c r="C65" s="59"/>
      <c r="D65" s="59"/>
      <c r="E65" s="59"/>
      <c r="F65" s="59"/>
    </row>
    <row r="66" customFormat="false" ht="15" hidden="false" customHeight="true" outlineLevel="0" collapsed="false">
      <c r="A66" s="61" t="s">
        <v>582</v>
      </c>
      <c r="B66" s="61" t="s">
        <v>562</v>
      </c>
      <c r="C66" s="59"/>
      <c r="D66" s="59"/>
      <c r="E66" s="59"/>
      <c r="F66" s="59"/>
    </row>
    <row r="67" customFormat="false" ht="15" hidden="false" customHeight="true" outlineLevel="0" collapsed="false">
      <c r="A67" s="61" t="s">
        <v>573</v>
      </c>
      <c r="B67" s="61" t="n">
        <f aca="false">IF($B$65="",0,SUMIF(Imbangan_Duga!$A:$A,$B$65,Imbangan_Duga!$H:$H))</f>
        <v>0</v>
      </c>
      <c r="C67" s="59"/>
      <c r="D67" s="59"/>
      <c r="E67" s="59"/>
      <c r="F67" s="59"/>
    </row>
    <row r="68" customFormat="false" ht="15" hidden="false" customHeight="true" outlineLevel="0" collapsed="false">
      <c r="A68" s="61" t="s">
        <v>573</v>
      </c>
      <c r="B68" s="61" t="n">
        <f aca="false">IF($B$66="",0,SUMIF(Imbangan_Duga!$A:$A,$B$66,Imbangan_Duga!$H:$H))</f>
        <v>0</v>
      </c>
      <c r="C68" s="59"/>
      <c r="D68" s="59"/>
      <c r="E68" s="59"/>
      <c r="F68" s="59"/>
    </row>
    <row r="69" customFormat="false" ht="15" hidden="false" customHeight="true" outlineLevel="0" collapsed="false">
      <c r="A69" s="61" t="s">
        <v>583</v>
      </c>
      <c r="B69" s="61" t="s">
        <v>538</v>
      </c>
      <c r="C69" s="59"/>
      <c r="D69" s="59"/>
      <c r="E69" s="59"/>
      <c r="F69" s="59"/>
    </row>
    <row r="70" customFormat="false" ht="15" hidden="false" customHeight="true" outlineLevel="0" collapsed="false">
      <c r="A70" s="61" t="s">
        <v>584</v>
      </c>
      <c r="B70" s="61" t="s">
        <v>560</v>
      </c>
      <c r="C70" s="59"/>
      <c r="D70" s="59"/>
      <c r="E70" s="59"/>
      <c r="F70" s="59"/>
    </row>
    <row r="71" customFormat="false" ht="15" hidden="false" customHeight="false" outlineLevel="0" collapsed="false">
      <c r="A71" s="59"/>
      <c r="B71" s="59"/>
      <c r="C71" s="59"/>
      <c r="D71" s="59"/>
      <c r="E71" s="59"/>
      <c r="F71" s="59"/>
    </row>
    <row r="72" customFormat="false" ht="15" hidden="false" customHeight="true" outlineLevel="0" collapsed="false">
      <c r="A72" s="58" t="s">
        <v>585</v>
      </c>
      <c r="B72" s="59"/>
      <c r="C72" s="59"/>
      <c r="D72" s="59"/>
      <c r="E72" s="59"/>
      <c r="F72" s="59"/>
    </row>
    <row r="73" customFormat="false" ht="15" hidden="false" customHeight="true" outlineLevel="0" collapsed="false">
      <c r="A73" s="61" t="s">
        <v>559</v>
      </c>
      <c r="B73" s="61" t="s">
        <v>560</v>
      </c>
      <c r="C73" s="59"/>
      <c r="D73" s="59"/>
      <c r="E73" s="59"/>
      <c r="F73" s="59"/>
    </row>
    <row r="74" customFormat="false" ht="15" hidden="false" customHeight="true" outlineLevel="0" collapsed="false">
      <c r="A74" s="61" t="s">
        <v>586</v>
      </c>
      <c r="B74" s="61" t="s">
        <v>562</v>
      </c>
      <c r="C74" s="59"/>
      <c r="D74" s="59"/>
      <c r="E74" s="59"/>
      <c r="F74" s="59"/>
    </row>
    <row r="75" customFormat="false" ht="15" hidden="false" customHeight="true" outlineLevel="0" collapsed="false">
      <c r="A75" s="61" t="s">
        <v>573</v>
      </c>
      <c r="B75" s="61" t="n">
        <f aca="false">IF($B$74="",0,SUMIF(Imbangan_Duga!$A:$A,$B$74,Imbangan_Duga!$H:$H))</f>
        <v>0</v>
      </c>
      <c r="C75" s="59"/>
      <c r="D75" s="59"/>
      <c r="E75" s="59"/>
      <c r="F75" s="59"/>
    </row>
    <row r="76" customFormat="false" ht="15" hidden="false" customHeight="true" outlineLevel="0" collapsed="false">
      <c r="A76" s="61" t="s">
        <v>587</v>
      </c>
      <c r="B76" s="61" t="s">
        <v>538</v>
      </c>
      <c r="C76" s="59"/>
      <c r="D76" s="59"/>
      <c r="E76" s="59"/>
      <c r="F76" s="59"/>
    </row>
    <row r="77" customFormat="false" ht="15" hidden="false" customHeight="false" outlineLevel="0" collapsed="false">
      <c r="A77" s="59"/>
      <c r="B77" s="59"/>
      <c r="C77" s="59"/>
      <c r="D77" s="59"/>
      <c r="E77" s="59"/>
      <c r="F77" s="59"/>
    </row>
    <row r="78" customFormat="false" ht="15" hidden="false" customHeight="true" outlineLevel="0" collapsed="false">
      <c r="A78" s="58" t="s">
        <v>588</v>
      </c>
      <c r="B78" s="59"/>
      <c r="C78" s="59"/>
      <c r="D78" s="59"/>
      <c r="E78" s="59"/>
      <c r="F78" s="59"/>
    </row>
    <row r="79" customFormat="false" ht="15" hidden="false" customHeight="true" outlineLevel="0" collapsed="false">
      <c r="A79" s="61" t="s">
        <v>559</v>
      </c>
      <c r="B79" s="61" t="s">
        <v>560</v>
      </c>
      <c r="C79" s="59"/>
      <c r="D79" s="59"/>
      <c r="E79" s="59"/>
      <c r="F79" s="59"/>
    </row>
    <row r="80" customFormat="false" ht="15" hidden="false" customHeight="true" outlineLevel="0" collapsed="false">
      <c r="A80" s="61" t="s">
        <v>589</v>
      </c>
      <c r="B80" s="61" t="s">
        <v>562</v>
      </c>
      <c r="C80" s="59"/>
      <c r="D80" s="59"/>
      <c r="E80" s="59"/>
      <c r="F80" s="59"/>
    </row>
    <row r="81" customFormat="false" ht="15" hidden="false" customHeight="true" outlineLevel="0" collapsed="false">
      <c r="A81" s="61" t="s">
        <v>573</v>
      </c>
      <c r="B81" s="61" t="n">
        <f aca="false">IF($B$80="",0,SUMIF(Imbangan_Duga!$A:$A,$B$80,Imbangan_Duga!$H:$H))</f>
        <v>0</v>
      </c>
      <c r="C81" s="59"/>
      <c r="D81" s="59"/>
      <c r="E81" s="59"/>
      <c r="F81" s="59"/>
    </row>
    <row r="82" customFormat="false" ht="15" hidden="false" customHeight="true" outlineLevel="0" collapsed="false">
      <c r="A82" s="61" t="s">
        <v>590</v>
      </c>
      <c r="B82" s="61" t="s">
        <v>538</v>
      </c>
      <c r="C82" s="59"/>
      <c r="D82" s="59"/>
      <c r="E82" s="59"/>
      <c r="F82" s="59"/>
    </row>
    <row r="83" customFormat="false" ht="15" hidden="false" customHeight="false" outlineLevel="0" collapsed="false">
      <c r="A83" s="59"/>
      <c r="B83" s="59"/>
      <c r="C83" s="59"/>
      <c r="D83" s="59"/>
      <c r="E83" s="59"/>
      <c r="F83" s="59"/>
    </row>
    <row r="84" customFormat="false" ht="15" hidden="false" customHeight="true" outlineLevel="0" collapsed="false">
      <c r="A84" s="58" t="s">
        <v>591</v>
      </c>
      <c r="B84" s="59"/>
      <c r="C84" s="59"/>
      <c r="D84" s="59"/>
      <c r="E84" s="59"/>
      <c r="F84" s="59"/>
    </row>
    <row r="85" customFormat="false" ht="15" hidden="false" customHeight="true" outlineLevel="0" collapsed="false">
      <c r="A85" s="61" t="s">
        <v>559</v>
      </c>
      <c r="B85" s="61" t="s">
        <v>560</v>
      </c>
      <c r="C85" s="59"/>
      <c r="D85" s="59"/>
      <c r="E85" s="59"/>
      <c r="F85" s="59"/>
    </row>
    <row r="86" customFormat="false" ht="15" hidden="false" customHeight="true" outlineLevel="0" collapsed="false">
      <c r="A86" s="61" t="s">
        <v>592</v>
      </c>
      <c r="B86" s="61" t="s">
        <v>562</v>
      </c>
      <c r="C86" s="59"/>
      <c r="D86" s="59"/>
      <c r="E86" s="59"/>
      <c r="F86" s="59"/>
    </row>
    <row r="87" customFormat="false" ht="15" hidden="false" customHeight="true" outlineLevel="0" collapsed="false">
      <c r="A87" s="61" t="s">
        <v>573</v>
      </c>
      <c r="B87" s="61" t="n">
        <f aca="false">IF($B$86="",0,SUMIF(Imbangan_Duga!$A:$A,$B$86,Imbangan_Duga!$H:$H))</f>
        <v>0</v>
      </c>
      <c r="C87" s="59"/>
      <c r="D87" s="59"/>
      <c r="E87" s="59"/>
      <c r="F87" s="59"/>
    </row>
    <row r="88" customFormat="false" ht="15" hidden="false" customHeight="true" outlineLevel="0" collapsed="false">
      <c r="A88" s="61" t="s">
        <v>593</v>
      </c>
      <c r="B88" s="61" t="s">
        <v>538</v>
      </c>
      <c r="C88" s="59"/>
      <c r="D88" s="59"/>
      <c r="E88" s="59"/>
      <c r="F88" s="59"/>
    </row>
    <row r="89" customFormat="false" ht="15" hidden="false" customHeight="false" outlineLevel="0" collapsed="false">
      <c r="A89" s="59"/>
      <c r="B89" s="59"/>
      <c r="C89" s="59"/>
      <c r="D89" s="59"/>
      <c r="E89" s="59"/>
      <c r="F89" s="59"/>
    </row>
    <row r="90" customFormat="false" ht="15" hidden="false" customHeight="true" outlineLevel="0" collapsed="false">
      <c r="A90" s="58" t="s">
        <v>594</v>
      </c>
      <c r="B90" s="59"/>
      <c r="C90" s="59"/>
      <c r="D90" s="59"/>
      <c r="E90" s="59"/>
      <c r="F90" s="59"/>
    </row>
    <row r="91" customFormat="false" ht="15" hidden="false" customHeight="true" outlineLevel="0" collapsed="false">
      <c r="A91" s="61" t="s">
        <v>559</v>
      </c>
      <c r="B91" s="61" t="s">
        <v>560</v>
      </c>
      <c r="C91" s="59"/>
      <c r="D91" s="59"/>
      <c r="E91" s="59"/>
      <c r="F91" s="59"/>
    </row>
    <row r="92" customFormat="false" ht="15" hidden="false" customHeight="true" outlineLevel="0" collapsed="false">
      <c r="A92" s="61" t="s">
        <v>595</v>
      </c>
      <c r="B92" s="61" t="s">
        <v>562</v>
      </c>
      <c r="C92" s="59"/>
      <c r="D92" s="59"/>
      <c r="E92" s="59"/>
      <c r="F92" s="59"/>
    </row>
    <row r="93" customFormat="false" ht="15" hidden="false" customHeight="true" outlineLevel="0" collapsed="false">
      <c r="A93" s="61" t="s">
        <v>564</v>
      </c>
      <c r="B93" s="61" t="n">
        <f aca="false">IF($B$92="","",IFERROR(SUMIF(Sejarah_Baki!$B:$B,$B$92,Sejarah_Baki!$D:$D)-SUMIF(Sejarah_Baki!$B:$B,$B$92,Sejarah_Baki!$E:$E),"[ISI—thn pertama]"))</f>
        <v>0</v>
      </c>
      <c r="C93" s="59"/>
      <c r="D93" s="59"/>
      <c r="E93" s="59"/>
      <c r="F93" s="59"/>
    </row>
    <row r="94" customFormat="false" ht="15" hidden="false" customHeight="true" outlineLevel="0" collapsed="false">
      <c r="A94" s="61" t="s">
        <v>565</v>
      </c>
      <c r="B94" s="61" t="n">
        <f aca="false">IF($B$92="",0,SUMIFS(Baris_Transaksi!$D:$D,Baris_Transaksi!$C:$C,$B$92,Baris_Transaksi!$B:$B,"&lt;&gt;"&amp;Tetapan!$C$18))</f>
        <v>0</v>
      </c>
      <c r="C94" s="59"/>
      <c r="D94" s="59"/>
      <c r="E94" s="59"/>
      <c r="F94" s="59"/>
    </row>
    <row r="95" customFormat="false" ht="15" hidden="false" customHeight="true" outlineLevel="0" collapsed="false">
      <c r="A95" s="61" t="s">
        <v>566</v>
      </c>
      <c r="B95" s="61" t="n">
        <f aca="false">IF($B$92="",0,SUMIFS(Baris_Transaksi!$E:$E,Baris_Transaksi!$C:$C,$B$92,Baris_Transaksi!$B:$B,"&lt;&gt;"&amp;Tetapan!$C$18))</f>
        <v>0</v>
      </c>
      <c r="C95" s="59"/>
      <c r="D95" s="59"/>
      <c r="E95" s="59"/>
      <c r="F95" s="59"/>
    </row>
    <row r="96" customFormat="false" ht="15" hidden="false" customHeight="true" outlineLevel="0" collapsed="false">
      <c r="A96" s="61" t="s">
        <v>567</v>
      </c>
      <c r="B96" s="61" t="n">
        <f aca="false">IF($B$92="",0,SUMIF(Imbangan_Duga!$A:$A,$B$92,Imbangan_Duga!$H:$H))</f>
        <v>0</v>
      </c>
      <c r="C96" s="59"/>
      <c r="D96" s="59"/>
      <c r="E96" s="59"/>
      <c r="F96" s="59"/>
    </row>
    <row r="97" customFormat="false" ht="15" hidden="false" customHeight="true" outlineLevel="0" collapsed="false">
      <c r="A97" s="60" t="s">
        <v>596</v>
      </c>
      <c r="B97" s="59"/>
      <c r="C97" s="59"/>
      <c r="D97" s="59"/>
      <c r="E97" s="59"/>
      <c r="F97" s="59"/>
    </row>
    <row r="98" customFormat="false" ht="15" hidden="false" customHeight="false" outlineLevel="0" collapsed="false">
      <c r="A98" s="59"/>
      <c r="B98" s="59"/>
      <c r="C98" s="59"/>
      <c r="D98" s="59"/>
      <c r="E98" s="59"/>
      <c r="F98" s="59"/>
    </row>
    <row r="99" customFormat="false" ht="15" hidden="false" customHeight="true" outlineLevel="0" collapsed="false">
      <c r="A99" s="58" t="s">
        <v>597</v>
      </c>
      <c r="B99" s="59"/>
      <c r="C99" s="59"/>
      <c r="D99" s="59"/>
      <c r="E99" s="59"/>
      <c r="F99" s="59"/>
    </row>
    <row r="100" customFormat="false" ht="15" hidden="false" customHeight="true" outlineLevel="0" collapsed="false">
      <c r="A100" s="61" t="s">
        <v>559</v>
      </c>
      <c r="B100" s="61" t="s">
        <v>560</v>
      </c>
      <c r="C100" s="59"/>
      <c r="D100" s="59"/>
      <c r="E100" s="59"/>
      <c r="F100" s="59"/>
    </row>
    <row r="101" customFormat="false" ht="15" hidden="false" customHeight="true" outlineLevel="0" collapsed="false">
      <c r="A101" s="61" t="s">
        <v>598</v>
      </c>
      <c r="B101" s="61" t="s">
        <v>562</v>
      </c>
      <c r="C101" s="59"/>
      <c r="D101" s="59"/>
      <c r="E101" s="59"/>
      <c r="F101" s="59"/>
    </row>
    <row r="102" customFormat="false" ht="15" hidden="false" customHeight="true" outlineLevel="0" collapsed="false">
      <c r="A102" s="61" t="s">
        <v>599</v>
      </c>
      <c r="B102" s="61" t="n">
        <f aca="false">IF($B$101="",0,SUMIF(Imbangan_Duga!$A:$A,$B$101,Imbangan_Duga!$H:$H))</f>
        <v>0</v>
      </c>
      <c r="C102" s="59"/>
      <c r="D102" s="59"/>
      <c r="E102" s="59"/>
      <c r="F102" s="59"/>
    </row>
    <row r="103" customFormat="false" ht="15" hidden="false" customHeight="true" outlineLevel="0" collapsed="false">
      <c r="A103" s="61" t="s">
        <v>600</v>
      </c>
      <c r="B103" s="61" t="s">
        <v>562</v>
      </c>
      <c r="C103" s="59"/>
      <c r="D103" s="59"/>
      <c r="E103" s="59"/>
      <c r="F103" s="59"/>
    </row>
    <row r="104" customFormat="false" ht="15" hidden="false" customHeight="true" outlineLevel="0" collapsed="false">
      <c r="A104" s="61" t="s">
        <v>564</v>
      </c>
      <c r="B104" s="61" t="n">
        <f aca="false">IF($B$103="","",IFERROR(SUMIF(Sejarah_Baki!$B:$B,$B$103,Sejarah_Baki!$D:$D)-SUMIF(Sejarah_Baki!$B:$B,$B$103,Sejarah_Baki!$E:$E),"[ISI—thn pertama]"))</f>
        <v>0</v>
      </c>
      <c r="C104" s="59"/>
      <c r="D104" s="59"/>
      <c r="E104" s="59"/>
      <c r="F104" s="59"/>
    </row>
    <row r="105" customFormat="false" ht="15" hidden="false" customHeight="true" outlineLevel="0" collapsed="false">
      <c r="A105" s="61" t="s">
        <v>565</v>
      </c>
      <c r="B105" s="61" t="n">
        <f aca="false">IF($B$103="",0,SUMIFS(Baris_Transaksi!$D:$D,Baris_Transaksi!$C:$C,$B$103,Baris_Transaksi!$B:$B,"&lt;&gt;"&amp;Tetapan!$C$18))</f>
        <v>0</v>
      </c>
      <c r="C105" s="59"/>
      <c r="D105" s="59"/>
      <c r="E105" s="59"/>
      <c r="F105" s="59"/>
    </row>
    <row r="106" customFormat="false" ht="15" hidden="false" customHeight="true" outlineLevel="0" collapsed="false">
      <c r="A106" s="61" t="s">
        <v>566</v>
      </c>
      <c r="B106" s="61" t="n">
        <f aca="false">IF($B$103="",0,SUMIFS(Baris_Transaksi!$E:$E,Baris_Transaksi!$C:$C,$B$103,Baris_Transaksi!$B:$B,"&lt;&gt;"&amp;Tetapan!$C$18))</f>
        <v>0</v>
      </c>
      <c r="C106" s="59"/>
      <c r="D106" s="59"/>
      <c r="E106" s="59"/>
      <c r="F106" s="59"/>
    </row>
    <row r="107" customFormat="false" ht="15" hidden="false" customHeight="true" outlineLevel="0" collapsed="false">
      <c r="A107" s="61" t="s">
        <v>567</v>
      </c>
      <c r="B107" s="61" t="n">
        <f aca="false">IF($B$103="",0,SUMIF(Imbangan_Duga!$A:$A,$B$103,Imbangan_Duga!$H:$H))</f>
        <v>0</v>
      </c>
      <c r="C107" s="59"/>
      <c r="D107" s="59"/>
      <c r="E107" s="59"/>
      <c r="F107" s="59"/>
    </row>
    <row r="108" customFormat="false" ht="15" hidden="false" customHeight="false" outlineLevel="0" collapsed="false">
      <c r="A108" s="59"/>
      <c r="B108" s="59"/>
      <c r="C108" s="59"/>
      <c r="D108" s="59"/>
      <c r="E108" s="59"/>
      <c r="F108" s="59"/>
    </row>
    <row r="109" customFormat="false" ht="15" hidden="false" customHeight="true" outlineLevel="0" collapsed="false">
      <c r="A109" s="58" t="s">
        <v>601</v>
      </c>
      <c r="B109" s="59"/>
      <c r="C109" s="59"/>
      <c r="D109" s="59"/>
      <c r="E109" s="59"/>
      <c r="F109" s="59"/>
    </row>
    <row r="110" customFormat="false" ht="15" hidden="false" customHeight="true" outlineLevel="0" collapsed="false">
      <c r="A110" s="61" t="s">
        <v>559</v>
      </c>
      <c r="B110" s="61" t="s">
        <v>560</v>
      </c>
      <c r="C110" s="59"/>
      <c r="D110" s="59"/>
      <c r="E110" s="59"/>
      <c r="F110" s="59"/>
    </row>
    <row r="111" customFormat="false" ht="15" hidden="false" customHeight="true" outlineLevel="0" collapsed="false">
      <c r="A111" s="58" t="s">
        <v>602</v>
      </c>
      <c r="B111" s="58" t="s">
        <v>267</v>
      </c>
      <c r="C111" s="58" t="s">
        <v>603</v>
      </c>
      <c r="D111" s="59"/>
      <c r="E111" s="59"/>
      <c r="F111" s="59"/>
    </row>
    <row r="112" customFormat="false" ht="15" hidden="false" customHeight="true" outlineLevel="0" collapsed="false">
      <c r="A112" s="61" t="s">
        <v>604</v>
      </c>
      <c r="B112" s="61" t="s">
        <v>605</v>
      </c>
      <c r="C112" s="61" t="n">
        <f aca="false">IF(B112="",0,SUMIF(Imbangan_Duga!$A:$A,B112,Imbangan_Duga!$H:$H))</f>
        <v>0</v>
      </c>
      <c r="D112" s="59"/>
      <c r="E112" s="59"/>
      <c r="F112" s="59"/>
    </row>
    <row r="113" customFormat="false" ht="15" hidden="false" customHeight="true" outlineLevel="0" collapsed="false">
      <c r="A113" s="59"/>
      <c r="B113" s="59"/>
      <c r="C113" s="61" t="n">
        <f aca="false">IF(B113="",0,SUMIF(Imbangan_Duga!$A:$A,B113,Imbangan_Duga!$H:$H))</f>
        <v>0</v>
      </c>
      <c r="D113" s="59"/>
      <c r="E113" s="59"/>
      <c r="F113" s="59"/>
    </row>
    <row r="114" customFormat="false" ht="15" hidden="false" customHeight="true" outlineLevel="0" collapsed="false">
      <c r="A114" s="59"/>
      <c r="B114" s="59"/>
      <c r="C114" s="61" t="n">
        <f aca="false">IF(B114="",0,SUMIF(Imbangan_Duga!$A:$A,B114,Imbangan_Duga!$H:$H))</f>
        <v>0</v>
      </c>
      <c r="D114" s="59"/>
      <c r="E114" s="59"/>
      <c r="F114" s="59"/>
    </row>
    <row r="115" customFormat="false" ht="15" hidden="false" customHeight="true" outlineLevel="0" collapsed="false">
      <c r="A115" s="59"/>
      <c r="B115" s="59"/>
      <c r="C115" s="61" t="n">
        <f aca="false">IF(B115="",0,SUMIF(Imbangan_Duga!$A:$A,B115,Imbangan_Duga!$H:$H))</f>
        <v>0</v>
      </c>
      <c r="D115" s="59"/>
      <c r="E115" s="59"/>
      <c r="F115" s="59"/>
    </row>
    <row r="116" customFormat="false" ht="15" hidden="false" customHeight="true" outlineLevel="0" collapsed="false">
      <c r="A116" s="61" t="s">
        <v>606</v>
      </c>
      <c r="B116" s="61" t="s">
        <v>607</v>
      </c>
      <c r="C116" s="59"/>
      <c r="D116" s="59"/>
      <c r="E116" s="59"/>
      <c r="F116" s="59"/>
    </row>
    <row r="117" customFormat="false" ht="15" hidden="false" customHeight="false" outlineLevel="0" collapsed="false">
      <c r="A117" s="59"/>
      <c r="B117" s="59"/>
      <c r="C117" s="59"/>
      <c r="D117" s="59"/>
      <c r="E117" s="59"/>
      <c r="F117" s="59"/>
    </row>
    <row r="118" customFormat="false" ht="15" hidden="false" customHeight="true" outlineLevel="0" collapsed="false">
      <c r="A118" s="58" t="s">
        <v>608</v>
      </c>
      <c r="B118" s="59"/>
      <c r="C118" s="59"/>
      <c r="D118" s="59"/>
      <c r="E118" s="59"/>
      <c r="F118" s="59"/>
    </row>
    <row r="119" customFormat="false" ht="15" hidden="false" customHeight="true" outlineLevel="0" collapsed="false">
      <c r="A119" s="61" t="s">
        <v>559</v>
      </c>
      <c r="B119" s="61" t="s">
        <v>560</v>
      </c>
      <c r="C119" s="59"/>
      <c r="D119" s="59"/>
      <c r="E119" s="59"/>
      <c r="F119" s="59"/>
    </row>
    <row r="120" customFormat="false" ht="15" hidden="false" customHeight="true" outlineLevel="0" collapsed="false">
      <c r="A120" s="61" t="s">
        <v>609</v>
      </c>
      <c r="B120" s="61" t="s">
        <v>562</v>
      </c>
      <c r="C120" s="59"/>
      <c r="D120" s="59"/>
      <c r="E120" s="59"/>
      <c r="F120" s="59"/>
    </row>
    <row r="121" customFormat="false" ht="15" hidden="false" customHeight="true" outlineLevel="0" collapsed="false">
      <c r="A121" s="61" t="s">
        <v>610</v>
      </c>
      <c r="B121" s="61" t="s">
        <v>562</v>
      </c>
      <c r="C121" s="59"/>
      <c r="D121" s="59"/>
      <c r="E121" s="59"/>
      <c r="F121" s="59"/>
    </row>
    <row r="122" customFormat="false" ht="15" hidden="false" customHeight="true" outlineLevel="0" collapsed="false">
      <c r="A122" s="61" t="s">
        <v>564</v>
      </c>
      <c r="B122" s="61" t="n">
        <f aca="false">IF($B$120="","",IFERROR(SUMIF(Sejarah_Baki!$B:$B,$B$120,Sejarah_Baki!$D:$D)-SUMIF(Sejarah_Baki!$B:$B,$B$120,Sejarah_Baki!$E:$E),"[ISI—thn pertama]"))</f>
        <v>0</v>
      </c>
      <c r="C122" s="59"/>
      <c r="D122" s="59"/>
      <c r="E122" s="59"/>
      <c r="F122" s="59"/>
    </row>
    <row r="123" customFormat="false" ht="15" hidden="false" customHeight="true" outlineLevel="0" collapsed="false">
      <c r="A123" s="61" t="s">
        <v>565</v>
      </c>
      <c r="B123" s="61" t="n">
        <f aca="false">IF($B$120="",0,SUMIFS(Baris_Transaksi!$D:$D,Baris_Transaksi!$C:$C,$B$120,Baris_Transaksi!$B:$B,"&lt;&gt;"&amp;Tetapan!$C$18))</f>
        <v>0</v>
      </c>
      <c r="C123" s="59"/>
      <c r="D123" s="59"/>
      <c r="E123" s="59"/>
      <c r="F123" s="59"/>
    </row>
    <row r="124" customFormat="false" ht="15" hidden="false" customHeight="true" outlineLevel="0" collapsed="false">
      <c r="A124" s="61" t="s">
        <v>566</v>
      </c>
      <c r="B124" s="61" t="n">
        <f aca="false">IF($B$120="",0,SUMIFS(Baris_Transaksi!$E:$E,Baris_Transaksi!$C:$C,$B$120,Baris_Transaksi!$B:$B,"&lt;&gt;"&amp;Tetapan!$C$18))</f>
        <v>0</v>
      </c>
      <c r="C124" s="59"/>
      <c r="D124" s="59"/>
      <c r="E124" s="59"/>
      <c r="F124" s="59"/>
    </row>
    <row r="125" customFormat="false" ht="15" hidden="false" customHeight="true" outlineLevel="0" collapsed="false">
      <c r="A125" s="61" t="s">
        <v>567</v>
      </c>
      <c r="B125" s="61" t="n">
        <f aca="false">IF($B$120="",0,SUMIF(Imbangan_Duga!$A:$A,$B$120,Imbangan_Duga!$H:$H))</f>
        <v>0</v>
      </c>
      <c r="C125" s="59"/>
      <c r="D125" s="59"/>
      <c r="E125" s="59"/>
      <c r="F125" s="59"/>
    </row>
    <row r="126" customFormat="false" ht="15" hidden="false" customHeight="true" outlineLevel="0" collapsed="false">
      <c r="A126" s="61" t="s">
        <v>611</v>
      </c>
      <c r="B126" s="61" t="n">
        <f aca="false">IF($B$121="",0,SUMIF(Imbangan_Duga!$A:$A,$B$121,Imbangan_Duga!$H:$H))</f>
        <v>0</v>
      </c>
      <c r="C126" s="59"/>
      <c r="D126" s="59"/>
      <c r="E126" s="59"/>
      <c r="F126" s="59"/>
    </row>
    <row r="127" customFormat="false" ht="15" hidden="false" customHeight="true" outlineLevel="0" collapsed="false">
      <c r="A127" s="58" t="s">
        <v>569</v>
      </c>
      <c r="B127" s="58" t="n">
        <f aca="false">B125+B126</f>
        <v>0</v>
      </c>
      <c r="C127" s="59"/>
      <c r="D127" s="59"/>
      <c r="E127" s="59"/>
      <c r="F127" s="59"/>
    </row>
    <row r="128" customFormat="false" ht="15" hidden="false" customHeight="true" outlineLevel="0" collapsed="false">
      <c r="A128" s="60" t="s">
        <v>612</v>
      </c>
      <c r="B128" s="59"/>
      <c r="C128" s="59"/>
      <c r="D128" s="59"/>
      <c r="E128" s="59"/>
      <c r="F128" s="59"/>
    </row>
    <row r="129" customFormat="false" ht="15" hidden="false" customHeight="false" outlineLevel="0" collapsed="false">
      <c r="A129" s="59"/>
      <c r="B129" s="59"/>
      <c r="C129" s="59"/>
      <c r="D129" s="59"/>
      <c r="E129" s="59"/>
      <c r="F129" s="59"/>
    </row>
    <row r="130" customFormat="false" ht="15" hidden="false" customHeight="true" outlineLevel="0" collapsed="false">
      <c r="A130" s="58" t="s">
        <v>613</v>
      </c>
      <c r="B130" s="59"/>
      <c r="C130" s="59"/>
      <c r="D130" s="59"/>
      <c r="E130" s="59"/>
      <c r="F130" s="59"/>
    </row>
    <row r="131" customFormat="false" ht="15" hidden="false" customHeight="true" outlineLevel="0" collapsed="false">
      <c r="A131" s="61" t="s">
        <v>559</v>
      </c>
      <c r="B131" s="61" t="s">
        <v>560</v>
      </c>
      <c r="C131" s="59"/>
      <c r="D131" s="59"/>
      <c r="E131" s="59"/>
      <c r="F131" s="59"/>
    </row>
    <row r="132" customFormat="false" ht="15" hidden="false" customHeight="true" outlineLevel="0" collapsed="false">
      <c r="A132" s="58" t="s">
        <v>614</v>
      </c>
      <c r="B132" s="58" t="s">
        <v>267</v>
      </c>
      <c r="C132" s="58" t="s">
        <v>603</v>
      </c>
      <c r="D132" s="59"/>
      <c r="E132" s="59"/>
      <c r="F132" s="59"/>
    </row>
    <row r="133" customFormat="false" ht="15" hidden="false" customHeight="true" outlineLevel="0" collapsed="false">
      <c r="A133" s="61" t="s">
        <v>538</v>
      </c>
      <c r="B133" s="61" t="s">
        <v>605</v>
      </c>
      <c r="C133" s="61" t="n">
        <f aca="false">IF(B133="",0,SUMIF(Imbangan_Duga!$A:$A,B133,Imbangan_Duga!$H:$H))</f>
        <v>0</v>
      </c>
      <c r="D133" s="59"/>
      <c r="E133" s="59"/>
      <c r="F133" s="59"/>
    </row>
    <row r="134" customFormat="false" ht="15" hidden="false" customHeight="true" outlineLevel="0" collapsed="false">
      <c r="A134" s="59"/>
      <c r="B134" s="59"/>
      <c r="C134" s="61" t="n">
        <f aca="false">IF(B134="",0,SUMIF(Imbangan_Duga!$A:$A,B134,Imbangan_Duga!$H:$H))</f>
        <v>0</v>
      </c>
      <c r="D134" s="59"/>
      <c r="E134" s="59"/>
      <c r="F134" s="59"/>
    </row>
    <row r="135" customFormat="false" ht="15" hidden="false" customHeight="true" outlineLevel="0" collapsed="false">
      <c r="A135" s="59"/>
      <c r="B135" s="59"/>
      <c r="C135" s="61" t="n">
        <f aca="false">IF(B135="",0,SUMIF(Imbangan_Duga!$A:$A,B135,Imbangan_Duga!$H:$H))</f>
        <v>0</v>
      </c>
      <c r="D135" s="59"/>
      <c r="E135" s="59"/>
      <c r="F135" s="59"/>
    </row>
    <row r="136" customFormat="false" ht="15" hidden="false" customHeight="true" outlineLevel="0" collapsed="false">
      <c r="A136" s="59"/>
      <c r="B136" s="59"/>
      <c r="C136" s="61" t="n">
        <f aca="false">IF(B136="",0,SUMIF(Imbangan_Duga!$A:$A,B136,Imbangan_Duga!$H:$H))</f>
        <v>0</v>
      </c>
      <c r="D136" s="59"/>
      <c r="E136" s="59"/>
      <c r="F136" s="59"/>
    </row>
    <row r="137" customFormat="false" ht="15" hidden="false" customHeight="true" outlineLevel="0" collapsed="false">
      <c r="A137" s="59"/>
      <c r="B137" s="59"/>
      <c r="C137" s="61" t="n">
        <f aca="false">IF(B137="",0,SUMIF(Imbangan_Duga!$A:$A,B137,Imbangan_Duga!$H:$H))</f>
        <v>0</v>
      </c>
      <c r="D137" s="59"/>
      <c r="E137" s="59"/>
      <c r="F137" s="59"/>
    </row>
    <row r="138" customFormat="false" ht="15" hidden="false" customHeight="true" outlineLevel="0" collapsed="false">
      <c r="A138" s="61" t="s">
        <v>615</v>
      </c>
      <c r="B138" s="61" t="s">
        <v>616</v>
      </c>
      <c r="C138" s="59"/>
      <c r="D138" s="59"/>
      <c r="E138" s="59"/>
      <c r="F138" s="59"/>
    </row>
    <row r="139" customFormat="false" ht="15" hidden="false" customHeight="false" outlineLevel="0" collapsed="false">
      <c r="A139" s="59"/>
      <c r="B139" s="59"/>
      <c r="C139" s="59"/>
      <c r="D139" s="59"/>
      <c r="E139" s="59"/>
      <c r="F139" s="59"/>
    </row>
    <row r="140" customFormat="false" ht="15" hidden="false" customHeight="true" outlineLevel="0" collapsed="false">
      <c r="A140" s="58" t="s">
        <v>617</v>
      </c>
      <c r="B140" s="59"/>
      <c r="C140" s="59"/>
      <c r="D140" s="59"/>
      <c r="E140" s="59"/>
      <c r="F140" s="59"/>
    </row>
    <row r="141" customFormat="false" ht="15" hidden="false" customHeight="true" outlineLevel="0" collapsed="false">
      <c r="A141" s="61" t="s">
        <v>559</v>
      </c>
      <c r="B141" s="61" t="s">
        <v>560</v>
      </c>
      <c r="C141" s="59"/>
      <c r="D141" s="59"/>
      <c r="E141" s="59"/>
      <c r="F141" s="59"/>
    </row>
    <row r="142" customFormat="false" ht="15" hidden="false" customHeight="true" outlineLevel="0" collapsed="false">
      <c r="A142" s="61" t="s">
        <v>618</v>
      </c>
      <c r="B142" s="61" t="s">
        <v>562</v>
      </c>
      <c r="C142" s="59"/>
      <c r="D142" s="59"/>
      <c r="E142" s="59"/>
      <c r="F142" s="59"/>
    </row>
    <row r="143" customFormat="false" ht="15" hidden="false" customHeight="true" outlineLevel="0" collapsed="false">
      <c r="A143" s="61" t="s">
        <v>564</v>
      </c>
      <c r="B143" s="61" t="n">
        <f aca="false">IF($B$142="","",IFERROR(SUMIF(Sejarah_Baki!$B:$B,$B$142,Sejarah_Baki!$D:$D)-SUMIF(Sejarah_Baki!$B:$B,$B$142,Sejarah_Baki!$E:$E),"[ISI—thn pertama]"))</f>
        <v>0</v>
      </c>
      <c r="C143" s="59"/>
      <c r="D143" s="59"/>
      <c r="E143" s="59"/>
      <c r="F143" s="59"/>
    </row>
    <row r="144" customFormat="false" ht="15" hidden="false" customHeight="true" outlineLevel="0" collapsed="false">
      <c r="A144" s="61" t="s">
        <v>565</v>
      </c>
      <c r="B144" s="61" t="n">
        <f aca="false">IF($B$142="",0,SUMIFS(Baris_Transaksi!$D:$D,Baris_Transaksi!$C:$C,$B$142,Baris_Transaksi!$B:$B,"&lt;&gt;"&amp;Tetapan!$C$18))</f>
        <v>0</v>
      </c>
      <c r="C144" s="59"/>
      <c r="D144" s="59"/>
      <c r="E144" s="59"/>
      <c r="F144" s="59"/>
    </row>
    <row r="145" customFormat="false" ht="15" hidden="false" customHeight="true" outlineLevel="0" collapsed="false">
      <c r="A145" s="61" t="s">
        <v>566</v>
      </c>
      <c r="B145" s="61" t="n">
        <f aca="false">IF($B$142="",0,SUMIFS(Baris_Transaksi!$E:$E,Baris_Transaksi!$C:$C,$B$142,Baris_Transaksi!$B:$B,"&lt;&gt;"&amp;Tetapan!$C$18))</f>
        <v>0</v>
      </c>
      <c r="C145" s="59"/>
      <c r="D145" s="59"/>
      <c r="E145" s="59"/>
      <c r="F145" s="59"/>
    </row>
    <row r="146" customFormat="false" ht="15" hidden="false" customHeight="true" outlineLevel="0" collapsed="false">
      <c r="A146" s="61" t="s">
        <v>567</v>
      </c>
      <c r="B146" s="61" t="n">
        <f aca="false">IF($B$142="",0,SUMIF(Imbangan_Duga!$A:$A,$B$142,Imbangan_Duga!$H:$H))</f>
        <v>0</v>
      </c>
      <c r="C146" s="59"/>
      <c r="D146" s="59"/>
      <c r="E146" s="59"/>
      <c r="F146" s="59"/>
    </row>
    <row r="147" customFormat="false" ht="15" hidden="false" customHeight="true" outlineLevel="0" collapsed="false">
      <c r="A147" s="61" t="s">
        <v>619</v>
      </c>
      <c r="B147" s="61" t="s">
        <v>538</v>
      </c>
      <c r="C147" s="59"/>
      <c r="D147" s="59"/>
      <c r="E147" s="59"/>
      <c r="F147" s="59"/>
    </row>
    <row r="148" customFormat="false" ht="15" hidden="false" customHeight="false" outlineLevel="0" collapsed="false">
      <c r="A148" s="59"/>
      <c r="B148" s="59"/>
      <c r="C148" s="59"/>
      <c r="D148" s="59"/>
      <c r="E148" s="59"/>
      <c r="F148" s="59"/>
    </row>
    <row r="149" customFormat="false" ht="15" hidden="false" customHeight="true" outlineLevel="0" collapsed="false">
      <c r="A149" s="58" t="s">
        <v>620</v>
      </c>
      <c r="B149" s="59"/>
      <c r="C149" s="59"/>
      <c r="D149" s="59"/>
      <c r="E149" s="59"/>
      <c r="F149" s="59"/>
    </row>
    <row r="150" customFormat="false" ht="15" hidden="false" customHeight="true" outlineLevel="0" collapsed="false">
      <c r="A150" s="61" t="s">
        <v>559</v>
      </c>
      <c r="B150" s="61" t="s">
        <v>560</v>
      </c>
      <c r="C150" s="59"/>
      <c r="D150" s="59"/>
      <c r="E150" s="59"/>
      <c r="F150" s="59"/>
    </row>
    <row r="151" customFormat="false" ht="15" hidden="false" customHeight="true" outlineLevel="0" collapsed="false">
      <c r="A151" s="61" t="s">
        <v>621</v>
      </c>
      <c r="B151" s="61" t="s">
        <v>562</v>
      </c>
      <c r="C151" s="59"/>
      <c r="D151" s="59"/>
      <c r="E151" s="59"/>
      <c r="F151" s="59"/>
    </row>
    <row r="152" customFormat="false" ht="15" hidden="false" customHeight="true" outlineLevel="0" collapsed="false">
      <c r="A152" s="61" t="s">
        <v>564</v>
      </c>
      <c r="B152" s="61" t="n">
        <f aca="false">IF($B$151="","",IFERROR(SUMIF(Sejarah_Baki!$B:$B,$B$151,Sejarah_Baki!$D:$D)-SUMIF(Sejarah_Baki!$B:$B,$B$151,Sejarah_Baki!$E:$E),"[ISI—thn pertama]"))</f>
        <v>0</v>
      </c>
      <c r="C152" s="59"/>
      <c r="D152" s="59"/>
      <c r="E152" s="59"/>
      <c r="F152" s="59"/>
    </row>
    <row r="153" customFormat="false" ht="15" hidden="false" customHeight="true" outlineLevel="0" collapsed="false">
      <c r="A153" s="61" t="s">
        <v>565</v>
      </c>
      <c r="B153" s="61" t="n">
        <f aca="false">IF($B$151="",0,SUMIFS(Baris_Transaksi!$D:$D,Baris_Transaksi!$C:$C,$B$151,Baris_Transaksi!$B:$B,"&lt;&gt;"&amp;Tetapan!$C$18))</f>
        <v>0</v>
      </c>
      <c r="C153" s="59"/>
      <c r="D153" s="59"/>
      <c r="E153" s="59"/>
      <c r="F153" s="59"/>
    </row>
    <row r="154" customFormat="false" ht="15" hidden="false" customHeight="true" outlineLevel="0" collapsed="false">
      <c r="A154" s="61" t="s">
        <v>566</v>
      </c>
      <c r="B154" s="61" t="n">
        <f aca="false">IF($B$151="",0,SUMIFS(Baris_Transaksi!$E:$E,Baris_Transaksi!$C:$C,$B$151,Baris_Transaksi!$B:$B,"&lt;&gt;"&amp;Tetapan!$C$18))</f>
        <v>0</v>
      </c>
      <c r="C154" s="59"/>
      <c r="D154" s="59"/>
      <c r="E154" s="59"/>
      <c r="F154" s="59"/>
    </row>
    <row r="155" customFormat="false" ht="15" hidden="false" customHeight="true" outlineLevel="0" collapsed="false">
      <c r="A155" s="61" t="s">
        <v>567</v>
      </c>
      <c r="B155" s="61" t="n">
        <f aca="false">IF($B$151="",0,SUMIF(Imbangan_Duga!$A:$A,$B$151,Imbangan_Duga!$H:$H))</f>
        <v>0</v>
      </c>
      <c r="C155" s="59"/>
      <c r="D155" s="59"/>
      <c r="E155" s="59"/>
      <c r="F155" s="59"/>
    </row>
    <row r="156" customFormat="false" ht="15" hidden="false" customHeight="true" outlineLevel="0" collapsed="false">
      <c r="A156" s="61" t="s">
        <v>622</v>
      </c>
      <c r="B156" s="61" t="s">
        <v>538</v>
      </c>
      <c r="C156" s="59"/>
      <c r="D156" s="59"/>
      <c r="E156" s="59"/>
      <c r="F156" s="59"/>
    </row>
    <row r="157" customFormat="false" ht="15" hidden="false" customHeight="true" outlineLevel="0" collapsed="false">
      <c r="A157" s="61" t="s">
        <v>623</v>
      </c>
      <c r="B157" s="61" t="s">
        <v>560</v>
      </c>
      <c r="C157" s="59"/>
      <c r="D157" s="59"/>
      <c r="E157" s="59"/>
      <c r="F157" s="59"/>
    </row>
    <row r="158" customFormat="false" ht="15" hidden="false" customHeight="false" outlineLevel="0" collapsed="false">
      <c r="A158" s="59"/>
      <c r="B158" s="59"/>
      <c r="C158" s="59"/>
      <c r="D158" s="59"/>
      <c r="E158" s="59"/>
      <c r="F158" s="59"/>
    </row>
    <row r="159" customFormat="false" ht="15" hidden="false" customHeight="true" outlineLevel="0" collapsed="false">
      <c r="A159" s="58" t="s">
        <v>624</v>
      </c>
      <c r="B159" s="59"/>
      <c r="C159" s="59"/>
      <c r="D159" s="59"/>
      <c r="E159" s="59"/>
      <c r="F159" s="59"/>
    </row>
    <row r="160" customFormat="false" ht="15" hidden="false" customHeight="true" outlineLevel="0" collapsed="false">
      <c r="A160" s="61" t="s">
        <v>559</v>
      </c>
      <c r="B160" s="61" t="s">
        <v>560</v>
      </c>
      <c r="C160" s="59"/>
      <c r="D160" s="59"/>
      <c r="E160" s="59"/>
      <c r="F160" s="59"/>
    </row>
    <row r="161" customFormat="false" ht="15" hidden="false" customHeight="true" outlineLevel="0" collapsed="false">
      <c r="A161" s="58" t="s">
        <v>435</v>
      </c>
      <c r="B161" s="58" t="s">
        <v>267</v>
      </c>
      <c r="C161" s="58" t="s">
        <v>625</v>
      </c>
      <c r="D161" s="58" t="s">
        <v>626</v>
      </c>
      <c r="E161" s="58" t="s">
        <v>627</v>
      </c>
      <c r="F161" s="58" t="s">
        <v>628</v>
      </c>
    </row>
    <row r="162" customFormat="false" ht="15" hidden="false" customHeight="true" outlineLevel="0" collapsed="false">
      <c r="A162" s="61" t="s">
        <v>629</v>
      </c>
      <c r="B162" s="61" t="s">
        <v>605</v>
      </c>
      <c r="C162" s="61" t="n">
        <f aca="false">IF($B$162="","",IFERROR(SUMIF(Sejarah_Baki!$B:$B,$B$162,Sejarah_Baki!$D:$D)-SUMIF(Sejarah_Baki!$B:$B,$B$162,Sejarah_Baki!$E:$E),"[ISI]"))</f>
        <v>0</v>
      </c>
      <c r="D162" s="61" t="n">
        <f aca="false">IF($B$162="",0,SUMIFS(Baris_Transaksi!$E:$E,Baris_Transaksi!$C:$C,$B$162,Baris_Transaksi!$B:$B,"&lt;&gt;"&amp;Tetapan!$C$18))</f>
        <v>0</v>
      </c>
      <c r="E162" s="61" t="n">
        <f aca="false">IF($B$162="",0,SUMIFS(Baris_Transaksi!$D:$D,Baris_Transaksi!$C:$C,$B$162,Baris_Transaksi!$B:$B,"&lt;&gt;"&amp;Tetapan!$C$18))</f>
        <v>0</v>
      </c>
      <c r="F162" s="61" t="n">
        <f aca="false">IF($B$162="",0,SUMIF(Imbangan_Duga!$A:$A,$B$162,Imbangan_Duga!$H:$H))</f>
        <v>0</v>
      </c>
    </row>
    <row r="163" customFormat="false" ht="15" hidden="false" customHeight="true" outlineLevel="0" collapsed="false">
      <c r="A163" s="61" t="s">
        <v>630</v>
      </c>
      <c r="B163" s="61" t="s">
        <v>605</v>
      </c>
      <c r="C163" s="61" t="n">
        <f aca="false">IF($B$163="","",IFERROR(SUMIF(Sejarah_Baki!$B:$B,$B$163,Sejarah_Baki!$D:$D)-SUMIF(Sejarah_Baki!$B:$B,$B$163,Sejarah_Baki!$E:$E),"[ISI]"))</f>
        <v>0</v>
      </c>
      <c r="D163" s="61" t="n">
        <f aca="false">IF($B$163="",0,SUMIFS(Baris_Transaksi!$E:$E,Baris_Transaksi!$C:$C,$B$163,Baris_Transaksi!$B:$B,"&lt;&gt;"&amp;Tetapan!$C$18))</f>
        <v>0</v>
      </c>
      <c r="E163" s="61" t="n">
        <f aca="false">IF($B$163="",0,SUMIFS(Baris_Transaksi!$D:$D,Baris_Transaksi!$C:$C,$B$163,Baris_Transaksi!$B:$B,"&lt;&gt;"&amp;Tetapan!$C$18))</f>
        <v>0</v>
      </c>
      <c r="F163" s="61" t="n">
        <f aca="false">IF($B$163="",0,SUMIF(Imbangan_Duga!$A:$A,$B$163,Imbangan_Duga!$H:$H))</f>
        <v>0</v>
      </c>
    </row>
    <row r="164" customFormat="false" ht="15" hidden="false" customHeight="true" outlineLevel="0" collapsed="false">
      <c r="A164" s="61" t="s">
        <v>631</v>
      </c>
      <c r="B164" s="61" t="s">
        <v>605</v>
      </c>
      <c r="C164" s="61" t="n">
        <f aca="false">IF($B$164="","",IFERROR(SUMIF(Sejarah_Baki!$B:$B,$B$164,Sejarah_Baki!$D:$D)-SUMIF(Sejarah_Baki!$B:$B,$B$164,Sejarah_Baki!$E:$E),"[ISI]"))</f>
        <v>0</v>
      </c>
      <c r="D164" s="61" t="n">
        <f aca="false">IF($B$164="",0,SUMIFS(Baris_Transaksi!$E:$E,Baris_Transaksi!$C:$C,$B$164,Baris_Transaksi!$B:$B,"&lt;&gt;"&amp;Tetapan!$C$18))</f>
        <v>0</v>
      </c>
      <c r="E164" s="61" t="n">
        <f aca="false">IF($B$164="",0,SUMIFS(Baris_Transaksi!$D:$D,Baris_Transaksi!$C:$C,$B$164,Baris_Transaksi!$B:$B,"&lt;&gt;"&amp;Tetapan!$C$18))</f>
        <v>0</v>
      </c>
      <c r="F164" s="61" t="n">
        <f aca="false">IF($B$164="",0,SUMIF(Imbangan_Duga!$A:$A,$B$164,Imbangan_Duga!$H:$H))</f>
        <v>0</v>
      </c>
    </row>
    <row r="165" customFormat="false" ht="15" hidden="false" customHeight="true" outlineLevel="0" collapsed="false">
      <c r="A165" s="61" t="s">
        <v>350</v>
      </c>
      <c r="B165" s="61" t="s">
        <v>605</v>
      </c>
      <c r="C165" s="61" t="n">
        <f aca="false">IF($B$165="","",IFERROR(SUMIF(Sejarah_Baki!$B:$B,$B$165,Sejarah_Baki!$D:$D)-SUMIF(Sejarah_Baki!$B:$B,$B$165,Sejarah_Baki!$E:$E),"[ISI]"))</f>
        <v>0</v>
      </c>
      <c r="D165" s="61" t="n">
        <f aca="false">IF($B$165="",0,SUMIFS(Baris_Transaksi!$E:$E,Baris_Transaksi!$C:$C,$B$165,Baris_Transaksi!$B:$B,"&lt;&gt;"&amp;Tetapan!$C$18))</f>
        <v>0</v>
      </c>
      <c r="E165" s="61" t="n">
        <f aca="false">IF($B$165="",0,SUMIFS(Baris_Transaksi!$D:$D,Baris_Transaksi!$C:$C,$B$165,Baris_Transaksi!$B:$B,"&lt;&gt;"&amp;Tetapan!$C$18))</f>
        <v>0</v>
      </c>
      <c r="F165" s="61" t="n">
        <f aca="false">IF($B$165="",0,SUMIF(Imbangan_Duga!$A:$A,$B$165,Imbangan_Duga!$H:$H))</f>
        <v>0</v>
      </c>
    </row>
    <row r="166" customFormat="false" ht="15" hidden="false" customHeight="true" outlineLevel="0" collapsed="false">
      <c r="A166" s="61" t="s">
        <v>351</v>
      </c>
      <c r="B166" s="61" t="s">
        <v>605</v>
      </c>
      <c r="C166" s="61" t="n">
        <f aca="false">IF($B$166="","",IFERROR(SUMIF(Sejarah_Baki!$B:$B,$B$166,Sejarah_Baki!$D:$D)-SUMIF(Sejarah_Baki!$B:$B,$B$166,Sejarah_Baki!$E:$E),"[ISI]"))</f>
        <v>0</v>
      </c>
      <c r="D166" s="61" t="n">
        <f aca="false">IF($B$166="",0,SUMIFS(Baris_Transaksi!$E:$E,Baris_Transaksi!$C:$C,$B$166,Baris_Transaksi!$B:$B,"&lt;&gt;"&amp;Tetapan!$C$18))</f>
        <v>0</v>
      </c>
      <c r="E166" s="61" t="n">
        <f aca="false">IF($B$166="",0,SUMIFS(Baris_Transaksi!$D:$D,Baris_Transaksi!$C:$C,$B$166,Baris_Transaksi!$B:$B,"&lt;&gt;"&amp;Tetapan!$C$18))</f>
        <v>0</v>
      </c>
      <c r="F166" s="61" t="n">
        <f aca="false">IF($B$166="",0,SUMIF(Imbangan_Duga!$A:$A,$B$166,Imbangan_Duga!$H:$H))</f>
        <v>0</v>
      </c>
    </row>
    <row r="167" customFormat="false" ht="15" hidden="false" customHeight="true" outlineLevel="0" collapsed="false">
      <c r="A167" s="61" t="s">
        <v>149</v>
      </c>
      <c r="B167" s="61" t="s">
        <v>605</v>
      </c>
      <c r="C167" s="61" t="n">
        <f aca="false">IF($B$167="","",IFERROR(SUMIF(Sejarah_Baki!$B:$B,$B$167,Sejarah_Baki!$D:$D)-SUMIF(Sejarah_Baki!$B:$B,$B$167,Sejarah_Baki!$E:$E),"[ISI]"))</f>
        <v>0</v>
      </c>
      <c r="D167" s="61" t="n">
        <f aca="false">IF($B$167="",0,SUMIFS(Baris_Transaksi!$E:$E,Baris_Transaksi!$C:$C,$B$167,Baris_Transaksi!$B:$B,"&lt;&gt;"&amp;Tetapan!$C$18))</f>
        <v>0</v>
      </c>
      <c r="E167" s="61" t="n">
        <f aca="false">IF($B$167="",0,SUMIFS(Baris_Transaksi!$D:$D,Baris_Transaksi!$C:$C,$B$167,Baris_Transaksi!$B:$B,"&lt;&gt;"&amp;Tetapan!$C$18))</f>
        <v>0</v>
      </c>
      <c r="F167" s="61" t="n">
        <f aca="false">IF($B$167="",0,SUMIF(Imbangan_Duga!$A:$A,$B$167,Imbangan_Duga!$H:$H))</f>
        <v>0</v>
      </c>
    </row>
    <row r="168" customFormat="false" ht="15" hidden="false" customHeight="true" outlineLevel="0" collapsed="false">
      <c r="A168" s="61" t="s">
        <v>632</v>
      </c>
      <c r="B168" s="61" t="s">
        <v>605</v>
      </c>
      <c r="C168" s="61" t="n">
        <f aca="false">IF($B$168="","",IFERROR(SUMIF(Sejarah_Baki!$B:$B,$B$168,Sejarah_Baki!$D:$D)-SUMIF(Sejarah_Baki!$B:$B,$B$168,Sejarah_Baki!$E:$E),"[ISI]"))</f>
        <v>0</v>
      </c>
      <c r="D168" s="61" t="n">
        <f aca="false">IF($B$168="",0,SUMIFS(Baris_Transaksi!$E:$E,Baris_Transaksi!$C:$C,$B$168,Baris_Transaksi!$B:$B,"&lt;&gt;"&amp;Tetapan!$C$18))</f>
        <v>0</v>
      </c>
      <c r="E168" s="61" t="n">
        <f aca="false">IF($B$168="",0,SUMIFS(Baris_Transaksi!$D:$D,Baris_Transaksi!$C:$C,$B$168,Baris_Transaksi!$B:$B,"&lt;&gt;"&amp;Tetapan!$C$18))</f>
        <v>0</v>
      </c>
      <c r="F168" s="61" t="n">
        <f aca="false">IF($B$168="",0,SUMIF(Imbangan_Duga!$A:$A,$B$168,Imbangan_Duga!$H:$H))</f>
        <v>0</v>
      </c>
    </row>
    <row r="169" customFormat="false" ht="15" hidden="false" customHeight="false" outlineLevel="0" collapsed="false">
      <c r="A169" s="59"/>
      <c r="B169" s="59"/>
      <c r="C169" s="59"/>
      <c r="D169" s="59"/>
      <c r="E169" s="59"/>
      <c r="F169" s="59"/>
    </row>
    <row r="170" customFormat="false" ht="15" hidden="false" customHeight="true" outlineLevel="0" collapsed="false">
      <c r="A170" s="58" t="s">
        <v>633</v>
      </c>
      <c r="B170" s="59"/>
      <c r="C170" s="59"/>
      <c r="D170" s="59"/>
      <c r="E170" s="59"/>
      <c r="F170" s="59"/>
    </row>
    <row r="171" customFormat="false" ht="15" hidden="false" customHeight="true" outlineLevel="0" collapsed="false">
      <c r="A171" s="61" t="s">
        <v>559</v>
      </c>
      <c r="B171" s="61" t="s">
        <v>560</v>
      </c>
      <c r="C171" s="59"/>
      <c r="D171" s="59"/>
      <c r="E171" s="59"/>
      <c r="F171" s="59"/>
    </row>
    <row r="172" customFormat="false" ht="15" hidden="false" customHeight="true" outlineLevel="0" collapsed="false">
      <c r="A172" s="61" t="s">
        <v>634</v>
      </c>
      <c r="B172" s="61" t="s">
        <v>562</v>
      </c>
      <c r="C172" s="59"/>
      <c r="D172" s="59"/>
      <c r="E172" s="59"/>
      <c r="F172" s="59"/>
    </row>
    <row r="173" customFormat="false" ht="15" hidden="false" customHeight="true" outlineLevel="0" collapsed="false">
      <c r="A173" s="61" t="s">
        <v>573</v>
      </c>
      <c r="B173" s="61" t="n">
        <f aca="false">IF($B$172="",0,SUMIF(Imbangan_Duga!$A:$A,$B$172,Imbangan_Duga!$H:$H))</f>
        <v>0</v>
      </c>
      <c r="C173" s="59"/>
      <c r="D173" s="59"/>
      <c r="E173" s="59"/>
      <c r="F173" s="59"/>
    </row>
    <row r="174" customFormat="false" ht="15" hidden="false" customHeight="false" outlineLevel="0" collapsed="false">
      <c r="A174" s="59"/>
      <c r="B174" s="59"/>
      <c r="C174" s="59"/>
      <c r="D174" s="59"/>
      <c r="E174" s="59"/>
      <c r="F174" s="59"/>
    </row>
    <row r="175" customFormat="false" ht="15" hidden="false" customHeight="true" outlineLevel="0" collapsed="false">
      <c r="A175" s="58" t="s">
        <v>635</v>
      </c>
      <c r="B175" s="59"/>
      <c r="C175" s="59"/>
      <c r="D175" s="59"/>
      <c r="E175" s="59"/>
      <c r="F175" s="59"/>
    </row>
    <row r="176" customFormat="false" ht="15" hidden="false" customHeight="true" outlineLevel="0" collapsed="false">
      <c r="A176" s="61" t="s">
        <v>559</v>
      </c>
      <c r="B176" s="61" t="s">
        <v>560</v>
      </c>
      <c r="C176" s="59"/>
      <c r="D176" s="59"/>
      <c r="E176" s="59"/>
      <c r="F176" s="59"/>
    </row>
    <row r="177" customFormat="false" ht="15" hidden="false" customHeight="true" outlineLevel="0" collapsed="false">
      <c r="A177" s="61" t="s">
        <v>636</v>
      </c>
      <c r="B177" s="61" t="s">
        <v>562</v>
      </c>
      <c r="C177" s="59"/>
      <c r="D177" s="59"/>
      <c r="E177" s="59"/>
      <c r="F177" s="59"/>
    </row>
    <row r="178" customFormat="false" ht="15" hidden="false" customHeight="true" outlineLevel="0" collapsed="false">
      <c r="A178" s="61" t="s">
        <v>564</v>
      </c>
      <c r="B178" s="61" t="n">
        <f aca="false">IF($B$177="","",IFERROR(SUMIF(Sejarah_Baki!$B:$B,$B$177,Sejarah_Baki!$D:$D)-SUMIF(Sejarah_Baki!$B:$B,$B$177,Sejarah_Baki!$E:$E),"[ISI—thn pertama]"))</f>
        <v>0</v>
      </c>
      <c r="C178" s="59"/>
      <c r="D178" s="59"/>
      <c r="E178" s="59"/>
      <c r="F178" s="59"/>
    </row>
    <row r="179" customFormat="false" ht="15" hidden="false" customHeight="true" outlineLevel="0" collapsed="false">
      <c r="A179" s="61" t="s">
        <v>565</v>
      </c>
      <c r="B179" s="61" t="n">
        <f aca="false">IF($B$177="",0,SUMIFS(Baris_Transaksi!$D:$D,Baris_Transaksi!$C:$C,$B$177,Baris_Transaksi!$B:$B,"&lt;&gt;"&amp;Tetapan!$C$18))</f>
        <v>0</v>
      </c>
      <c r="C179" s="59"/>
      <c r="D179" s="59"/>
      <c r="E179" s="59"/>
      <c r="F179" s="59"/>
    </row>
    <row r="180" customFormat="false" ht="15" hidden="false" customHeight="true" outlineLevel="0" collapsed="false">
      <c r="A180" s="61" t="s">
        <v>566</v>
      </c>
      <c r="B180" s="61" t="n">
        <f aca="false">IF($B$177="",0,SUMIFS(Baris_Transaksi!$E:$E,Baris_Transaksi!$C:$C,$B$177,Baris_Transaksi!$B:$B,"&lt;&gt;"&amp;Tetapan!$C$18))</f>
        <v>0</v>
      </c>
      <c r="C180" s="59"/>
      <c r="D180" s="59"/>
      <c r="E180" s="59"/>
      <c r="F180" s="59"/>
    </row>
    <row r="181" customFormat="false" ht="15" hidden="false" customHeight="true" outlineLevel="0" collapsed="false">
      <c r="A181" s="61" t="s">
        <v>567</v>
      </c>
      <c r="B181" s="61" t="n">
        <f aca="false">IF($B$177="",0,SUMIF(Imbangan_Duga!$A:$A,$B$177,Imbangan_Duga!$H:$H))</f>
        <v>0</v>
      </c>
      <c r="C181" s="59"/>
      <c r="D181" s="59"/>
      <c r="E181" s="59"/>
      <c r="F181" s="59"/>
    </row>
    <row r="182" customFormat="false" ht="15" hidden="false" customHeight="false" outlineLevel="0" collapsed="false">
      <c r="A182" s="59"/>
      <c r="B182" s="59"/>
      <c r="C182" s="59"/>
      <c r="D182" s="59"/>
      <c r="E182" s="59"/>
      <c r="F182" s="59"/>
    </row>
    <row r="183" customFormat="false" ht="15" hidden="false" customHeight="true" outlineLevel="0" collapsed="false">
      <c r="A183" s="58" t="s">
        <v>637</v>
      </c>
      <c r="B183" s="59"/>
      <c r="C183" s="59"/>
      <c r="D183" s="59"/>
      <c r="E183" s="59"/>
      <c r="F183" s="59"/>
    </row>
    <row r="184" customFormat="false" ht="15" hidden="false" customHeight="true" outlineLevel="0" collapsed="false">
      <c r="A184" s="61" t="s">
        <v>559</v>
      </c>
      <c r="B184" s="61" t="s">
        <v>560</v>
      </c>
      <c r="C184" s="59"/>
      <c r="D184" s="59"/>
      <c r="E184" s="59"/>
      <c r="F184" s="59"/>
    </row>
    <row r="185" customFormat="false" ht="15" hidden="false" customHeight="true" outlineLevel="0" collapsed="false">
      <c r="A185" s="61" t="s">
        <v>638</v>
      </c>
      <c r="B185" s="61" t="s">
        <v>562</v>
      </c>
      <c r="C185" s="59"/>
      <c r="D185" s="59"/>
      <c r="E185" s="59"/>
      <c r="F185" s="59"/>
    </row>
    <row r="186" customFormat="false" ht="15" hidden="false" customHeight="true" outlineLevel="0" collapsed="false">
      <c r="A186" s="61" t="s">
        <v>573</v>
      </c>
      <c r="B186" s="61" t="n">
        <f aca="false">IF($B$185="",0,SUMIF(Imbangan_Duga!$A:$A,$B$185,Imbangan_Duga!$H:$H))</f>
        <v>0</v>
      </c>
      <c r="C186" s="59"/>
      <c r="D186" s="59"/>
      <c r="E186" s="59"/>
      <c r="F186" s="59"/>
    </row>
    <row r="187" customFormat="false" ht="15" hidden="false" customHeight="true" outlineLevel="0" collapsed="false">
      <c r="A187" s="61" t="s">
        <v>639</v>
      </c>
      <c r="B187" s="61" t="s">
        <v>538</v>
      </c>
      <c r="C187" s="59"/>
      <c r="D187" s="59"/>
      <c r="E187" s="59"/>
      <c r="F187" s="59"/>
    </row>
    <row r="188" customFormat="false" ht="15" hidden="false" customHeight="false" outlineLevel="0" collapsed="false">
      <c r="A188" s="59"/>
      <c r="B188" s="59"/>
      <c r="C188" s="59"/>
      <c r="D188" s="59"/>
      <c r="E188" s="59"/>
      <c r="F188" s="59"/>
    </row>
    <row r="189" customFormat="false" ht="15" hidden="false" customHeight="true" outlineLevel="0" collapsed="false">
      <c r="A189" s="58" t="s">
        <v>640</v>
      </c>
      <c r="B189" s="59"/>
      <c r="C189" s="59"/>
      <c r="D189" s="59"/>
      <c r="E189" s="59"/>
      <c r="F189" s="59"/>
    </row>
    <row r="190" customFormat="false" ht="15" hidden="false" customHeight="true" outlineLevel="0" collapsed="false">
      <c r="A190" s="61" t="s">
        <v>559</v>
      </c>
      <c r="B190" s="61" t="s">
        <v>560</v>
      </c>
      <c r="C190" s="59"/>
      <c r="D190" s="59"/>
      <c r="E190" s="59"/>
      <c r="F190" s="59"/>
    </row>
    <row r="191" customFormat="false" ht="15" hidden="false" customHeight="true" outlineLevel="0" collapsed="false">
      <c r="A191" s="58" t="s">
        <v>435</v>
      </c>
      <c r="B191" s="58" t="s">
        <v>267</v>
      </c>
      <c r="C191" s="58" t="s">
        <v>625</v>
      </c>
      <c r="D191" s="58" t="s">
        <v>641</v>
      </c>
      <c r="E191" s="58" t="s">
        <v>642</v>
      </c>
      <c r="F191" s="58" t="s">
        <v>628</v>
      </c>
    </row>
    <row r="192" customFormat="false" ht="15" hidden="false" customHeight="true" outlineLevel="0" collapsed="false">
      <c r="A192" s="61" t="s">
        <v>643</v>
      </c>
      <c r="B192" s="61" t="s">
        <v>605</v>
      </c>
      <c r="C192" s="61" t="n">
        <f aca="false">IF($B$192="","",IFERROR(SUMIF(Sejarah_Baki!$B:$B,$B$192,Sejarah_Baki!$D:$D)-SUMIF(Sejarah_Baki!$B:$B,$B$192,Sejarah_Baki!$E:$E),"[ISI]"))</f>
        <v>0</v>
      </c>
      <c r="D192" s="61" t="n">
        <f aca="false">IF($B$192="",0,SUMIFS(Baris_Transaksi!$E:$E,Baris_Transaksi!$C:$C,$B$192,Baris_Transaksi!$B:$B,"&lt;&gt;"&amp;Tetapan!$C$18))</f>
        <v>0</v>
      </c>
      <c r="E192" s="61" t="n">
        <f aca="false">IF($B$192="",0,SUMIFS(Baris_Transaksi!$D:$D,Baris_Transaksi!$C:$C,$B$192,Baris_Transaksi!$B:$B,"&lt;&gt;"&amp;Tetapan!$C$18))</f>
        <v>0</v>
      </c>
      <c r="F192" s="61" t="n">
        <f aca="false">IF($B$192="",0,SUMIF(Imbangan_Duga!$A:$A,$B$192,Imbangan_Duga!$H:$H))</f>
        <v>0</v>
      </c>
    </row>
    <row r="193" customFormat="false" ht="15" hidden="false" customHeight="true" outlineLevel="0" collapsed="false">
      <c r="A193" s="61" t="s">
        <v>644</v>
      </c>
      <c r="B193" s="61" t="s">
        <v>605</v>
      </c>
      <c r="C193" s="61" t="n">
        <f aca="false">IF($B$193="","",IFERROR(SUMIF(Sejarah_Baki!$B:$B,$B$193,Sejarah_Baki!$D:$D)-SUMIF(Sejarah_Baki!$B:$B,$B$193,Sejarah_Baki!$E:$E),"[ISI]"))</f>
        <v>0</v>
      </c>
      <c r="D193" s="61" t="n">
        <f aca="false">IF($B$193="",0,SUMIFS(Baris_Transaksi!$E:$E,Baris_Transaksi!$C:$C,$B$193,Baris_Transaksi!$B:$B,"&lt;&gt;"&amp;Tetapan!$C$18))</f>
        <v>0</v>
      </c>
      <c r="E193" s="61" t="n">
        <f aca="false">IF($B$193="",0,SUMIFS(Baris_Transaksi!$D:$D,Baris_Transaksi!$C:$C,$B$193,Baris_Transaksi!$B:$B,"&lt;&gt;"&amp;Tetapan!$C$18))</f>
        <v>0</v>
      </c>
      <c r="F193" s="61" t="n">
        <f aca="false">IF($B$193="",0,SUMIF(Imbangan_Duga!$A:$A,$B$193,Imbangan_Duga!$H:$H))</f>
        <v>0</v>
      </c>
    </row>
    <row r="194" customFormat="false" ht="15" hidden="false" customHeight="true" outlineLevel="0" collapsed="false">
      <c r="A194" s="61" t="s">
        <v>645</v>
      </c>
      <c r="B194" s="61" t="s">
        <v>605</v>
      </c>
      <c r="C194" s="61" t="n">
        <f aca="false">IF($B$194="","",IFERROR(SUMIF(Sejarah_Baki!$B:$B,$B$194,Sejarah_Baki!$D:$D)-SUMIF(Sejarah_Baki!$B:$B,$B$194,Sejarah_Baki!$E:$E),"[ISI]"))</f>
        <v>0</v>
      </c>
      <c r="D194" s="61" t="n">
        <f aca="false">IF($B$194="",0,SUMIFS(Baris_Transaksi!$E:$E,Baris_Transaksi!$C:$C,$B$194,Baris_Transaksi!$B:$B,"&lt;&gt;"&amp;Tetapan!$C$18))</f>
        <v>0</v>
      </c>
      <c r="E194" s="61" t="n">
        <f aca="false">IF($B$194="",0,SUMIFS(Baris_Transaksi!$D:$D,Baris_Transaksi!$C:$C,$B$194,Baris_Transaksi!$B:$B,"&lt;&gt;"&amp;Tetapan!$C$18))</f>
        <v>0</v>
      </c>
      <c r="F194" s="61" t="n">
        <f aca="false">IF($B$194="",0,SUMIF(Imbangan_Duga!$A:$A,$B$194,Imbangan_Duga!$H:$H))</f>
        <v>0</v>
      </c>
    </row>
    <row r="195" customFormat="false" ht="15" hidden="false" customHeight="true" outlineLevel="0" collapsed="false">
      <c r="A195" s="61" t="s">
        <v>646</v>
      </c>
      <c r="B195" s="61" t="s">
        <v>647</v>
      </c>
      <c r="C195" s="59"/>
      <c r="D195" s="59"/>
      <c r="E195" s="59"/>
      <c r="F195" s="59"/>
    </row>
    <row r="196" customFormat="false" ht="15" hidden="false" customHeight="false" outlineLevel="0" collapsed="false">
      <c r="A196" s="59"/>
      <c r="B196" s="59"/>
      <c r="C196" s="59"/>
      <c r="D196" s="59"/>
      <c r="E196" s="59"/>
      <c r="F196" s="59"/>
    </row>
    <row r="197" customFormat="false" ht="15" hidden="false" customHeight="true" outlineLevel="0" collapsed="false">
      <c r="A197" s="58" t="s">
        <v>648</v>
      </c>
      <c r="B197" s="59"/>
      <c r="C197" s="59"/>
      <c r="D197" s="59"/>
      <c r="E197" s="59"/>
      <c r="F197" s="59"/>
    </row>
    <row r="198" customFormat="false" ht="15" hidden="false" customHeight="true" outlineLevel="0" collapsed="false">
      <c r="A198" s="61" t="s">
        <v>559</v>
      </c>
      <c r="B198" s="61" t="s">
        <v>560</v>
      </c>
      <c r="C198" s="59"/>
      <c r="D198" s="59"/>
      <c r="E198" s="59"/>
      <c r="F198" s="59"/>
    </row>
    <row r="199" customFormat="false" ht="15" hidden="false" customHeight="true" outlineLevel="0" collapsed="false">
      <c r="A199" s="61" t="s">
        <v>649</v>
      </c>
      <c r="B199" s="61" t="s">
        <v>562</v>
      </c>
      <c r="C199" s="59"/>
      <c r="D199" s="59"/>
      <c r="E199" s="59"/>
      <c r="F199" s="59"/>
    </row>
    <row r="200" customFormat="false" ht="15" hidden="false" customHeight="true" outlineLevel="0" collapsed="false">
      <c r="A200" s="61" t="s">
        <v>564</v>
      </c>
      <c r="B200" s="61" t="n">
        <f aca="false">IF($B$199="","",IFERROR(SUMIF(Sejarah_Baki!$B:$B,$B$199,Sejarah_Baki!$D:$D)-SUMIF(Sejarah_Baki!$B:$B,$B$199,Sejarah_Baki!$E:$E),"[ISI—thn pertama]"))</f>
        <v>0</v>
      </c>
      <c r="C200" s="59"/>
      <c r="D200" s="59"/>
      <c r="E200" s="59"/>
      <c r="F200" s="59"/>
    </row>
    <row r="201" customFormat="false" ht="15" hidden="false" customHeight="true" outlineLevel="0" collapsed="false">
      <c r="A201" s="61" t="s">
        <v>565</v>
      </c>
      <c r="B201" s="61" t="n">
        <f aca="false">IF($B$199="",0,SUMIFS(Baris_Transaksi!$D:$D,Baris_Transaksi!$C:$C,$B$199,Baris_Transaksi!$B:$B,"&lt;&gt;"&amp;Tetapan!$C$18))</f>
        <v>0</v>
      </c>
      <c r="C201" s="59"/>
      <c r="D201" s="59"/>
      <c r="E201" s="59"/>
      <c r="F201" s="59"/>
    </row>
    <row r="202" customFormat="false" ht="15" hidden="false" customHeight="true" outlineLevel="0" collapsed="false">
      <c r="A202" s="61" t="s">
        <v>566</v>
      </c>
      <c r="B202" s="61" t="n">
        <f aca="false">IF($B$199="",0,SUMIFS(Baris_Transaksi!$E:$E,Baris_Transaksi!$C:$C,$B$199,Baris_Transaksi!$B:$B,"&lt;&gt;"&amp;Tetapan!$C$18))</f>
        <v>0</v>
      </c>
      <c r="C202" s="59"/>
      <c r="D202" s="59"/>
      <c r="E202" s="59"/>
      <c r="F202" s="59"/>
    </row>
    <row r="203" customFormat="false" ht="15" hidden="false" customHeight="true" outlineLevel="0" collapsed="false">
      <c r="A203" s="61" t="s">
        <v>567</v>
      </c>
      <c r="B203" s="61" t="n">
        <f aca="false">IF($B$199="",0,SUMIF(Imbangan_Duga!$A:$A,$B$199,Imbangan_Duga!$H:$H))</f>
        <v>0</v>
      </c>
      <c r="C203" s="59"/>
      <c r="D203" s="59"/>
      <c r="E203" s="59"/>
      <c r="F203" s="59"/>
    </row>
    <row r="204" customFormat="false" ht="15" hidden="false" customHeight="false" outlineLevel="0" collapsed="false">
      <c r="A204" s="59"/>
      <c r="B204" s="59"/>
      <c r="C204" s="59"/>
      <c r="D204" s="59"/>
      <c r="E204" s="59"/>
      <c r="F204" s="59"/>
    </row>
    <row r="205" customFormat="false" ht="15" hidden="false" customHeight="true" outlineLevel="0" collapsed="false">
      <c r="A205" s="58" t="s">
        <v>650</v>
      </c>
      <c r="B205" s="59"/>
      <c r="C205" s="59"/>
      <c r="D205" s="59"/>
      <c r="E205" s="59"/>
      <c r="F205" s="59"/>
    </row>
    <row r="206" customFormat="false" ht="15" hidden="false" customHeight="true" outlineLevel="0" collapsed="false">
      <c r="A206" s="61" t="s">
        <v>559</v>
      </c>
      <c r="B206" s="61" t="s">
        <v>560</v>
      </c>
      <c r="C206" s="59"/>
      <c r="D206" s="59"/>
      <c r="E206" s="59"/>
      <c r="F206" s="59"/>
    </row>
    <row r="207" customFormat="false" ht="15" hidden="false" customHeight="true" outlineLevel="0" collapsed="false">
      <c r="A207" s="61" t="s">
        <v>651</v>
      </c>
      <c r="B207" s="61" t="s">
        <v>562</v>
      </c>
      <c r="C207" s="59"/>
      <c r="D207" s="59"/>
      <c r="E207" s="59"/>
      <c r="F207" s="59"/>
    </row>
    <row r="208" customFormat="false" ht="15" hidden="false" customHeight="true" outlineLevel="0" collapsed="false">
      <c r="A208" s="61" t="s">
        <v>564</v>
      </c>
      <c r="B208" s="61" t="n">
        <f aca="false">IF($B$207="","",IFERROR(SUMIF(Sejarah_Baki!$B:$B,$B$207,Sejarah_Baki!$D:$D)-SUMIF(Sejarah_Baki!$B:$B,$B$207,Sejarah_Baki!$E:$E),"[ISI—thn pertama]"))</f>
        <v>0</v>
      </c>
      <c r="C208" s="59"/>
      <c r="D208" s="59"/>
      <c r="E208" s="59"/>
      <c r="F208" s="59"/>
    </row>
    <row r="209" customFormat="false" ht="15" hidden="false" customHeight="true" outlineLevel="0" collapsed="false">
      <c r="A209" s="61" t="s">
        <v>565</v>
      </c>
      <c r="B209" s="61" t="n">
        <f aca="false">IF($B$207="",0,SUMIFS(Baris_Transaksi!$D:$D,Baris_Transaksi!$C:$C,$B$207,Baris_Transaksi!$B:$B,"&lt;&gt;"&amp;Tetapan!$C$18))</f>
        <v>0</v>
      </c>
      <c r="C209" s="59"/>
      <c r="D209" s="59"/>
      <c r="E209" s="59"/>
      <c r="F209" s="59"/>
    </row>
    <row r="210" customFormat="false" ht="15" hidden="false" customHeight="true" outlineLevel="0" collapsed="false">
      <c r="A210" s="61" t="s">
        <v>566</v>
      </c>
      <c r="B210" s="61" t="n">
        <f aca="false">IF($B$207="",0,SUMIFS(Baris_Transaksi!$E:$E,Baris_Transaksi!$C:$C,$B$207,Baris_Transaksi!$B:$B,"&lt;&gt;"&amp;Tetapan!$C$18))</f>
        <v>0</v>
      </c>
      <c r="C210" s="59"/>
      <c r="D210" s="59"/>
      <c r="E210" s="59"/>
      <c r="F210" s="59"/>
    </row>
    <row r="211" customFormat="false" ht="15" hidden="false" customHeight="true" outlineLevel="0" collapsed="false">
      <c r="A211" s="61" t="s">
        <v>567</v>
      </c>
      <c r="B211" s="61" t="n">
        <f aca="false">IF($B$207="",0,SUMIF(Imbangan_Duga!$A:$A,$B$207,Imbangan_Duga!$H:$H))</f>
        <v>0</v>
      </c>
      <c r="C211" s="59"/>
      <c r="D211" s="59"/>
      <c r="E211" s="59"/>
      <c r="F211" s="59"/>
    </row>
    <row r="212" customFormat="false" ht="15" hidden="false" customHeight="false" outlineLevel="0" collapsed="false">
      <c r="A212" s="59"/>
      <c r="B212" s="59"/>
      <c r="C212" s="59"/>
      <c r="D212" s="59"/>
      <c r="E212" s="59"/>
      <c r="F212" s="59"/>
    </row>
    <row r="213" customFormat="false" ht="15" hidden="false" customHeight="true" outlineLevel="0" collapsed="false">
      <c r="A213" s="58" t="s">
        <v>652</v>
      </c>
      <c r="B213" s="59"/>
      <c r="C213" s="59"/>
      <c r="D213" s="59"/>
      <c r="E213" s="59"/>
      <c r="F213" s="59"/>
    </row>
    <row r="214" customFormat="false" ht="15" hidden="false" customHeight="true" outlineLevel="0" collapsed="false">
      <c r="A214" s="61" t="s">
        <v>559</v>
      </c>
      <c r="B214" s="61" t="s">
        <v>560</v>
      </c>
      <c r="C214" s="59"/>
      <c r="D214" s="59"/>
      <c r="E214" s="59"/>
      <c r="F214" s="59"/>
    </row>
    <row r="215" customFormat="false" ht="15" hidden="false" customHeight="true" outlineLevel="0" collapsed="false">
      <c r="A215" s="61" t="s">
        <v>653</v>
      </c>
      <c r="B215" s="61" t="s">
        <v>562</v>
      </c>
      <c r="C215" s="59"/>
      <c r="D215" s="59"/>
      <c r="E215" s="59"/>
      <c r="F215" s="59"/>
    </row>
    <row r="216" customFormat="false" ht="15" hidden="false" customHeight="true" outlineLevel="0" collapsed="false">
      <c r="A216" s="61" t="s">
        <v>564</v>
      </c>
      <c r="B216" s="61" t="n">
        <f aca="false">IF($B$215="","",IFERROR(SUMIF(Sejarah_Baki!$B:$B,$B$215,Sejarah_Baki!$D:$D)-SUMIF(Sejarah_Baki!$B:$B,$B$215,Sejarah_Baki!$E:$E),"[ISI—thn pertama]"))</f>
        <v>0</v>
      </c>
      <c r="C216" s="59"/>
      <c r="D216" s="59"/>
      <c r="E216" s="59"/>
      <c r="F216" s="59"/>
    </row>
    <row r="217" customFormat="false" ht="15" hidden="false" customHeight="true" outlineLevel="0" collapsed="false">
      <c r="A217" s="61" t="s">
        <v>565</v>
      </c>
      <c r="B217" s="61" t="n">
        <f aca="false">IF($B$215="",0,SUMIFS(Baris_Transaksi!$D:$D,Baris_Transaksi!$C:$C,$B$215,Baris_Transaksi!$B:$B,"&lt;&gt;"&amp;Tetapan!$C$18))</f>
        <v>0</v>
      </c>
      <c r="C217" s="59"/>
      <c r="D217" s="59"/>
      <c r="E217" s="59"/>
      <c r="F217" s="59"/>
    </row>
    <row r="218" customFormat="false" ht="15" hidden="false" customHeight="true" outlineLevel="0" collapsed="false">
      <c r="A218" s="61" t="s">
        <v>566</v>
      </c>
      <c r="B218" s="61" t="n">
        <f aca="false">IF($B$215="",0,SUMIFS(Baris_Transaksi!$E:$E,Baris_Transaksi!$C:$C,$B$215,Baris_Transaksi!$B:$B,"&lt;&gt;"&amp;Tetapan!$C$18))</f>
        <v>0</v>
      </c>
      <c r="C218" s="59"/>
      <c r="D218" s="59"/>
      <c r="E218" s="59"/>
      <c r="F218" s="59"/>
    </row>
    <row r="219" customFormat="false" ht="15" hidden="false" customHeight="true" outlineLevel="0" collapsed="false">
      <c r="A219" s="61" t="s">
        <v>567</v>
      </c>
      <c r="B219" s="61" t="n">
        <f aca="false">IF($B$215="",0,SUMIF(Imbangan_Duga!$A:$A,$B$215,Imbangan_Duga!$H:$H))</f>
        <v>0</v>
      </c>
      <c r="C219" s="59"/>
      <c r="D219" s="59"/>
      <c r="E219" s="59"/>
      <c r="F219" s="59"/>
    </row>
    <row r="220" customFormat="false" ht="15" hidden="false" customHeight="false" outlineLevel="0" collapsed="false">
      <c r="A220" s="59"/>
      <c r="B220" s="59"/>
      <c r="C220" s="59"/>
      <c r="D220" s="59"/>
      <c r="E220" s="59"/>
      <c r="F220" s="59"/>
    </row>
    <row r="221" customFormat="false" ht="15" hidden="false" customHeight="true" outlineLevel="0" collapsed="false">
      <c r="A221" s="58" t="s">
        <v>654</v>
      </c>
      <c r="B221" s="59"/>
      <c r="C221" s="59"/>
      <c r="D221" s="59"/>
      <c r="E221" s="59"/>
      <c r="F221" s="59"/>
    </row>
    <row r="222" customFormat="false" ht="15" hidden="false" customHeight="true" outlineLevel="0" collapsed="false">
      <c r="A222" s="61" t="s">
        <v>559</v>
      </c>
      <c r="B222" s="61" t="s">
        <v>560</v>
      </c>
      <c r="C222" s="59"/>
      <c r="D222" s="59"/>
      <c r="E222" s="59"/>
      <c r="F222" s="59"/>
    </row>
    <row r="223" customFormat="false" ht="15" hidden="false" customHeight="true" outlineLevel="0" collapsed="false">
      <c r="A223" s="61" t="s">
        <v>655</v>
      </c>
      <c r="B223" s="61" t="s">
        <v>562</v>
      </c>
      <c r="C223" s="59"/>
      <c r="D223" s="59"/>
      <c r="E223" s="59"/>
      <c r="F223" s="59"/>
    </row>
    <row r="224" customFormat="false" ht="15" hidden="false" customHeight="true" outlineLevel="0" collapsed="false">
      <c r="A224" s="61" t="s">
        <v>564</v>
      </c>
      <c r="B224" s="61" t="n">
        <f aca="false">IF($B$223="","",IFERROR(SUMIF(Sejarah_Baki!$B:$B,$B$223,Sejarah_Baki!$D:$D)-SUMIF(Sejarah_Baki!$B:$B,$B$223,Sejarah_Baki!$E:$E),"[ISI—thn pertama]"))</f>
        <v>0</v>
      </c>
      <c r="C224" s="59"/>
      <c r="D224" s="59"/>
      <c r="E224" s="59"/>
      <c r="F224" s="59"/>
    </row>
    <row r="225" customFormat="false" ht="15" hidden="false" customHeight="true" outlineLevel="0" collapsed="false">
      <c r="A225" s="61" t="s">
        <v>565</v>
      </c>
      <c r="B225" s="61" t="n">
        <f aca="false">IF($B$223="",0,SUMIFS(Baris_Transaksi!$D:$D,Baris_Transaksi!$C:$C,$B$223,Baris_Transaksi!$B:$B,"&lt;&gt;"&amp;Tetapan!$C$18))</f>
        <v>0</v>
      </c>
      <c r="C225" s="59"/>
      <c r="D225" s="59"/>
      <c r="E225" s="59"/>
      <c r="F225" s="59"/>
    </row>
    <row r="226" customFormat="false" ht="15" hidden="false" customHeight="true" outlineLevel="0" collapsed="false">
      <c r="A226" s="61" t="s">
        <v>566</v>
      </c>
      <c r="B226" s="61" t="n">
        <f aca="false">IF($B$223="",0,SUMIFS(Baris_Transaksi!$E:$E,Baris_Transaksi!$C:$C,$B$223,Baris_Transaksi!$B:$B,"&lt;&gt;"&amp;Tetapan!$C$18))</f>
        <v>0</v>
      </c>
      <c r="C226" s="59"/>
      <c r="D226" s="59"/>
      <c r="E226" s="59"/>
      <c r="F226" s="59"/>
    </row>
    <row r="227" customFormat="false" ht="15" hidden="false" customHeight="true" outlineLevel="0" collapsed="false">
      <c r="A227" s="61" t="s">
        <v>567</v>
      </c>
      <c r="B227" s="61" t="n">
        <f aca="false">IF($B$223="",0,SUMIF(Imbangan_Duga!$A:$A,$B$223,Imbangan_Duga!$H:$H))</f>
        <v>0</v>
      </c>
      <c r="C227" s="59"/>
      <c r="D227" s="59"/>
      <c r="E227" s="59"/>
      <c r="F227" s="59"/>
    </row>
    <row r="228" customFormat="false" ht="15" hidden="false" customHeight="false" outlineLevel="0" collapsed="false">
      <c r="A228" s="59"/>
      <c r="B228" s="59"/>
      <c r="C228" s="59"/>
      <c r="D228" s="59"/>
      <c r="E228" s="59"/>
      <c r="F228" s="59"/>
    </row>
    <row r="229" customFormat="false" ht="15" hidden="false" customHeight="true" outlineLevel="0" collapsed="false">
      <c r="A229" s="58" t="s">
        <v>656</v>
      </c>
      <c r="B229" s="59"/>
      <c r="C229" s="59"/>
      <c r="D229" s="59"/>
      <c r="E229" s="59"/>
      <c r="F229" s="59"/>
    </row>
    <row r="230" customFormat="false" ht="15" hidden="false" customHeight="true" outlineLevel="0" collapsed="false">
      <c r="A230" s="61" t="s">
        <v>559</v>
      </c>
      <c r="B230" s="61" t="s">
        <v>560</v>
      </c>
      <c r="C230" s="59"/>
      <c r="D230" s="59"/>
      <c r="E230" s="59"/>
      <c r="F230" s="59"/>
    </row>
    <row r="231" customFormat="false" ht="15" hidden="false" customHeight="true" outlineLevel="0" collapsed="false">
      <c r="A231" s="58" t="s">
        <v>657</v>
      </c>
      <c r="B231" s="58" t="s">
        <v>267</v>
      </c>
      <c r="C231" s="58" t="s">
        <v>625</v>
      </c>
      <c r="D231" s="58" t="s">
        <v>641</v>
      </c>
      <c r="E231" s="58" t="s">
        <v>642</v>
      </c>
      <c r="F231" s="58" t="s">
        <v>628</v>
      </c>
    </row>
    <row r="232" customFormat="false" ht="15" hidden="false" customHeight="true" outlineLevel="0" collapsed="false">
      <c r="A232" s="61" t="s">
        <v>658</v>
      </c>
      <c r="B232" s="61" t="s">
        <v>605</v>
      </c>
      <c r="C232" s="61" t="n">
        <f aca="false">IF($B$232="","",IFERROR(SUMIF(Sejarah_Baki!$B:$B,$B$232,Sejarah_Baki!$D:$D)-SUMIF(Sejarah_Baki!$B:$B,$B$232,Sejarah_Baki!$E:$E),"[ISI]"))</f>
        <v>0</v>
      </c>
      <c r="D232" s="61" t="n">
        <f aca="false">IF($B$232="",0,SUMIFS(Baris_Transaksi!$E:$E,Baris_Transaksi!$C:$C,$B$232,Baris_Transaksi!$B:$B,"&lt;&gt;"&amp;Tetapan!$C$18))</f>
        <v>0</v>
      </c>
      <c r="E232" s="61" t="n">
        <f aca="false">IF($B$232="",0,SUMIFS(Baris_Transaksi!$D:$D,Baris_Transaksi!$C:$C,$B$232,Baris_Transaksi!$B:$B,"&lt;&gt;"&amp;Tetapan!$C$18))</f>
        <v>0</v>
      </c>
      <c r="F232" s="61" t="n">
        <f aca="false">IF($B$232="",0,SUMIF(Imbangan_Duga!$A:$A,$B$232,Imbangan_Duga!$H:$H))</f>
        <v>0</v>
      </c>
    </row>
    <row r="233" customFormat="false" ht="15" hidden="false" customHeight="true" outlineLevel="0" collapsed="false">
      <c r="A233" s="59"/>
      <c r="B233" s="59"/>
      <c r="C233" s="61" t="str">
        <f aca="false">IF($B$233="","",IFERROR(SUMIF(Sejarah_Baki!$B:$B,$B$233,Sejarah_Baki!$D:$D)-SUMIF(Sejarah_Baki!$B:$B,$B$233,Sejarah_Baki!$E:$E),"[ISI]"))</f>
        <v/>
      </c>
      <c r="D233" s="61" t="n">
        <f aca="false">IF($B$233="",0,SUMIFS(Baris_Transaksi!$E:$E,Baris_Transaksi!$C:$C,$B$233,Baris_Transaksi!$B:$B,"&lt;&gt;"&amp;Tetapan!$C$18))</f>
        <v>0</v>
      </c>
      <c r="E233" s="61" t="n">
        <f aca="false">IF($B$233="",0,SUMIFS(Baris_Transaksi!$D:$D,Baris_Transaksi!$C:$C,$B$233,Baris_Transaksi!$B:$B,"&lt;&gt;"&amp;Tetapan!$C$18))</f>
        <v>0</v>
      </c>
      <c r="F233" s="61" t="n">
        <f aca="false">IF($B$233="",0,SUMIF(Imbangan_Duga!$A:$A,$B$233,Imbangan_Duga!$H:$H))</f>
        <v>0</v>
      </c>
    </row>
    <row r="234" customFormat="false" ht="15" hidden="false" customHeight="true" outlineLevel="0" collapsed="false">
      <c r="A234" s="59"/>
      <c r="B234" s="59"/>
      <c r="C234" s="61" t="str">
        <f aca="false">IF($B$234="","",IFERROR(SUMIF(Sejarah_Baki!$B:$B,$B$234,Sejarah_Baki!$D:$D)-SUMIF(Sejarah_Baki!$B:$B,$B$234,Sejarah_Baki!$E:$E),"[ISI]"))</f>
        <v/>
      </c>
      <c r="D234" s="61" t="n">
        <f aca="false">IF($B$234="",0,SUMIFS(Baris_Transaksi!$E:$E,Baris_Transaksi!$C:$C,$B$234,Baris_Transaksi!$B:$B,"&lt;&gt;"&amp;Tetapan!$C$18))</f>
        <v>0</v>
      </c>
      <c r="E234" s="61" t="n">
        <f aca="false">IF($B$234="",0,SUMIFS(Baris_Transaksi!$D:$D,Baris_Transaksi!$C:$C,$B$234,Baris_Transaksi!$B:$B,"&lt;&gt;"&amp;Tetapan!$C$18))</f>
        <v>0</v>
      </c>
      <c r="F234" s="61" t="n">
        <f aca="false">IF($B$234="",0,SUMIF(Imbangan_Duga!$A:$A,$B$234,Imbangan_Duga!$H:$H))</f>
        <v>0</v>
      </c>
    </row>
    <row r="235" customFormat="false" ht="15" hidden="false" customHeight="true" outlineLevel="0" collapsed="false">
      <c r="A235" s="60" t="s">
        <v>659</v>
      </c>
      <c r="B235" s="59"/>
      <c r="C235" s="59"/>
      <c r="D235" s="59"/>
      <c r="E235" s="59"/>
      <c r="F235" s="59"/>
    </row>
    <row r="236" customFormat="false" ht="15" hidden="false" customHeight="false" outlineLevel="0" collapsed="false">
      <c r="A236" s="59"/>
      <c r="B236" s="59"/>
      <c r="C236" s="59"/>
      <c r="D236" s="59"/>
      <c r="E236" s="59"/>
      <c r="F236" s="59"/>
    </row>
    <row r="237" customFormat="false" ht="15" hidden="false" customHeight="true" outlineLevel="0" collapsed="false">
      <c r="A237" s="58" t="s">
        <v>660</v>
      </c>
      <c r="B237" s="59"/>
      <c r="C237" s="59"/>
      <c r="D237" s="59"/>
      <c r="E237" s="59"/>
      <c r="F237" s="59"/>
    </row>
    <row r="238" customFormat="false" ht="15" hidden="false" customHeight="true" outlineLevel="0" collapsed="false">
      <c r="A238" s="61" t="s">
        <v>559</v>
      </c>
      <c r="B238" s="61" t="s">
        <v>560</v>
      </c>
      <c r="C238" s="59"/>
      <c r="D238" s="59"/>
      <c r="E238" s="59"/>
      <c r="F238" s="59"/>
    </row>
    <row r="239" customFormat="false" ht="15" hidden="false" customHeight="true" outlineLevel="0" collapsed="false">
      <c r="A239" s="61" t="s">
        <v>661</v>
      </c>
      <c r="B239" s="61" t="s">
        <v>562</v>
      </c>
      <c r="C239" s="59"/>
      <c r="D239" s="59"/>
      <c r="E239" s="59"/>
      <c r="F239" s="59"/>
    </row>
    <row r="240" customFormat="false" ht="15" hidden="false" customHeight="true" outlineLevel="0" collapsed="false">
      <c r="A240" s="61" t="s">
        <v>564</v>
      </c>
      <c r="B240" s="61" t="n">
        <f aca="false">IF($B$239="","",IFERROR(SUMIF(Sejarah_Baki!$B:$B,$B$239,Sejarah_Baki!$D:$D)-SUMIF(Sejarah_Baki!$B:$B,$B$239,Sejarah_Baki!$E:$E),"[ISI—thn pertama]"))</f>
        <v>0</v>
      </c>
      <c r="C240" s="59"/>
      <c r="D240" s="59"/>
      <c r="E240" s="59"/>
      <c r="F240" s="59"/>
    </row>
    <row r="241" customFormat="false" ht="15" hidden="false" customHeight="true" outlineLevel="0" collapsed="false">
      <c r="A241" s="61" t="s">
        <v>565</v>
      </c>
      <c r="B241" s="61" t="n">
        <f aca="false">IF($B$239="",0,SUMIFS(Baris_Transaksi!$D:$D,Baris_Transaksi!$C:$C,$B$239,Baris_Transaksi!$B:$B,"&lt;&gt;"&amp;Tetapan!$C$18))</f>
        <v>0</v>
      </c>
      <c r="C241" s="59"/>
      <c r="D241" s="59"/>
      <c r="E241" s="59"/>
      <c r="F241" s="59"/>
    </row>
    <row r="242" customFormat="false" ht="15" hidden="false" customHeight="true" outlineLevel="0" collapsed="false">
      <c r="A242" s="61" t="s">
        <v>566</v>
      </c>
      <c r="B242" s="61" t="n">
        <f aca="false">IF($B$239="",0,SUMIFS(Baris_Transaksi!$E:$E,Baris_Transaksi!$C:$C,$B$239,Baris_Transaksi!$B:$B,"&lt;&gt;"&amp;Tetapan!$C$18))</f>
        <v>0</v>
      </c>
      <c r="C242" s="59"/>
      <c r="D242" s="59"/>
      <c r="E242" s="59"/>
      <c r="F242" s="59"/>
    </row>
    <row r="243" customFormat="false" ht="15" hidden="false" customHeight="true" outlineLevel="0" collapsed="false">
      <c r="A243" s="61" t="s">
        <v>567</v>
      </c>
      <c r="B243" s="61" t="n">
        <f aca="false">IF($B$239="",0,SUMIF(Imbangan_Duga!$A:$A,$B$239,Imbangan_Duga!$H:$H))</f>
        <v>0</v>
      </c>
      <c r="C243" s="59"/>
      <c r="D243" s="59"/>
      <c r="E243" s="59"/>
      <c r="F243" s="59"/>
    </row>
    <row r="244" customFormat="false" ht="15" hidden="false" customHeight="false" outlineLevel="0" collapsed="false">
      <c r="A244" s="59"/>
      <c r="B244" s="59"/>
      <c r="C244" s="59"/>
      <c r="D244" s="59"/>
      <c r="E244" s="59"/>
      <c r="F244" s="59"/>
    </row>
    <row r="245" customFormat="false" ht="15" hidden="false" customHeight="true" outlineLevel="0" collapsed="false">
      <c r="A245" s="58" t="s">
        <v>662</v>
      </c>
      <c r="B245" s="59"/>
      <c r="C245" s="59"/>
      <c r="D245" s="59"/>
      <c r="E245" s="59"/>
      <c r="F245" s="59"/>
    </row>
    <row r="246" customFormat="false" ht="15" hidden="false" customHeight="true" outlineLevel="0" collapsed="false">
      <c r="A246" s="61" t="s">
        <v>559</v>
      </c>
      <c r="B246" s="61" t="s">
        <v>560</v>
      </c>
      <c r="C246" s="59"/>
      <c r="D246" s="59"/>
      <c r="E246" s="59"/>
      <c r="F246" s="59"/>
    </row>
    <row r="247" customFormat="false" ht="15" hidden="false" customHeight="true" outlineLevel="0" collapsed="false">
      <c r="A247" s="61" t="s">
        <v>663</v>
      </c>
      <c r="B247" s="61" t="s">
        <v>562</v>
      </c>
      <c r="C247" s="59"/>
      <c r="D247" s="59"/>
      <c r="E247" s="59"/>
      <c r="F247" s="59"/>
    </row>
    <row r="248" customFormat="false" ht="15" hidden="false" customHeight="true" outlineLevel="0" collapsed="false">
      <c r="A248" s="61" t="s">
        <v>573</v>
      </c>
      <c r="B248" s="61" t="n">
        <f aca="false">IF($B$247="",0,SUMIF(Imbangan_Duga!$A:$A,$B$247,Imbangan_Duga!$H:$H))</f>
        <v>0</v>
      </c>
      <c r="C248" s="59"/>
      <c r="D248" s="59"/>
      <c r="E248" s="59"/>
      <c r="F248" s="59"/>
    </row>
    <row r="249" customFormat="false" ht="15" hidden="false" customHeight="false" outlineLevel="0" collapsed="false">
      <c r="A249" s="59"/>
      <c r="B249" s="59"/>
      <c r="C249" s="59"/>
      <c r="D249" s="59"/>
      <c r="E249" s="59"/>
      <c r="F249" s="59"/>
    </row>
    <row r="250" customFormat="false" ht="15" hidden="false" customHeight="true" outlineLevel="0" collapsed="false">
      <c r="A250" s="58" t="s">
        <v>664</v>
      </c>
      <c r="B250" s="59"/>
      <c r="C250" s="59"/>
      <c r="D250" s="59"/>
      <c r="E250" s="59"/>
      <c r="F250" s="59"/>
    </row>
    <row r="251" customFormat="false" ht="15" hidden="false" customHeight="true" outlineLevel="0" collapsed="false">
      <c r="A251" s="61" t="s">
        <v>665</v>
      </c>
      <c r="B251" s="59"/>
      <c r="C251" s="59"/>
      <c r="D251" s="59"/>
      <c r="E251" s="59"/>
      <c r="F251" s="59"/>
    </row>
    <row r="252" customFormat="false" ht="15" hidden="false" customHeight="true" outlineLevel="0" collapsed="false">
      <c r="A252" s="58" t="s">
        <v>666</v>
      </c>
      <c r="B252" s="58" t="s">
        <v>667</v>
      </c>
      <c r="C252" s="58" t="s">
        <v>668</v>
      </c>
      <c r="D252" s="58" t="s">
        <v>669</v>
      </c>
      <c r="E252" s="58" t="s">
        <v>670</v>
      </c>
      <c r="F252" s="58" t="s">
        <v>671</v>
      </c>
    </row>
    <row r="253" customFormat="false" ht="15" hidden="false" customHeight="true" outlineLevel="0" collapsed="false">
      <c r="A253" s="61" t="s">
        <v>672</v>
      </c>
      <c r="B253" s="61" t="s">
        <v>538</v>
      </c>
      <c r="C253" s="61" t="s">
        <v>538</v>
      </c>
      <c r="D253" s="61" t="n">
        <f aca="false">IF(B253="",0,SUMIF(Imbangan_Duga!$A:$A,B253,Imbangan_Duga!$H:$H))</f>
        <v>0</v>
      </c>
      <c r="E253" s="61" t="n">
        <f aca="false">IF(C253="",0,SUMIF(Imbangan_Duga!$A:$A,C253,Imbangan_Duga!$H:$H))</f>
        <v>0</v>
      </c>
      <c r="F253" s="61" t="n">
        <f aca="false">D253-E253</f>
        <v>0</v>
      </c>
    </row>
    <row r="254" customFormat="false" ht="15" hidden="false" customHeight="true" outlineLevel="0" collapsed="false">
      <c r="A254" s="59"/>
      <c r="B254" s="59"/>
      <c r="C254" s="59"/>
      <c r="D254" s="61" t="n">
        <f aca="false">IF(B254="",0,SUMIF(Imbangan_Duga!$A:$A,B254,Imbangan_Duga!$H:$H))</f>
        <v>0</v>
      </c>
      <c r="E254" s="61" t="n">
        <f aca="false">IF(C254="",0,SUMIF(Imbangan_Duga!$A:$A,C254,Imbangan_Duga!$H:$H))</f>
        <v>0</v>
      </c>
      <c r="F254" s="61" t="n">
        <f aca="false">D254-E254</f>
        <v>0</v>
      </c>
    </row>
    <row r="255" customFormat="false" ht="15" hidden="false" customHeight="true" outlineLevel="0" collapsed="false">
      <c r="A255" s="59"/>
      <c r="B255" s="59"/>
      <c r="C255" s="59"/>
      <c r="D255" s="61" t="n">
        <f aca="false">IF(B255="",0,SUMIF(Imbangan_Duga!$A:$A,B255,Imbangan_Duga!$H:$H))</f>
        <v>0</v>
      </c>
      <c r="E255" s="61" t="n">
        <f aca="false">IF(C255="",0,SUMIF(Imbangan_Duga!$A:$A,C255,Imbangan_Duga!$H:$H))</f>
        <v>0</v>
      </c>
      <c r="F255" s="61" t="n">
        <f aca="false">D255-E255</f>
        <v>0</v>
      </c>
    </row>
    <row r="256" customFormat="false" ht="15" hidden="false" customHeight="true" outlineLevel="0" collapsed="false">
      <c r="A256" s="59"/>
      <c r="B256" s="59"/>
      <c r="C256" s="59"/>
      <c r="D256" s="61" t="n">
        <f aca="false">IF(B256="",0,SUMIF(Imbangan_Duga!$A:$A,B256,Imbangan_Duga!$H:$H))</f>
        <v>0</v>
      </c>
      <c r="E256" s="61" t="n">
        <f aca="false">IF(C256="",0,SUMIF(Imbangan_Duga!$A:$A,C256,Imbangan_Duga!$H:$H))</f>
        <v>0</v>
      </c>
      <c r="F256" s="61" t="n">
        <f aca="false">D256-E256</f>
        <v>0</v>
      </c>
    </row>
    <row r="257" customFormat="false" ht="15" hidden="false" customHeight="true" outlineLevel="0" collapsed="false">
      <c r="A257" s="59"/>
      <c r="B257" s="59"/>
      <c r="C257" s="59"/>
      <c r="D257" s="61" t="n">
        <f aca="false">IF(B257="",0,SUMIF(Imbangan_Duga!$A:$A,B257,Imbangan_Duga!$H:$H))</f>
        <v>0</v>
      </c>
      <c r="E257" s="61" t="n">
        <f aca="false">IF(C257="",0,SUMIF(Imbangan_Duga!$A:$A,C257,Imbangan_Duga!$H:$H))</f>
        <v>0</v>
      </c>
      <c r="F257" s="61" t="n">
        <f aca="false">D257-E257</f>
        <v>0</v>
      </c>
    </row>
    <row r="258" customFormat="false" ht="15" hidden="false" customHeight="true" outlineLevel="0" collapsed="false">
      <c r="A258" s="59"/>
      <c r="B258" s="59"/>
      <c r="C258" s="59"/>
      <c r="D258" s="61" t="n">
        <f aca="false">IF(B258="",0,SUMIF(Imbangan_Duga!$A:$A,B258,Imbangan_Duga!$H:$H))</f>
        <v>0</v>
      </c>
      <c r="E258" s="61" t="n">
        <f aca="false">IF(C258="",0,SUMIF(Imbangan_Duga!$A:$A,C258,Imbangan_Duga!$H:$H))</f>
        <v>0</v>
      </c>
      <c r="F258" s="61" t="n">
        <f aca="false">D258-E258</f>
        <v>0</v>
      </c>
    </row>
    <row r="259" customFormat="false" ht="15" hidden="false" customHeight="true" outlineLevel="0" collapsed="false">
      <c r="A259" s="59"/>
      <c r="B259" s="59"/>
      <c r="C259" s="59"/>
      <c r="D259" s="61" t="n">
        <f aca="false">IF(B259="",0,SUMIF(Imbangan_Duga!$A:$A,B259,Imbangan_Duga!$H:$H))</f>
        <v>0</v>
      </c>
      <c r="E259" s="61" t="n">
        <f aca="false">IF(C259="",0,SUMIF(Imbangan_Duga!$A:$A,C259,Imbangan_Duga!$H:$H))</f>
        <v>0</v>
      </c>
      <c r="F259" s="61" t="n">
        <f aca="false">D259-E259</f>
        <v>0</v>
      </c>
    </row>
    <row r="260" customFormat="false" ht="15" hidden="false" customHeight="true" outlineLevel="0" collapsed="false">
      <c r="A260" s="59"/>
      <c r="B260" s="59"/>
      <c r="C260" s="59"/>
      <c r="D260" s="61" t="n">
        <f aca="false">IF(B260="",0,SUMIF(Imbangan_Duga!$A:$A,B260,Imbangan_Duga!$H:$H))</f>
        <v>0</v>
      </c>
      <c r="E260" s="61" t="n">
        <f aca="false">IF(C260="",0,SUMIF(Imbangan_Duga!$A:$A,C260,Imbangan_Duga!$H:$H))</f>
        <v>0</v>
      </c>
      <c r="F260" s="61" t="n">
        <f aca="false">D260-E260</f>
        <v>0</v>
      </c>
    </row>
    <row r="261" customFormat="false" ht="15" hidden="false" customHeight="false" outlineLevel="0" collapsed="false">
      <c r="A261" s="59"/>
      <c r="B261" s="59"/>
      <c r="C261" s="59"/>
      <c r="D261" s="59"/>
      <c r="E261" s="59"/>
      <c r="F261" s="59"/>
    </row>
    <row r="262" customFormat="false" ht="15" hidden="false" customHeight="true" outlineLevel="0" collapsed="false">
      <c r="A262" s="58" t="s">
        <v>673</v>
      </c>
      <c r="B262" s="59"/>
      <c r="C262" s="59"/>
      <c r="D262" s="59"/>
      <c r="E262" s="59"/>
      <c r="F262" s="59"/>
    </row>
    <row r="263" customFormat="false" ht="15" hidden="false" customHeight="true" outlineLevel="0" collapsed="false">
      <c r="A263" s="61" t="s">
        <v>674</v>
      </c>
      <c r="B263" s="61" t="s">
        <v>562</v>
      </c>
      <c r="C263" s="59"/>
      <c r="D263" s="59"/>
      <c r="E263" s="59"/>
      <c r="F263" s="59"/>
    </row>
    <row r="264" customFormat="false" ht="15" hidden="false" customHeight="true" outlineLevel="0" collapsed="false">
      <c r="A264" s="58" t="s">
        <v>675</v>
      </c>
      <c r="B264" s="58" t="s">
        <v>676</v>
      </c>
      <c r="C264" s="58" t="s">
        <v>677</v>
      </c>
      <c r="D264" s="58" t="s">
        <v>678</v>
      </c>
      <c r="E264" s="58" t="s">
        <v>679</v>
      </c>
      <c r="F264" s="58" t="s">
        <v>410</v>
      </c>
    </row>
    <row r="265" customFormat="false" ht="15" hidden="false" customHeight="true" outlineLevel="0" collapsed="false">
      <c r="A265" s="61" t="s">
        <v>538</v>
      </c>
      <c r="B265" s="61" t="n">
        <v>0</v>
      </c>
      <c r="C265" s="61" t="n">
        <v>0</v>
      </c>
      <c r="D265" s="61" t="n">
        <v>0</v>
      </c>
      <c r="E265" s="61" t="n">
        <v>0</v>
      </c>
      <c r="F265" s="61" t="n">
        <f aca="false">SUM(B265:E265)</f>
        <v>0</v>
      </c>
    </row>
    <row r="266" customFormat="false" ht="15" hidden="false" customHeight="true" outlineLevel="0" collapsed="false">
      <c r="A266" s="59"/>
      <c r="B266" s="61" t="n">
        <v>0</v>
      </c>
      <c r="C266" s="61" t="n">
        <v>0</v>
      </c>
      <c r="D266" s="61" t="n">
        <v>0</v>
      </c>
      <c r="E266" s="61" t="n">
        <v>0</v>
      </c>
      <c r="F266" s="61" t="n">
        <f aca="false">SUM(B266:E266)</f>
        <v>0</v>
      </c>
    </row>
    <row r="267" customFormat="false" ht="15" hidden="false" customHeight="true" outlineLevel="0" collapsed="false">
      <c r="A267" s="59"/>
      <c r="B267" s="61" t="n">
        <v>0</v>
      </c>
      <c r="C267" s="61" t="n">
        <v>0</v>
      </c>
      <c r="D267" s="61" t="n">
        <v>0</v>
      </c>
      <c r="E267" s="61" t="n">
        <v>0</v>
      </c>
      <c r="F267" s="61" t="n">
        <f aca="false">SUM(B267:E267)</f>
        <v>0</v>
      </c>
    </row>
    <row r="268" customFormat="false" ht="15" hidden="false" customHeight="true" outlineLevel="0" collapsed="false">
      <c r="A268" s="59"/>
      <c r="B268" s="61" t="n">
        <v>0</v>
      </c>
      <c r="C268" s="61" t="n">
        <v>0</v>
      </c>
      <c r="D268" s="61" t="n">
        <v>0</v>
      </c>
      <c r="E268" s="61" t="n">
        <v>0</v>
      </c>
      <c r="F268" s="61" t="n">
        <f aca="false">SUM(B268:E268)</f>
        <v>0</v>
      </c>
    </row>
    <row r="269" customFormat="false" ht="15" hidden="false" customHeight="true" outlineLevel="0" collapsed="false">
      <c r="A269" s="59"/>
      <c r="B269" s="61" t="n">
        <v>0</v>
      </c>
      <c r="C269" s="61" t="n">
        <v>0</v>
      </c>
      <c r="D269" s="61" t="n">
        <v>0</v>
      </c>
      <c r="E269" s="61" t="n">
        <v>0</v>
      </c>
      <c r="F269" s="61" t="n">
        <f aca="false">SUM(B269:E269)</f>
        <v>0</v>
      </c>
    </row>
    <row r="270" customFormat="false" ht="15" hidden="false" customHeight="true" outlineLevel="0" collapsed="false">
      <c r="A270" s="59"/>
      <c r="B270" s="61" t="n">
        <v>0</v>
      </c>
      <c r="C270" s="61" t="n">
        <v>0</v>
      </c>
      <c r="D270" s="61" t="n">
        <v>0</v>
      </c>
      <c r="E270" s="61" t="n">
        <v>0</v>
      </c>
      <c r="F270" s="61" t="n">
        <f aca="false">SUM(B270:E270)</f>
        <v>0</v>
      </c>
    </row>
    <row r="271" customFormat="false" ht="15" hidden="false" customHeight="true" outlineLevel="0" collapsed="false">
      <c r="A271" s="59"/>
      <c r="B271" s="61" t="n">
        <v>0</v>
      </c>
      <c r="C271" s="61" t="n">
        <v>0</v>
      </c>
      <c r="D271" s="61" t="n">
        <v>0</v>
      </c>
      <c r="E271" s="61" t="n">
        <v>0</v>
      </c>
      <c r="F271" s="61" t="n">
        <f aca="false">SUM(B271:E271)</f>
        <v>0</v>
      </c>
    </row>
    <row r="272" customFormat="false" ht="15" hidden="false" customHeight="true" outlineLevel="0" collapsed="false">
      <c r="A272" s="59"/>
      <c r="B272" s="61" t="n">
        <v>0</v>
      </c>
      <c r="C272" s="61" t="n">
        <v>0</v>
      </c>
      <c r="D272" s="61" t="n">
        <v>0</v>
      </c>
      <c r="E272" s="61" t="n">
        <v>0</v>
      </c>
      <c r="F272" s="61" t="n">
        <f aca="false">SUM(B272:E272)</f>
        <v>0</v>
      </c>
    </row>
    <row r="273" customFormat="false" ht="15" hidden="false" customHeight="true" outlineLevel="0" collapsed="false">
      <c r="A273" s="58" t="s">
        <v>425</v>
      </c>
      <c r="B273" s="61" t="n">
        <f aca="false">SUM(B265:B272)</f>
        <v>0</v>
      </c>
      <c r="C273" s="61" t="n">
        <f aca="false">SUM(C265:C272)</f>
        <v>0</v>
      </c>
      <c r="D273" s="61" t="n">
        <f aca="false">SUM(D265:D272)</f>
        <v>0</v>
      </c>
      <c r="E273" s="61" t="n">
        <f aca="false">SUM(E265:E272)</f>
        <v>0</v>
      </c>
      <c r="F273" s="61" t="n">
        <f aca="false">SUM(F265:F272)</f>
        <v>0</v>
      </c>
    </row>
    <row r="274" customFormat="false" ht="15" hidden="false" customHeight="true" outlineLevel="0" collapsed="false">
      <c r="A274" s="61" t="s">
        <v>680</v>
      </c>
      <c r="B274" s="61" t="n">
        <f aca="false">IF($B$263="",0,SUMIF(Imbangan_Duga!$A:$A,$B$263,Imbangan_Duga!$H:$H))</f>
        <v>0</v>
      </c>
      <c r="C274" s="59"/>
      <c r="D274" s="59"/>
      <c r="E274" s="59"/>
      <c r="F274" s="59"/>
    </row>
    <row r="275" customFormat="false" ht="15" hidden="false" customHeight="true" outlineLevel="0" collapsed="false">
      <c r="A275" s="61" t="s">
        <v>681</v>
      </c>
      <c r="B275" s="61" t="n">
        <f aca="false">F273-B274</f>
        <v>0</v>
      </c>
      <c r="C275" s="59"/>
      <c r="D275" s="59"/>
      <c r="E275" s="59"/>
      <c r="F275" s="59"/>
    </row>
    <row r="276" customFormat="false" ht="15" hidden="false" customHeight="false" outlineLevel="0" collapsed="false">
      <c r="A276" s="59"/>
      <c r="B276" s="59"/>
      <c r="C276" s="59"/>
      <c r="D276" s="59"/>
      <c r="E276" s="59"/>
      <c r="F276" s="59"/>
    </row>
    <row r="277" customFormat="false" ht="15" hidden="false" customHeight="true" outlineLevel="0" collapsed="false">
      <c r="A277" s="58" t="s">
        <v>682</v>
      </c>
      <c r="B277" s="59"/>
      <c r="C277" s="59"/>
      <c r="D277" s="59"/>
      <c r="E277" s="59"/>
      <c r="F277" s="59"/>
    </row>
    <row r="278" customFormat="false" ht="15" hidden="false" customHeight="true" outlineLevel="0" collapsed="false">
      <c r="A278" s="61" t="s">
        <v>683</v>
      </c>
      <c r="B278" s="59"/>
      <c r="C278" s="59"/>
      <c r="D278" s="59"/>
      <c r="E278" s="59"/>
      <c r="F278" s="59"/>
    </row>
    <row r="279" customFormat="false" ht="15" hidden="false" customHeight="false" outlineLevel="0" collapsed="false">
      <c r="A279" s="59"/>
      <c r="B279" s="59"/>
      <c r="C279" s="59"/>
      <c r="D279" s="59"/>
      <c r="E279" s="59"/>
      <c r="F279" s="59"/>
    </row>
    <row r="280" customFormat="false" ht="15" hidden="false" customHeight="true" outlineLevel="0" collapsed="false">
      <c r="A280" s="58" t="s">
        <v>684</v>
      </c>
      <c r="B280" s="59"/>
      <c r="C280" s="59"/>
      <c r="D280" s="59"/>
      <c r="E280" s="59"/>
      <c r="F280" s="59"/>
    </row>
    <row r="281" customFormat="false" ht="15" hidden="false" customHeight="true" outlineLevel="0" collapsed="false">
      <c r="A281" s="61" t="s">
        <v>685</v>
      </c>
      <c r="B281" s="61" t="s">
        <v>538</v>
      </c>
      <c r="C281" s="59"/>
      <c r="D281" s="59"/>
      <c r="E281" s="59"/>
      <c r="F281" s="59"/>
    </row>
    <row r="282" customFormat="false" ht="15" hidden="false" customHeight="false" outlineLevel="0" collapsed="false">
      <c r="A282" s="59"/>
      <c r="B282" s="59"/>
      <c r="C282" s="59"/>
      <c r="D282" s="59"/>
      <c r="E282" s="59"/>
      <c r="F282" s="59"/>
    </row>
    <row r="283" customFormat="false" ht="15" hidden="false" customHeight="true" outlineLevel="0" collapsed="false">
      <c r="A283" s="58" t="s">
        <v>686</v>
      </c>
      <c r="B283" s="59"/>
      <c r="C283" s="59"/>
      <c r="D283" s="59"/>
      <c r="E283" s="59"/>
      <c r="F283" s="59"/>
    </row>
    <row r="284" customFormat="false" ht="15" hidden="false" customHeight="true" outlineLevel="0" collapsed="false">
      <c r="A284" s="61" t="s">
        <v>687</v>
      </c>
      <c r="B284" s="61" t="s">
        <v>688</v>
      </c>
      <c r="C284" s="59"/>
      <c r="D284" s="59"/>
      <c r="E284" s="59"/>
      <c r="F284" s="59"/>
    </row>
    <row r="285" customFormat="false" ht="15" hidden="false" customHeight="false" outlineLevel="0" collapsed="false">
      <c r="A285" s="59"/>
      <c r="B285" s="59"/>
      <c r="C285" s="59"/>
      <c r="D285" s="59"/>
      <c r="E285" s="59"/>
      <c r="F285" s="59"/>
    </row>
    <row r="286" customFormat="false" ht="15" hidden="false" customHeight="true" outlineLevel="0" collapsed="false">
      <c r="A286" s="58" t="s">
        <v>689</v>
      </c>
      <c r="B286" s="59"/>
      <c r="C286" s="59"/>
      <c r="D286" s="59"/>
      <c r="E286" s="59"/>
      <c r="F286" s="59"/>
    </row>
    <row r="287" customFormat="false" ht="15" hidden="false" customHeight="true" outlineLevel="0" collapsed="false">
      <c r="A287" s="60" t="s">
        <v>690</v>
      </c>
      <c r="B287" s="59"/>
      <c r="C287" s="59"/>
      <c r="D287" s="59"/>
      <c r="E287" s="59"/>
      <c r="F287" s="59"/>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62" t="s">
        <v>691</v>
      </c>
      <c r="B1" s="62" t="s">
        <v>267</v>
      </c>
      <c r="C1" s="62" t="s">
        <v>452</v>
      </c>
      <c r="D1" s="62" t="s">
        <v>95</v>
      </c>
      <c r="E1" s="62" t="s">
        <v>98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2026-09-24T09:03:44Z</dcterms:created>
  <dc:creator>openpyxl</dc:creator>
  <dc:description/>
  <dc:language>en-US</dc:language>
  <cp:lastModifiedBy/>
  <dcterms:modified xsi:type="dcterms:W3CDTF">2026-10-04T20:00:09Z</dcterms:modified>
  <cp:revision>0</cp:revision>
  <dc:subject/>
  <dc:title>APZacct - Template Kosong v1.3</dc:title>
</cp:coreProperties>
</file>

<file path=docProps/custom.xml><?xml version="1.0" encoding="utf-8"?>
<Properties xmlns="http://schemas.openxmlformats.org/officeDocument/2006/custom-properties" xmlns:vt="http://schemas.openxmlformats.org/officeDocument/2006/docPropsVTypes"/>
</file>